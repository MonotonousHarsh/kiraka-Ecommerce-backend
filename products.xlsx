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s>
  <definedNames>
    <definedName function="false" hidden="true" localSheetId="0" name="_xlnm._FilterDatabase" vbProcedure="false">Sheet1!$B$6:$AA$1742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<sst xmlns="http://schemas.openxmlformats.org/spreadsheetml/2006/main" count="24449" uniqueCount="2394">
  <si>
    <t xml:space="preserve">Alias6</t>
  </si>
  <si>
    <t xml:space="preserve">Alias2</t>
  </si>
  <si>
    <t xml:space="preserve">Alias9</t>
  </si>
  <si>
    <t xml:space="preserve">Alias12</t>
  </si>
  <si>
    <t xml:space="preserve">Alias1</t>
  </si>
  <si>
    <t xml:space="preserve">Product</t>
  </si>
  <si>
    <t xml:space="preserve">Color</t>
  </si>
  <si>
    <t xml:space="preserve">Size</t>
  </si>
  <si>
    <t xml:space="preserve">DISPLAY</t>
  </si>
  <si>
    <t xml:space="preserve">BILL PRINTING</t>
  </si>
  <si>
    <t xml:space="preserve">inv</t>
  </si>
  <si>
    <t xml:space="preserve">BILL</t>
  </si>
  <si>
    <t xml:space="preserve">UNIT</t>
  </si>
  <si>
    <t xml:space="preserve">PRICE</t>
  </si>
  <si>
    <t xml:space="preserve">TOTAL</t>
  </si>
  <si>
    <t xml:space="preserve">DISCOUNT</t>
  </si>
  <si>
    <t xml:space="preserve">FINAL</t>
  </si>
  <si>
    <t xml:space="preserve">Stock No</t>
  </si>
  <si>
    <t xml:space="preserve">Distributor</t>
  </si>
  <si>
    <t xml:space="preserve">Brand</t>
  </si>
  <si>
    <t xml:space="preserve">Range</t>
  </si>
  <si>
    <t xml:space="preserve">Item Category</t>
  </si>
  <si>
    <t xml:space="preserve">TYPE!</t>
  </si>
  <si>
    <t xml:space="preserve">SUB Type</t>
  </si>
  <si>
    <t xml:space="preserve">Category</t>
  </si>
  <si>
    <t xml:space="preserve">item Code</t>
  </si>
  <si>
    <t xml:space="preserve">Inv_Nbr</t>
  </si>
  <si>
    <t xml:space="preserve">Style No</t>
  </si>
  <si>
    <t xml:space="preserve">Color Code</t>
  </si>
  <si>
    <t xml:space="preserve">Color Name</t>
  </si>
  <si>
    <t xml:space="preserve">Cup</t>
  </si>
  <si>
    <t xml:space="preserve">Cost Price</t>
  </si>
  <si>
    <t xml:space="preserve">Retail Price</t>
  </si>
  <si>
    <t xml:space="preserve">QTY</t>
  </si>
  <si>
    <t xml:space="preserve">ITEM DESCRITION</t>
  </si>
  <si>
    <t xml:space="preserve">PRODUXT DESCRITION</t>
  </si>
  <si>
    <t xml:space="preserve">889501645190</t>
  </si>
  <si>
    <t xml:space="preserve">WACOAL</t>
  </si>
  <si>
    <t xml:space="preserve">FREYA</t>
  </si>
  <si>
    <t xml:space="preserve">TEMPTRESS</t>
  </si>
  <si>
    <t xml:space="preserve">TSHIRT</t>
  </si>
  <si>
    <t xml:space="preserve">UNDER WIRE</t>
  </si>
  <si>
    <t xml:space="preserve">PADDED</t>
  </si>
  <si>
    <t xml:space="preserve">BRA</t>
  </si>
  <si>
    <t xml:space="preserve">AA400131MDB28F</t>
  </si>
  <si>
    <t xml:space="preserve">3627412</t>
  </si>
  <si>
    <t xml:space="preserve">AA400131</t>
  </si>
  <si>
    <t xml:space="preserve">MDB</t>
  </si>
  <si>
    <t xml:space="preserve">Blue</t>
  </si>
  <si>
    <t xml:space="preserve">28</t>
  </si>
  <si>
    <t xml:space="preserve">F</t>
  </si>
  <si>
    <t xml:space="preserve">889501431212</t>
  </si>
  <si>
    <t xml:space="preserve">AA400131CHR30DD</t>
  </si>
  <si>
    <t xml:space="preserve">CHR</t>
  </si>
  <si>
    <t xml:space="preserve">Red</t>
  </si>
  <si>
    <t xml:space="preserve">30</t>
  </si>
  <si>
    <t xml:space="preserve">DD</t>
  </si>
  <si>
    <t xml:space="preserve">PACK OF3-MEDIUYM WAIST-THONG</t>
  </si>
  <si>
    <t xml:space="preserve">889501645244</t>
  </si>
  <si>
    <t xml:space="preserve">AA400131MDB30DD</t>
  </si>
  <si>
    <t xml:space="preserve">889501645275</t>
  </si>
  <si>
    <t xml:space="preserve">AA400131MDB30FF</t>
  </si>
  <si>
    <t xml:space="preserve">FF</t>
  </si>
  <si>
    <t xml:space="preserve">889501645497</t>
  </si>
  <si>
    <t xml:space="preserve">AA400131MDB36E</t>
  </si>
  <si>
    <t xml:space="preserve">36</t>
  </si>
  <si>
    <t xml:space="preserve">E</t>
  </si>
  <si>
    <t xml:space="preserve">889500569152</t>
  </si>
  <si>
    <t xml:space="preserve">SOIREE</t>
  </si>
  <si>
    <t xml:space="preserve">BRALATTE</t>
  </si>
  <si>
    <t xml:space="preserve">NON PADDED</t>
  </si>
  <si>
    <t xml:space="preserve">AA5014</t>
  </si>
  <si>
    <t xml:space="preserve">WHE</t>
  </si>
  <si>
    <t xml:space="preserve">White</t>
  </si>
  <si>
    <t xml:space="preserve">889500569145</t>
  </si>
  <si>
    <t xml:space="preserve">88950046345</t>
  </si>
  <si>
    <t xml:space="preserve">BLK</t>
  </si>
  <si>
    <t xml:space="preserve">BLACK</t>
  </si>
  <si>
    <t xml:space="preserve">889501288748</t>
  </si>
  <si>
    <t xml:space="preserve">VIVA</t>
  </si>
  <si>
    <t xml:space="preserve">BASIC</t>
  </si>
  <si>
    <t xml:space="preserve">AA5642NOR30DD</t>
  </si>
  <si>
    <t xml:space="preserve">AA5642</t>
  </si>
  <si>
    <t xml:space="preserve">NOR</t>
  </si>
  <si>
    <t xml:space="preserve">889501288755</t>
  </si>
  <si>
    <t xml:space="preserve">AA5642NOR30E</t>
  </si>
  <si>
    <t xml:space="preserve">889501559145</t>
  </si>
  <si>
    <t xml:space="preserve">AA5641LAM30E</t>
  </si>
  <si>
    <t xml:space="preserve">LAM</t>
  </si>
  <si>
    <t xml:space="preserve">BLUE</t>
  </si>
  <si>
    <t xml:space="preserve">889501288861</t>
  </si>
  <si>
    <t xml:space="preserve">AA5642NOR32DD</t>
  </si>
  <si>
    <t xml:space="preserve">32</t>
  </si>
  <si>
    <t xml:space="preserve">889501288878</t>
  </si>
  <si>
    <t xml:space="preserve">AA5642NOR32E</t>
  </si>
  <si>
    <t xml:space="preserve">889501289097</t>
  </si>
  <si>
    <t xml:space="preserve">AA5642NOR36D</t>
  </si>
  <si>
    <t xml:space="preserve">D</t>
  </si>
  <si>
    <t xml:space="preserve">889501559497</t>
  </si>
  <si>
    <t xml:space="preserve">AA5641LAM36DD</t>
  </si>
  <si>
    <t xml:space="preserve">AA5641</t>
  </si>
  <si>
    <t xml:space="preserve">889501555956</t>
  </si>
  <si>
    <t xml:space="preserve">TAILORED</t>
  </si>
  <si>
    <t xml:space="preserve">ASE</t>
  </si>
  <si>
    <t xml:space="preserve">Light Pink</t>
  </si>
  <si>
    <t xml:space="preserve">G</t>
  </si>
  <si>
    <t xml:space="preserve">889501004867</t>
  </si>
  <si>
    <t xml:space="preserve">FREYA FANCIES</t>
  </si>
  <si>
    <t xml:space="preserve">AA1030PEL</t>
  </si>
  <si>
    <t xml:space="preserve">AA1030</t>
  </si>
  <si>
    <t xml:space="preserve">PEL</t>
  </si>
  <si>
    <t xml:space="preserve">Pink</t>
  </si>
  <si>
    <t xml:space="preserve">1</t>
  </si>
  <si>
    <t xml:space="preserve">Log First</t>
  </si>
  <si>
    <t xml:space="preserve">889501004935</t>
  </si>
  <si>
    <t xml:space="preserve">AA1027</t>
  </si>
  <si>
    <t xml:space="preserve">889500981657</t>
  </si>
  <si>
    <t xml:space="preserve">AA1030NAE</t>
  </si>
  <si>
    <t xml:space="preserve">AA1028</t>
  </si>
  <si>
    <t xml:space="preserve">NAE</t>
  </si>
  <si>
    <t xml:space="preserve">Skin</t>
  </si>
  <si>
    <t xml:space="preserve">0</t>
  </si>
  <si>
    <t xml:space="preserve">889501004942</t>
  </si>
  <si>
    <t xml:space="preserve">AA1029</t>
  </si>
  <si>
    <t xml:space="preserve">889500981572</t>
  </si>
  <si>
    <t xml:space="preserve">889500981664</t>
  </si>
  <si>
    <t xml:space="preserve">889500981671</t>
  </si>
  <si>
    <t xml:space="preserve">889500981688</t>
  </si>
  <si>
    <t xml:space="preserve">889500981695</t>
  </si>
  <si>
    <t xml:space="preserve">GG</t>
  </si>
  <si>
    <t xml:space="preserve">889501005109</t>
  </si>
  <si>
    <t xml:space="preserve">HH</t>
  </si>
  <si>
    <t xml:space="preserve">889500981756</t>
  </si>
  <si>
    <t xml:space="preserve">AA1031</t>
  </si>
  <si>
    <t xml:space="preserve">34</t>
  </si>
  <si>
    <t xml:space="preserve">889500981770</t>
  </si>
  <si>
    <t xml:space="preserve">889501774616</t>
  </si>
  <si>
    <t xml:space="preserve">PPR</t>
  </si>
  <si>
    <t xml:space="preserve">Light Purple</t>
  </si>
  <si>
    <t xml:space="preserve">889500981787</t>
  </si>
  <si>
    <t xml:space="preserve">889500981794</t>
  </si>
  <si>
    <t xml:space="preserve">889500981800</t>
  </si>
  <si>
    <t xml:space="preserve">889500981817</t>
  </si>
  <si>
    <t xml:space="preserve">H</t>
  </si>
  <si>
    <t xml:space="preserve">889500981856</t>
  </si>
  <si>
    <t xml:space="preserve">889500981862</t>
  </si>
  <si>
    <t xml:space="preserve">889500981879</t>
  </si>
  <si>
    <t xml:space="preserve">889500981886</t>
  </si>
  <si>
    <t xml:space="preserve">889500981893</t>
  </si>
  <si>
    <t xml:space="preserve">889500981909</t>
  </si>
  <si>
    <t xml:space="preserve">889500981916</t>
  </si>
  <si>
    <t xml:space="preserve">889500981917</t>
  </si>
  <si>
    <t xml:space="preserve">h</t>
  </si>
  <si>
    <t xml:space="preserve">889500981985</t>
  </si>
  <si>
    <t xml:space="preserve">38</t>
  </si>
  <si>
    <t xml:space="preserve">889500981992</t>
  </si>
  <si>
    <t xml:space="preserve">889500982005</t>
  </si>
  <si>
    <t xml:space="preserve">889501774524</t>
  </si>
  <si>
    <t xml:space="preserve">889501774647</t>
  </si>
  <si>
    <t xml:space="preserve">889501774722</t>
  </si>
  <si>
    <t xml:space="preserve">889501774739</t>
  </si>
  <si>
    <t xml:space="preserve">889501774746</t>
  </si>
  <si>
    <t xml:space="preserve">889501774838</t>
  </si>
  <si>
    <t xml:space="preserve">889501774845</t>
  </si>
  <si>
    <t xml:space="preserve">889501774852</t>
  </si>
  <si>
    <t xml:space="preserve">889500981954</t>
  </si>
  <si>
    <t xml:space="preserve">889500981961</t>
  </si>
  <si>
    <t xml:space="preserve">889501774821</t>
  </si>
  <si>
    <t xml:space="preserve">193773093345</t>
  </si>
  <si>
    <t xml:space="preserve">STARLIGHT</t>
  </si>
  <si>
    <t xml:space="preserve">AA5201</t>
  </si>
  <si>
    <t xml:space="preserve">AA5202</t>
  </si>
  <si>
    <t xml:space="preserve">COR</t>
  </si>
  <si>
    <t xml:space="preserve">Corn</t>
  </si>
  <si>
    <t xml:space="preserve">193773093352</t>
  </si>
  <si>
    <t xml:space="preserve">AA5202COR38HH</t>
  </si>
  <si>
    <t xml:space="preserve">3886780706618</t>
  </si>
  <si>
    <t xml:space="preserve">AA5202BLK</t>
  </si>
  <si>
    <t xml:space="preserve">889500706205</t>
  </si>
  <si>
    <t xml:space="preserve">AA5201BLK30G</t>
  </si>
  <si>
    <t xml:space="preserve">889500706328</t>
  </si>
  <si>
    <t xml:space="preserve">AA5201BLK34G</t>
  </si>
  <si>
    <t xml:space="preserve">889500706380</t>
  </si>
  <si>
    <t xml:space="preserve">AA5201BLK36G</t>
  </si>
  <si>
    <t xml:space="preserve">889500706410</t>
  </si>
  <si>
    <t xml:space="preserve">AA5201BLK38E</t>
  </si>
  <si>
    <t xml:space="preserve">889500706441</t>
  </si>
  <si>
    <t xml:space="preserve">AA5201BLK38G</t>
  </si>
  <si>
    <t xml:space="preserve">889500706519</t>
  </si>
  <si>
    <t xml:space="preserve">AA5202BLK38HH</t>
  </si>
  <si>
    <t xml:space="preserve">889500706595</t>
  </si>
  <si>
    <t xml:space="preserve">AA5202BLK32GG</t>
  </si>
  <si>
    <t xml:space="preserve">889500706656</t>
  </si>
  <si>
    <t xml:space="preserve">AA5202BLK34GG</t>
  </si>
  <si>
    <t xml:space="preserve">889500706670</t>
  </si>
  <si>
    <t xml:space="preserve">AA5202BLK34HH</t>
  </si>
  <si>
    <t xml:space="preserve">889500706717</t>
  </si>
  <si>
    <t xml:space="preserve">AA5202BLK36GG</t>
  </si>
  <si>
    <t xml:space="preserve">889500706724</t>
  </si>
  <si>
    <t xml:space="preserve">AA5202BLK36H</t>
  </si>
  <si>
    <t xml:space="preserve">889500706731</t>
  </si>
  <si>
    <t xml:space="preserve">AA5202BLK36HH</t>
  </si>
  <si>
    <t xml:space="preserve">889500842378</t>
  </si>
  <si>
    <t xml:space="preserve">AA5201CAL</t>
  </si>
  <si>
    <t xml:space="preserve">CAL</t>
  </si>
  <si>
    <t xml:space="preserve">889500842408</t>
  </si>
  <si>
    <t xml:space="preserve">AA5201CAL30G</t>
  </si>
  <si>
    <t xml:space="preserve">889500842446</t>
  </si>
  <si>
    <t xml:space="preserve">889500842453</t>
  </si>
  <si>
    <t xml:space="preserve">889500842507</t>
  </si>
  <si>
    <t xml:space="preserve">AA5201CAL34F</t>
  </si>
  <si>
    <t xml:space="preserve">889500842514</t>
  </si>
  <si>
    <t xml:space="preserve">AA5201CAL34FF</t>
  </si>
  <si>
    <t xml:space="preserve">889500842521</t>
  </si>
  <si>
    <t xml:space="preserve">AA5201CAL34G</t>
  </si>
  <si>
    <t xml:space="preserve">889500842569</t>
  </si>
  <si>
    <t xml:space="preserve">AA5201CAL36F</t>
  </si>
  <si>
    <t xml:space="preserve">889500842576</t>
  </si>
  <si>
    <t xml:space="preserve">AA5201CAL36FF</t>
  </si>
  <si>
    <t xml:space="preserve">889500842583</t>
  </si>
  <si>
    <t xml:space="preserve">AA5201CAL36G</t>
  </si>
  <si>
    <t xml:space="preserve">889500842637</t>
  </si>
  <si>
    <t xml:space="preserve">AA5201CAL38FF</t>
  </si>
  <si>
    <t xml:space="preserve">889500842644</t>
  </si>
  <si>
    <t xml:space="preserve">AA5201CAL38G</t>
  </si>
  <si>
    <t xml:space="preserve">889500842699</t>
  </si>
  <si>
    <t xml:space="preserve">AA5202CAL38GG</t>
  </si>
  <si>
    <t xml:space="preserve">889500842705</t>
  </si>
  <si>
    <t xml:space="preserve">AA5202CAL38H</t>
  </si>
  <si>
    <t xml:space="preserve">889500842712</t>
  </si>
  <si>
    <t xml:space="preserve">AA5202CAL38HH</t>
  </si>
  <si>
    <t xml:space="preserve">889500842798</t>
  </si>
  <si>
    <t xml:space="preserve">AA5202CAL32GG</t>
  </si>
  <si>
    <t xml:space="preserve">889500842804</t>
  </si>
  <si>
    <t xml:space="preserve">AA5202CAL32H</t>
  </si>
  <si>
    <t xml:space="preserve">889500842811</t>
  </si>
  <si>
    <t xml:space="preserve">AA5202CAL32HH</t>
  </si>
  <si>
    <t xml:space="preserve">889500842828</t>
  </si>
  <si>
    <t xml:space="preserve">J</t>
  </si>
  <si>
    <t xml:space="preserve">889500842866</t>
  </si>
  <si>
    <t xml:space="preserve">AA5202CAL34H</t>
  </si>
  <si>
    <t xml:space="preserve">889500842873</t>
  </si>
  <si>
    <t xml:space="preserve">AA5202CAL34HH</t>
  </si>
  <si>
    <t xml:space="preserve">889500842880</t>
  </si>
  <si>
    <t xml:space="preserve">889500842910</t>
  </si>
  <si>
    <t xml:space="preserve">AA5202CAL36GG</t>
  </si>
  <si>
    <t xml:space="preserve">889500842927</t>
  </si>
  <si>
    <t xml:space="preserve">AA5202CAL36H</t>
  </si>
  <si>
    <t xml:space="preserve">889500987789</t>
  </si>
  <si>
    <t xml:space="preserve">AA5202WHE38GG</t>
  </si>
  <si>
    <t xml:space="preserve">889500987796</t>
  </si>
  <si>
    <t xml:space="preserve">AA5202WHE38H</t>
  </si>
  <si>
    <t xml:space="preserve">889500987802</t>
  </si>
  <si>
    <t xml:space="preserve">AA5202WHE38HH</t>
  </si>
  <si>
    <t xml:space="preserve">889500987901</t>
  </si>
  <si>
    <t xml:space="preserve">AA5202WHE32HH</t>
  </si>
  <si>
    <t xml:space="preserve">889500987956</t>
  </si>
  <si>
    <t xml:space="preserve">AA5202WHE34H</t>
  </si>
  <si>
    <t xml:space="preserve">889500988007</t>
  </si>
  <si>
    <t xml:space="preserve">AA5202WHE36GG</t>
  </si>
  <si>
    <t xml:space="preserve">889500988021</t>
  </si>
  <si>
    <t xml:space="preserve">AA5202WHE36HH</t>
  </si>
  <si>
    <t xml:space="preserve">889501005574</t>
  </si>
  <si>
    <t xml:space="preserve">AA5201WHE32G</t>
  </si>
  <si>
    <t xml:space="preserve">889501005635</t>
  </si>
  <si>
    <t xml:space="preserve">AA5201WHE34G</t>
  </si>
  <si>
    <t xml:space="preserve">889501005673</t>
  </si>
  <si>
    <t xml:space="preserve">AA5201WHE36F</t>
  </si>
  <si>
    <t xml:space="preserve">889501005680</t>
  </si>
  <si>
    <t xml:space="preserve">AA5201WHE36FF</t>
  </si>
  <si>
    <t xml:space="preserve">889501005758</t>
  </si>
  <si>
    <t xml:space="preserve">AA5201WHE38G</t>
  </si>
  <si>
    <t xml:space="preserve">889501201426</t>
  </si>
  <si>
    <t xml:space="preserve">AA5202WHE32FF</t>
  </si>
  <si>
    <t xml:space="preserve">ROR</t>
  </si>
  <si>
    <t xml:space="preserve">889501201488</t>
  </si>
  <si>
    <t xml:space="preserve">AA5201ROR34FF</t>
  </si>
  <si>
    <t xml:space="preserve">889501201549</t>
  </si>
  <si>
    <t xml:space="preserve">AA5201ROR36FF</t>
  </si>
  <si>
    <t xml:space="preserve">889501201556</t>
  </si>
  <si>
    <t xml:space="preserve">AA5201ROR36G</t>
  </si>
  <si>
    <t xml:space="preserve">889501201617</t>
  </si>
  <si>
    <t xml:space="preserve">AA5201ROR38G</t>
  </si>
  <si>
    <t xml:space="preserve">889501201662</t>
  </si>
  <si>
    <t xml:space="preserve">AA5202ROR38GG</t>
  </si>
  <si>
    <t xml:space="preserve">889501201679</t>
  </si>
  <si>
    <t xml:space="preserve">AA5202ROR38H</t>
  </si>
  <si>
    <t xml:space="preserve">889501201716</t>
  </si>
  <si>
    <t xml:space="preserve">AA5202ROR30H</t>
  </si>
  <si>
    <t xml:space="preserve">889501201785</t>
  </si>
  <si>
    <t xml:space="preserve">AA5202ROR32HH</t>
  </si>
  <si>
    <t xml:space="preserve">889501201846</t>
  </si>
  <si>
    <t xml:space="preserve">AA5202ROR34HH</t>
  </si>
  <si>
    <t xml:space="preserve">889501201884</t>
  </si>
  <si>
    <t xml:space="preserve">AA5202ROR36GG</t>
  </si>
  <si>
    <t xml:space="preserve">889501201891</t>
  </si>
  <si>
    <t xml:space="preserve">AA5202ROR36H</t>
  </si>
  <si>
    <t xml:space="preserve">889501501434</t>
  </si>
  <si>
    <t xml:space="preserve">AA5201PWE34F</t>
  </si>
  <si>
    <t xml:space="preserve">PWE</t>
  </si>
  <si>
    <t xml:space="preserve">Petrol</t>
  </si>
  <si>
    <t xml:space="preserve">889501501557</t>
  </si>
  <si>
    <t xml:space="preserve">AA5201PWE38F</t>
  </si>
  <si>
    <t xml:space="preserve">889501501700</t>
  </si>
  <si>
    <t xml:space="preserve">AA5202PWE32HH</t>
  </si>
  <si>
    <t xml:space="preserve">AA5202ROR38FF</t>
  </si>
  <si>
    <t xml:space="preserve">AA5202CAL38E</t>
  </si>
  <si>
    <t xml:space="preserve">889501880188</t>
  </si>
  <si>
    <t xml:space="preserve">SONIC</t>
  </si>
  <si>
    <t xml:space="preserve">SPORTS</t>
  </si>
  <si>
    <t xml:space="preserve">AC4892HZE32F</t>
  </si>
  <si>
    <t xml:space="preserve">AC4892</t>
  </si>
  <si>
    <t xml:space="preserve">HZE</t>
  </si>
  <si>
    <t xml:space="preserve">889501545896</t>
  </si>
  <si>
    <t xml:space="preserve">AC4892KHI32FF</t>
  </si>
  <si>
    <t xml:space="preserve">KHI</t>
  </si>
  <si>
    <t xml:space="preserve">Khaki Green</t>
  </si>
  <si>
    <t xml:space="preserve">88950417193</t>
  </si>
  <si>
    <t xml:space="preserve">AC4892NSE30F</t>
  </si>
  <si>
    <t xml:space="preserve">NSE</t>
  </si>
  <si>
    <t xml:space="preserve">Navy Blue</t>
  </si>
  <si>
    <t xml:space="preserve">889501880102</t>
  </si>
  <si>
    <t xml:space="preserve">AC4892HZE30G</t>
  </si>
  <si>
    <t xml:space="preserve">889501417216</t>
  </si>
  <si>
    <t xml:space="preserve">AC4892NSE30G</t>
  </si>
  <si>
    <t xml:space="preserve">889501417889</t>
  </si>
  <si>
    <t xml:space="preserve">AC4892NIE30G</t>
  </si>
  <si>
    <t xml:space="preserve">NIE</t>
  </si>
  <si>
    <t xml:space="preserve">889501289356</t>
  </si>
  <si>
    <t xml:space="preserve">AC4892LIE30E</t>
  </si>
  <si>
    <t xml:space="preserve">LIE</t>
  </si>
  <si>
    <t xml:space="preserve">Lime Green</t>
  </si>
  <si>
    <t xml:space="preserve">889501289370</t>
  </si>
  <si>
    <t xml:space="preserve">AC4892LIE30FF</t>
  </si>
  <si>
    <t xml:space="preserve">889501289455</t>
  </si>
  <si>
    <t xml:space="preserve">AC4892LIE32E</t>
  </si>
  <si>
    <t xml:space="preserve">889501417193</t>
  </si>
  <si>
    <t xml:space="preserve">AC4892NSE32F</t>
  </si>
  <si>
    <t xml:space="preserve">889501417285</t>
  </si>
  <si>
    <t xml:space="preserve">AC4892NSE32E</t>
  </si>
  <si>
    <t xml:space="preserve">889501417957</t>
  </si>
  <si>
    <t xml:space="preserve">AC4892NIE32E</t>
  </si>
  <si>
    <t xml:space="preserve">889501496846</t>
  </si>
  <si>
    <t xml:space="preserve">AC4892PLA32GG</t>
  </si>
  <si>
    <t xml:space="preserve">PLA</t>
  </si>
  <si>
    <t xml:space="preserve">Ice Blue</t>
  </si>
  <si>
    <t xml:space="preserve">889501643585</t>
  </si>
  <si>
    <t xml:space="preserve">AC4892KHI30E</t>
  </si>
  <si>
    <t xml:space="preserve">889501643592</t>
  </si>
  <si>
    <t xml:space="preserve">AC4892KHI30F</t>
  </si>
  <si>
    <t xml:space="preserve">889501643684</t>
  </si>
  <si>
    <t xml:space="preserve">AC4892KHI32E</t>
  </si>
  <si>
    <t xml:space="preserve">889501880195</t>
  </si>
  <si>
    <t xml:space="preserve">AC4892HZE32FF</t>
  </si>
  <si>
    <t xml:space="preserve">889501880263</t>
  </si>
  <si>
    <t xml:space="preserve">AC4892HZE34DD</t>
  </si>
  <si>
    <t xml:space="preserve">889501643783</t>
  </si>
  <si>
    <t xml:space="preserve">AC4892KHI34E</t>
  </si>
  <si>
    <t xml:space="preserve">889501643776</t>
  </si>
  <si>
    <t xml:space="preserve">AC4892KHI34DD</t>
  </si>
  <si>
    <t xml:space="preserve">889501496907</t>
  </si>
  <si>
    <t xml:space="preserve">AC4892PLA34E</t>
  </si>
  <si>
    <t xml:space="preserve">889501496914</t>
  </si>
  <si>
    <t xml:space="preserve">AC4892PLA34F</t>
  </si>
  <si>
    <t xml:space="preserve">889501417414</t>
  </si>
  <si>
    <t xml:space="preserve">AC4892NSE34G</t>
  </si>
  <si>
    <t xml:space="preserve">889501289653</t>
  </si>
  <si>
    <t xml:space="preserve">AC4892LIE36D</t>
  </si>
  <si>
    <t xml:space="preserve">889501417469</t>
  </si>
  <si>
    <t xml:space="preserve">AC4892NSE36D</t>
  </si>
  <si>
    <t xml:space="preserve">889501643868</t>
  </si>
  <si>
    <t xml:space="preserve">AC4892KHI36D</t>
  </si>
  <si>
    <t xml:space="preserve">889501643875</t>
  </si>
  <si>
    <t xml:space="preserve">AC4892KHI36DD</t>
  </si>
  <si>
    <t xml:space="preserve">889501497003</t>
  </si>
  <si>
    <t xml:space="preserve">AC4892PLA36E</t>
  </si>
  <si>
    <t xml:space="preserve">889501880386</t>
  </si>
  <si>
    <t xml:space="preserve">AC4892HZE36F</t>
  </si>
  <si>
    <t xml:space="preserve">889501880393</t>
  </si>
  <si>
    <t xml:space="preserve">AC4892HZE36FF</t>
  </si>
  <si>
    <t xml:space="preserve">889501880409</t>
  </si>
  <si>
    <t xml:space="preserve">AC4892HZE36G</t>
  </si>
  <si>
    <t xml:space="preserve">886279329208</t>
  </si>
  <si>
    <t xml:space="preserve">AC4892STM36G</t>
  </si>
  <si>
    <t xml:space="preserve">STM</t>
  </si>
  <si>
    <t xml:space="preserve">Black </t>
  </si>
  <si>
    <t xml:space="preserve">889501643295</t>
  </si>
  <si>
    <t xml:space="preserve">AC4892JUK36G</t>
  </si>
  <si>
    <t xml:space="preserve">JUK</t>
  </si>
  <si>
    <t xml:space="preserve">889501496402</t>
  </si>
  <si>
    <t xml:space="preserve">AC4892DEN36G</t>
  </si>
  <si>
    <t xml:space="preserve">DEN</t>
  </si>
  <si>
    <t xml:space="preserve">Denim blue</t>
  </si>
  <si>
    <t xml:space="preserve">889501880379</t>
  </si>
  <si>
    <t xml:space="preserve">889501289769</t>
  </si>
  <si>
    <t xml:space="preserve">AC4892LIE38D</t>
  </si>
  <si>
    <t xml:space="preserve">889501496464</t>
  </si>
  <si>
    <t xml:space="preserve">AC4892DEN38D</t>
  </si>
  <si>
    <t xml:space="preserve">Denim Blue</t>
  </si>
  <si>
    <t xml:space="preserve">889501880461</t>
  </si>
  <si>
    <t xml:space="preserve">AC4892HZE38DD</t>
  </si>
  <si>
    <t xml:space="preserve">889501417575</t>
  </si>
  <si>
    <t xml:space="preserve">AC4892NSE38DD</t>
  </si>
  <si>
    <t xml:space="preserve">889501880478</t>
  </si>
  <si>
    <t xml:space="preserve">AC4892HZE38E</t>
  </si>
  <si>
    <t xml:space="preserve">889501644001</t>
  </si>
  <si>
    <t xml:space="preserve">AC4892KHI38FF</t>
  </si>
  <si>
    <t xml:space="preserve">889501417612</t>
  </si>
  <si>
    <t xml:space="preserve">AC4892NSE38G</t>
  </si>
  <si>
    <t xml:space="preserve">889501644018</t>
  </si>
  <si>
    <t xml:space="preserve">AC4892KHI38G</t>
  </si>
  <si>
    <t xml:space="preserve">889501417629</t>
  </si>
  <si>
    <t xml:space="preserve">AC4892NSE38GG</t>
  </si>
  <si>
    <t xml:space="preserve">889501418299</t>
  </si>
  <si>
    <t xml:space="preserve">AC4892NIE38GG</t>
  </si>
  <si>
    <t xml:space="preserve">889501644063</t>
  </si>
  <si>
    <t xml:space="preserve">AC4892KHI40DD</t>
  </si>
  <si>
    <t xml:space="preserve">40</t>
  </si>
  <si>
    <t xml:space="preserve">889501289875</t>
  </si>
  <si>
    <t xml:space="preserve">AC4892LIE40E</t>
  </si>
  <si>
    <t xml:space="preserve">889501644070</t>
  </si>
  <si>
    <t xml:space="preserve">AC4892KHI40E</t>
  </si>
  <si>
    <t xml:space="preserve">889500260813</t>
  </si>
  <si>
    <t xml:space="preserve">AC4892CON40F</t>
  </si>
  <si>
    <t xml:space="preserve">CON</t>
  </si>
  <si>
    <t xml:space="preserve">DARK PINK</t>
  </si>
  <si>
    <t xml:space="preserve">889501644087</t>
  </si>
  <si>
    <t xml:space="preserve">AC4892KHI40F</t>
  </si>
  <si>
    <t xml:space="preserve">889501417667</t>
  </si>
  <si>
    <t xml:space="preserve">AC4892NSE40DD</t>
  </si>
  <si>
    <t xml:space="preserve">886279906515</t>
  </si>
  <si>
    <t xml:space="preserve">GODDESS</t>
  </si>
  <si>
    <t xml:space="preserve">YVETTE</t>
  </si>
  <si>
    <t xml:space="preserve">T SHIRT</t>
  </si>
  <si>
    <t xml:space="preserve">SEAMLESS</t>
  </si>
  <si>
    <t xml:space="preserve">GD6750BLK40E</t>
  </si>
  <si>
    <t xml:space="preserve">GD6750</t>
  </si>
  <si>
    <t xml:space="preserve">Black</t>
  </si>
  <si>
    <t xml:space="preserve">886279906539</t>
  </si>
  <si>
    <t xml:space="preserve">GD6750BLK42E</t>
  </si>
  <si>
    <t xml:space="preserve">42</t>
  </si>
  <si>
    <t xml:space="preserve">886279906652</t>
  </si>
  <si>
    <t xml:space="preserve">GD6750BLK38F</t>
  </si>
  <si>
    <t xml:space="preserve">886279906669</t>
  </si>
  <si>
    <t xml:space="preserve">GD6750BLK40F</t>
  </si>
  <si>
    <t xml:space="preserve">886279906676</t>
  </si>
  <si>
    <t xml:space="preserve">GD6750BLK42F</t>
  </si>
  <si>
    <t xml:space="preserve">886279906683</t>
  </si>
  <si>
    <t xml:space="preserve">GD6750BLK44F</t>
  </si>
  <si>
    <t xml:space="preserve">44</t>
  </si>
  <si>
    <t xml:space="preserve">886279906713</t>
  </si>
  <si>
    <t xml:space="preserve">GD6750BLK36FF</t>
  </si>
  <si>
    <t xml:space="preserve">886279906737</t>
  </si>
  <si>
    <t xml:space="preserve">GD6750BLK40FF</t>
  </si>
  <si>
    <t xml:space="preserve">886279906744</t>
  </si>
  <si>
    <t xml:space="preserve">GD6750BLK42FF</t>
  </si>
  <si>
    <t xml:space="preserve">886279906805</t>
  </si>
  <si>
    <t xml:space="preserve">GD6750BLK42G</t>
  </si>
  <si>
    <t xml:space="preserve">886279906829</t>
  </si>
  <si>
    <t xml:space="preserve">GD6750BLK36GG</t>
  </si>
  <si>
    <t xml:space="preserve">886279906850</t>
  </si>
  <si>
    <t xml:space="preserve">GD6750BLK42GG</t>
  </si>
  <si>
    <t xml:space="preserve">889500031758</t>
  </si>
  <si>
    <t xml:space="preserve">GD6750SAD40E</t>
  </si>
  <si>
    <t xml:space="preserve">SAD</t>
  </si>
  <si>
    <t xml:space="preserve">SKIN</t>
  </si>
  <si>
    <t xml:space="preserve">889500032052</t>
  </si>
  <si>
    <t xml:space="preserve">SAND</t>
  </si>
  <si>
    <t xml:space="preserve">889500032045</t>
  </si>
  <si>
    <t xml:space="preserve">GD6750SAD36G</t>
  </si>
  <si>
    <t xml:space="preserve">889500032069</t>
  </si>
  <si>
    <t xml:space="preserve">GD6750SAD38F</t>
  </si>
  <si>
    <t xml:space="preserve">889500032076</t>
  </si>
  <si>
    <t xml:space="preserve">GD6750SAD38FF</t>
  </si>
  <si>
    <t xml:space="preserve">889500032083</t>
  </si>
  <si>
    <t xml:space="preserve">GD6750SAD38G</t>
  </si>
  <si>
    <t xml:space="preserve">889500032106</t>
  </si>
  <si>
    <t xml:space="preserve">GD6750SAD40F</t>
  </si>
  <si>
    <t xml:space="preserve">889500032113</t>
  </si>
  <si>
    <t xml:space="preserve">GD6750SAD40FF</t>
  </si>
  <si>
    <t xml:space="preserve">889500032137</t>
  </si>
  <si>
    <t xml:space="preserve">GD6750SAD40GG</t>
  </si>
  <si>
    <t xml:space="preserve">889500032144</t>
  </si>
  <si>
    <t xml:space="preserve">GD6750SAD42F</t>
  </si>
  <si>
    <t xml:space="preserve">889500032151</t>
  </si>
  <si>
    <t xml:space="preserve">GD6750SAD42FF</t>
  </si>
  <si>
    <t xml:space="preserve">889500032168</t>
  </si>
  <si>
    <t xml:space="preserve">GD6750SAD42G</t>
  </si>
  <si>
    <t xml:space="preserve">889500032175</t>
  </si>
  <si>
    <t xml:space="preserve">GD6750SAD42GG</t>
  </si>
  <si>
    <t xml:space="preserve">889500032212</t>
  </si>
  <si>
    <t xml:space="preserve">GD6750SAD44FF</t>
  </si>
  <si>
    <t xml:space="preserve">886279906799</t>
  </si>
  <si>
    <t xml:space="preserve">GD6750BLK40G</t>
  </si>
  <si>
    <t xml:space="preserve">889501265510</t>
  </si>
  <si>
    <t xml:space="preserve">GD6750CHT40G</t>
  </si>
  <si>
    <t xml:space="preserve">CHT</t>
  </si>
  <si>
    <t xml:space="preserve">Choclate</t>
  </si>
  <si>
    <t xml:space="preserve">889501665228</t>
  </si>
  <si>
    <t xml:space="preserve">VERITY</t>
  </si>
  <si>
    <t xml:space="preserve">Lacy</t>
  </si>
  <si>
    <t xml:space="preserve">5 section Seam</t>
  </si>
  <si>
    <t xml:space="preserve">GD700204FAN36HH</t>
  </si>
  <si>
    <t xml:space="preserve">GD700204</t>
  </si>
  <si>
    <t xml:space="preserve">FAN</t>
  </si>
  <si>
    <t xml:space="preserve">889501665372</t>
  </si>
  <si>
    <t xml:space="preserve">GD700204FAN40G</t>
  </si>
  <si>
    <t xml:space="preserve">889501665402</t>
  </si>
  <si>
    <t xml:space="preserve">GD700204FAN40HH</t>
  </si>
  <si>
    <t xml:space="preserve">889501665488</t>
  </si>
  <si>
    <t xml:space="preserve">GD700204FAN42H</t>
  </si>
  <si>
    <t xml:space="preserve">889501665556</t>
  </si>
  <si>
    <t xml:space="preserve">GD700204FAN44G</t>
  </si>
  <si>
    <t xml:space="preserve">889501665617</t>
  </si>
  <si>
    <t xml:space="preserve">GD700204FAN46FF</t>
  </si>
  <si>
    <t xml:space="preserve">46</t>
  </si>
  <si>
    <t xml:space="preserve">889501665624</t>
  </si>
  <si>
    <t xml:space="preserve">GD700204FAN46G</t>
  </si>
  <si>
    <t xml:space="preserve">889501860180</t>
  </si>
  <si>
    <t xml:space="preserve">GD700204BLK48H</t>
  </si>
  <si>
    <t xml:space="preserve">48</t>
  </si>
  <si>
    <t xml:space="preserve">889501860302</t>
  </si>
  <si>
    <t xml:space="preserve">GD700204FAN48H</t>
  </si>
  <si>
    <t xml:space="preserve">889501860319</t>
  </si>
  <si>
    <t xml:space="preserve">GD700204FAN48HH</t>
  </si>
  <si>
    <t xml:space="preserve">889501928002</t>
  </si>
  <si>
    <t xml:space="preserve">GD700204HAD34HH</t>
  </si>
  <si>
    <t xml:space="preserve">HAD</t>
  </si>
  <si>
    <t xml:space="preserve">RED</t>
  </si>
  <si>
    <t xml:space="preserve">889501928064</t>
  </si>
  <si>
    <t xml:space="preserve">GD700204HAD36H</t>
  </si>
  <si>
    <t xml:space="preserve">889501665204</t>
  </si>
  <si>
    <t xml:space="preserve">GD700204HAD36HH</t>
  </si>
  <si>
    <t xml:space="preserve">889501928132</t>
  </si>
  <si>
    <t xml:space="preserve">GD700204HAD38GG</t>
  </si>
  <si>
    <t xml:space="preserve">889501928156</t>
  </si>
  <si>
    <t xml:space="preserve">GD700204HAD38HH</t>
  </si>
  <si>
    <t xml:space="preserve">889501928200</t>
  </si>
  <si>
    <t xml:space="preserve">GD700204HAD40G</t>
  </si>
  <si>
    <t xml:space="preserve">889501928224</t>
  </si>
  <si>
    <t xml:space="preserve">GD700204HAD40H</t>
  </si>
  <si>
    <t xml:space="preserve">889501928514</t>
  </si>
  <si>
    <t xml:space="preserve">GD700204HAD48H</t>
  </si>
  <si>
    <t xml:space="preserve">889501929207</t>
  </si>
  <si>
    <t xml:space="preserve">GD700204HAD38H</t>
  </si>
  <si>
    <t xml:space="preserve">889501929214</t>
  </si>
  <si>
    <t xml:space="preserve">GD700218HAD38HH</t>
  </si>
  <si>
    <t xml:space="preserve">GD700218</t>
  </si>
  <si>
    <t xml:space="preserve">889501665716</t>
  </si>
  <si>
    <t xml:space="preserve">GD700218FAN34K</t>
  </si>
  <si>
    <t xml:space="preserve">889501663378</t>
  </si>
  <si>
    <t xml:space="preserve">889501663385</t>
  </si>
  <si>
    <t xml:space="preserve">GD700218BLK36H</t>
  </si>
  <si>
    <t xml:space="preserve">GD700218FAN36H</t>
  </si>
  <si>
    <t xml:space="preserve">889501663392</t>
  </si>
  <si>
    <t xml:space="preserve">GD700218BLK36HH</t>
  </si>
  <si>
    <t xml:space="preserve">889501665808</t>
  </si>
  <si>
    <t xml:space="preserve">GD700218FAN36HH</t>
  </si>
  <si>
    <t xml:space="preserve">GD700218HAD38H</t>
  </si>
  <si>
    <t xml:space="preserve">889501665877</t>
  </si>
  <si>
    <t xml:space="preserve">GD700218FAN38H</t>
  </si>
  <si>
    <t xml:space="preserve">889501663477</t>
  </si>
  <si>
    <t xml:space="preserve">GD700218BLK38HH</t>
  </si>
  <si>
    <t xml:space="preserve">889501662968</t>
  </si>
  <si>
    <t xml:space="preserve">889501665938</t>
  </si>
  <si>
    <t xml:space="preserve">889501665952</t>
  </si>
  <si>
    <t xml:space="preserve">889501665976</t>
  </si>
  <si>
    <t xml:space="preserve">889501920306</t>
  </si>
  <si>
    <t xml:space="preserve">889501666034</t>
  </si>
  <si>
    <t xml:space="preserve">889501666041</t>
  </si>
  <si>
    <t xml:space="preserve">889501666171</t>
  </si>
  <si>
    <t xml:space="preserve">889500283942</t>
  </si>
  <si>
    <t xml:space="preserve">ADELAIDE</t>
  </si>
  <si>
    <t xml:space="preserve">Under wire</t>
  </si>
  <si>
    <t xml:space="preserve">Non Padded</t>
  </si>
  <si>
    <t xml:space="preserve">GD6663</t>
  </si>
  <si>
    <t xml:space="preserve">889500283959</t>
  </si>
  <si>
    <t xml:space="preserve">GD6664</t>
  </si>
  <si>
    <t xml:space="preserve">889500283997</t>
  </si>
  <si>
    <t xml:space="preserve">GD6665</t>
  </si>
  <si>
    <t xml:space="preserve">PANCHANAN INTERNATIONAL</t>
  </si>
  <si>
    <t xml:space="preserve">TRIUMPH</t>
  </si>
  <si>
    <t xml:space="preserve">MODERN FINESSE</t>
  </si>
  <si>
    <t xml:space="preserve">122|795</t>
  </si>
  <si>
    <t xml:space="preserve">J5</t>
  </si>
  <si>
    <t xml:space="preserve">CORAL</t>
  </si>
  <si>
    <t xml:space="preserve">load first</t>
  </si>
  <si>
    <t xml:space="preserve">EP</t>
  </si>
  <si>
    <t xml:space="preserve">PURPLE</t>
  </si>
  <si>
    <t xml:space="preserve">60 WP</t>
  </si>
  <si>
    <t xml:space="preserve">122|087</t>
  </si>
  <si>
    <t xml:space="preserve">5G</t>
  </si>
  <si>
    <t xml:space="preserve">B</t>
  </si>
  <si>
    <t xml:space="preserve">WP</t>
  </si>
  <si>
    <t xml:space="preserve">PINK</t>
  </si>
  <si>
    <t xml:space="preserve">C</t>
  </si>
  <si>
    <t xml:space="preserve">7613108840343</t>
  </si>
  <si>
    <t xml:space="preserve">7613113035925</t>
  </si>
  <si>
    <t xml:space="preserve">61 WP</t>
  </si>
  <si>
    <t xml:space="preserve">68</t>
  </si>
  <si>
    <t xml:space="preserve">7613108840381</t>
  </si>
  <si>
    <t xml:space="preserve">7613138930236</t>
  </si>
  <si>
    <t xml:space="preserve">MX</t>
  </si>
  <si>
    <t xml:space="preserve">G5</t>
  </si>
  <si>
    <t xml:space="preserve">60 P</t>
  </si>
  <si>
    <t xml:space="preserve">110|401</t>
  </si>
  <si>
    <t xml:space="preserve">FV</t>
  </si>
  <si>
    <t xml:space="preserve">MAROON</t>
  </si>
  <si>
    <t xml:space="preserve">7613141186088</t>
  </si>
  <si>
    <t xml:space="preserve">21 W</t>
  </si>
  <si>
    <t xml:space="preserve">150I669</t>
  </si>
  <si>
    <t xml:space="preserve">03</t>
  </si>
  <si>
    <t xml:space="preserve">WHITE</t>
  </si>
  <si>
    <t xml:space="preserve">7613114376195</t>
  </si>
  <si>
    <t xml:space="preserve">7613142603447</t>
  </si>
  <si>
    <t xml:space="preserve">WH</t>
  </si>
  <si>
    <t xml:space="preserve">7613114293966</t>
  </si>
  <si>
    <t xml:space="preserve">04</t>
  </si>
  <si>
    <t xml:space="preserve">YR</t>
  </si>
  <si>
    <t xml:space="preserve">GREEN</t>
  </si>
  <si>
    <t xml:space="preserve">7613114376256</t>
  </si>
  <si>
    <t xml:space="preserve">7613141186149</t>
  </si>
  <si>
    <t xml:space="preserve">7613114294024</t>
  </si>
  <si>
    <t xml:space="preserve">7613142602853</t>
  </si>
  <si>
    <t xml:space="preserve">X3</t>
  </si>
  <si>
    <t xml:space="preserve">UD</t>
  </si>
  <si>
    <t xml:space="preserve">7613114376317</t>
  </si>
  <si>
    <t xml:space="preserve">7611358606481</t>
  </si>
  <si>
    <t xml:space="preserve">7613114294086</t>
  </si>
  <si>
    <t xml:space="preserve">7613114376201</t>
  </si>
  <si>
    <t xml:space="preserve">7613141186095</t>
  </si>
  <si>
    <t xml:space="preserve">7613114294031</t>
  </si>
  <si>
    <t xml:space="preserve">7613141186217</t>
  </si>
  <si>
    <t xml:space="preserve">7613114294093</t>
  </si>
  <si>
    <t xml:space="preserve">7613114376324</t>
  </si>
  <si>
    <t xml:space="preserve">7613141186279</t>
  </si>
  <si>
    <t xml:space="preserve">7611358607389</t>
  </si>
  <si>
    <t xml:space="preserve">E6</t>
  </si>
  <si>
    <t xml:space="preserve">COFEE</t>
  </si>
  <si>
    <t xml:space="preserve">7613114294154</t>
  </si>
  <si>
    <t xml:space="preserve">7613114376386</t>
  </si>
  <si>
    <t xml:space="preserve">7613114294208</t>
  </si>
  <si>
    <t xml:space="preserve">7613141148840</t>
  </si>
  <si>
    <t xml:space="preserve">7613142602815</t>
  </si>
  <si>
    <t xml:space="preserve">7613114293980</t>
  </si>
  <si>
    <t xml:space="preserve">7613141186101</t>
  </si>
  <si>
    <t xml:space="preserve">7613114376218</t>
  </si>
  <si>
    <t xml:space="preserve">7613142603461</t>
  </si>
  <si>
    <t xml:space="preserve">7613142603768</t>
  </si>
  <si>
    <t xml:space="preserve">7613142602877</t>
  </si>
  <si>
    <t xml:space="preserve">7613114376270</t>
  </si>
  <si>
    <t xml:space="preserve">7613141186163</t>
  </si>
  <si>
    <t xml:space="preserve">7613114294109</t>
  </si>
  <si>
    <t xml:space="preserve">150I670</t>
  </si>
  <si>
    <t xml:space="preserve">7611358606504</t>
  </si>
  <si>
    <t xml:space="preserve">150I671</t>
  </si>
  <si>
    <t xml:space="preserve">7613114376331</t>
  </si>
  <si>
    <t xml:space="preserve">150I672</t>
  </si>
  <si>
    <t xml:space="preserve">7611358606917</t>
  </si>
  <si>
    <t xml:space="preserve">7613141186286</t>
  </si>
  <si>
    <t xml:space="preserve">7611358609468</t>
  </si>
  <si>
    <t xml:space="preserve">7613114376393</t>
  </si>
  <si>
    <t xml:space="preserve">7613114294161</t>
  </si>
  <si>
    <t xml:space="preserve">7613114376447</t>
  </si>
  <si>
    <t xml:space="preserve">7613114294215</t>
  </si>
  <si>
    <t xml:space="preserve">7613141186118</t>
  </si>
  <si>
    <t xml:space="preserve">7613142602822</t>
  </si>
  <si>
    <t xml:space="preserve">7613142603478</t>
  </si>
  <si>
    <t xml:space="preserve">7613114376225</t>
  </si>
  <si>
    <t xml:space="preserve">7613114293997</t>
  </si>
  <si>
    <t xml:space="preserve">7613142602884</t>
  </si>
  <si>
    <t xml:space="preserve">7613114376287</t>
  </si>
  <si>
    <t xml:space="preserve">7613142603775</t>
  </si>
  <si>
    <t xml:space="preserve">7611358607136</t>
  </si>
  <si>
    <t xml:space="preserve">COFFE</t>
  </si>
  <si>
    <t xml:space="preserve">7613137815794</t>
  </si>
  <si>
    <t xml:space="preserve">7613114294116</t>
  </si>
  <si>
    <t xml:space="preserve">7613114376348</t>
  </si>
  <si>
    <t xml:space="preserve">7613114376409</t>
  </si>
  <si>
    <t xml:space="preserve">7613141186293</t>
  </si>
  <si>
    <t xml:space="preserve">7613114294222</t>
  </si>
  <si>
    <t xml:space="preserve">7613114376454</t>
  </si>
  <si>
    <t xml:space="preserve">7613114376294</t>
  </si>
  <si>
    <t xml:space="preserve">7613114294062</t>
  </si>
  <si>
    <t xml:space="preserve">7613141186248</t>
  </si>
  <si>
    <t xml:space="preserve">7613114294123</t>
  </si>
  <si>
    <t xml:space="preserve">7613114376355</t>
  </si>
  <si>
    <t xml:space="preserve">7613114294185</t>
  </si>
  <si>
    <t xml:space="preserve">21 N</t>
  </si>
  <si>
    <t xml:space="preserve">NON WIRE</t>
  </si>
  <si>
    <t xml:space="preserve">100|300</t>
  </si>
  <si>
    <t xml:space="preserve">7613114356593</t>
  </si>
  <si>
    <t xml:space="preserve">7613141185388</t>
  </si>
  <si>
    <t xml:space="preserve">7613114290040</t>
  </si>
  <si>
    <t xml:space="preserve">7613141185449</t>
  </si>
  <si>
    <t xml:space="preserve">7613141185395</t>
  </si>
  <si>
    <t xml:space="preserve">7613142602563</t>
  </si>
  <si>
    <t xml:space="preserve">7613114289990</t>
  </si>
  <si>
    <t xml:space="preserve">7613142602624</t>
  </si>
  <si>
    <t xml:space="preserve">7613114364901</t>
  </si>
  <si>
    <t xml:space="preserve">7613141185517</t>
  </si>
  <si>
    <t xml:space="preserve">7613114364963</t>
  </si>
  <si>
    <t xml:space="preserve">7613114289945</t>
  </si>
  <si>
    <t xml:space="preserve">7613141185401</t>
  </si>
  <si>
    <t xml:space="preserve">WHITE </t>
  </si>
  <si>
    <t xml:space="preserve">7613141185463</t>
  </si>
  <si>
    <t xml:space="preserve">7613114290064</t>
  </si>
  <si>
    <t xml:space="preserve">7613114289952</t>
  </si>
  <si>
    <t xml:space="preserve">7613114356562</t>
  </si>
  <si>
    <t xml:space="preserve">7613141185357</t>
  </si>
  <si>
    <t xml:space="preserve">7613141185418</t>
  </si>
  <si>
    <t xml:space="preserve">7613114290019</t>
  </si>
  <si>
    <t xml:space="preserve">7613114356623</t>
  </si>
  <si>
    <t xml:space="preserve">7613141147966</t>
  </si>
  <si>
    <t xml:space="preserve">7613114290071</t>
  </si>
  <si>
    <t xml:space="preserve">7613141185470</t>
  </si>
  <si>
    <t xml:space="preserve">7613141185425</t>
  </si>
  <si>
    <t xml:space="preserve">7613114364994</t>
  </si>
  <si>
    <t xml:space="preserve">7613141156302</t>
  </si>
  <si>
    <t xml:space="preserve">112 W</t>
  </si>
  <si>
    <t xml:space="preserve">151|263</t>
  </si>
  <si>
    <t xml:space="preserve">LZ</t>
  </si>
  <si>
    <t xml:space="preserve">F4</t>
  </si>
  <si>
    <t xml:space="preserve">7613141155848</t>
  </si>
  <si>
    <t xml:space="preserve">7613113513874</t>
  </si>
  <si>
    <t xml:space="preserve">7613113513911</t>
  </si>
  <si>
    <t xml:space="preserve">7613141155855</t>
  </si>
  <si>
    <t xml:space="preserve">7613141155893</t>
  </si>
  <si>
    <t xml:space="preserve">7613113513966</t>
  </si>
  <si>
    <t xml:space="preserve">7613141155930</t>
  </si>
  <si>
    <t xml:space="preserve">7613141155862</t>
  </si>
  <si>
    <t xml:space="preserve">7613142621977</t>
  </si>
  <si>
    <t xml:space="preserve">SV</t>
  </si>
  <si>
    <t xml:space="preserve">7613113513973</t>
  </si>
  <si>
    <t xml:space="preserve">151|264</t>
  </si>
  <si>
    <t xml:space="preserve">7613141155947</t>
  </si>
  <si>
    <t xml:space="preserve">7613142620390</t>
  </si>
  <si>
    <t xml:space="preserve">7613142622028</t>
  </si>
  <si>
    <t xml:space="preserve">7613141155879</t>
  </si>
  <si>
    <t xml:space="preserve">7613113513942</t>
  </si>
  <si>
    <t xml:space="preserve">7613113513980</t>
  </si>
  <si>
    <t xml:space="preserve">7613141155916</t>
  </si>
  <si>
    <t xml:space="preserve">7613142620451</t>
  </si>
  <si>
    <t xml:space="preserve">7613113513270</t>
  </si>
  <si>
    <t xml:space="preserve">112W</t>
  </si>
  <si>
    <t xml:space="preserve">100|526</t>
  </si>
  <si>
    <t xml:space="preserve">7613141155664</t>
  </si>
  <si>
    <t xml:space="preserve">112 N</t>
  </si>
  <si>
    <t xml:space="preserve">TE</t>
  </si>
  <si>
    <t xml:space="preserve">ZE</t>
  </si>
  <si>
    <t xml:space="preserve">113 N</t>
  </si>
  <si>
    <t xml:space="preserve">AZALEA W</t>
  </si>
  <si>
    <t xml:space="preserve">151|452</t>
  </si>
  <si>
    <t xml:space="preserve">YM</t>
  </si>
  <si>
    <t xml:space="preserve">BB</t>
  </si>
  <si>
    <t xml:space="preserve">GREY</t>
  </si>
  <si>
    <t xml:space="preserve">100|576</t>
  </si>
  <si>
    <t xml:space="preserve">GORGEOUS W</t>
  </si>
  <si>
    <t xml:space="preserve">151|501</t>
  </si>
  <si>
    <t xml:space="preserve">MN</t>
  </si>
  <si>
    <t xml:space="preserve">7611358621217</t>
  </si>
  <si>
    <t xml:space="preserve">121 W</t>
  </si>
  <si>
    <t xml:space="preserve">151I265</t>
  </si>
  <si>
    <t xml:space="preserve">UN</t>
  </si>
  <si>
    <t xml:space="preserve">7611358620999</t>
  </si>
  <si>
    <t xml:space="preserve">UC</t>
  </si>
  <si>
    <t xml:space="preserve">7613142625968</t>
  </si>
  <si>
    <t xml:space="preserve">7611358621484</t>
  </si>
  <si>
    <t xml:space="preserve">7611358621538</t>
  </si>
  <si>
    <t xml:space="preserve">7611358621002</t>
  </si>
  <si>
    <t xml:space="preserve">7611358621224</t>
  </si>
  <si>
    <t xml:space="preserve">7611358621453</t>
  </si>
  <si>
    <t xml:space="preserve">7613142625456</t>
  </si>
  <si>
    <t xml:space="preserve">7611358621019</t>
  </si>
  <si>
    <t xml:space="preserve">7613142625982</t>
  </si>
  <si>
    <t xml:space="preserve">7613142625418</t>
  </si>
  <si>
    <t xml:space="preserve">7611358620777</t>
  </si>
  <si>
    <t xml:space="preserve">7611358621460</t>
  </si>
  <si>
    <t xml:space="preserve">7611358621026</t>
  </si>
  <si>
    <t xml:space="preserve">7611358621514</t>
  </si>
  <si>
    <t xml:space="preserve">7611358621125</t>
  </si>
  <si>
    <t xml:space="preserve">7611358621569</t>
  </si>
  <si>
    <t xml:space="preserve">7611358673971</t>
  </si>
  <si>
    <t xml:space="preserve">Blossom Spotlight WP</t>
  </si>
  <si>
    <t xml:space="preserve">123|555</t>
  </si>
  <si>
    <t xml:space="preserve">HM</t>
  </si>
  <si>
    <t xml:space="preserve">2399</t>
  </si>
  <si>
    <t xml:space="preserve">GJ</t>
  </si>
  <si>
    <t xml:space="preserve">7611358674404</t>
  </si>
  <si>
    <t xml:space="preserve">7611358672912</t>
  </si>
  <si>
    <t xml:space="preserve">7611358674459</t>
  </si>
  <si>
    <t xml:space="preserve">7611358672875</t>
  </si>
  <si>
    <t xml:space="preserve">7611358673902</t>
  </si>
  <si>
    <t xml:space="preserve">7611358672882</t>
  </si>
  <si>
    <t xml:space="preserve">7611358673940</t>
  </si>
  <si>
    <t xml:space="preserve">7611358674473</t>
  </si>
  <si>
    <t xml:space="preserve">7611358673957</t>
  </si>
  <si>
    <t xml:space="preserve">7611358673575</t>
  </si>
  <si>
    <t xml:space="preserve">7611358663590</t>
  </si>
  <si>
    <t xml:space="preserve">BANDEAU W</t>
  </si>
  <si>
    <t xml:space="preserve">123|283</t>
  </si>
  <si>
    <t xml:space="preserve">XU</t>
  </si>
  <si>
    <t xml:space="preserve">1899</t>
  </si>
  <si>
    <t xml:space="preserve">7611358663620</t>
  </si>
  <si>
    <t xml:space="preserve">7613108962250</t>
  </si>
  <si>
    <t xml:space="preserve">94</t>
  </si>
  <si>
    <t xml:space="preserve">7613108962489</t>
  </si>
  <si>
    <t xml:space="preserve">7613142658935</t>
  </si>
  <si>
    <t xml:space="preserve">9J</t>
  </si>
  <si>
    <t xml:space="preserve">7613142656337</t>
  </si>
  <si>
    <t xml:space="preserve">7613108962236</t>
  </si>
  <si>
    <t xml:space="preserve">7611358663637</t>
  </si>
  <si>
    <t xml:space="preserve">7613108962267</t>
  </si>
  <si>
    <t xml:space="preserve">7613108962496</t>
  </si>
  <si>
    <t xml:space="preserve">7611358663675</t>
  </si>
  <si>
    <t xml:space="preserve">7611358663644</t>
  </si>
  <si>
    <t xml:space="preserve">7613108962274</t>
  </si>
  <si>
    <t xml:space="preserve">7613108962502</t>
  </si>
  <si>
    <t xml:space="preserve">7613108962243</t>
  </si>
  <si>
    <t xml:space="preserve">7611358677375</t>
  </si>
  <si>
    <t xml:space="preserve">Gorgeous Silhouette WP</t>
  </si>
  <si>
    <t xml:space="preserve">122|558</t>
  </si>
  <si>
    <t xml:space="preserve">19</t>
  </si>
  <si>
    <t xml:space="preserve">34D</t>
  </si>
  <si>
    <t xml:space="preserve">2299</t>
  </si>
  <si>
    <t xml:space="preserve">7613108039341</t>
  </si>
  <si>
    <t xml:space="preserve">SM</t>
  </si>
  <si>
    <t xml:space="preserve">7611358678051</t>
  </si>
  <si>
    <t xml:space="preserve">7613108039358</t>
  </si>
  <si>
    <t xml:space="preserve">7613108039389</t>
  </si>
  <si>
    <t xml:space="preserve">7613108039365</t>
  </si>
  <si>
    <t xml:space="preserve">2</t>
  </si>
  <si>
    <t xml:space="preserve">7613108039396</t>
  </si>
  <si>
    <t xml:space="preserve">7611358678075</t>
  </si>
  <si>
    <t xml:space="preserve">7611358663835</t>
  </si>
  <si>
    <t xml:space="preserve">SILHOUETTE W</t>
  </si>
  <si>
    <t xml:space="preserve">123|289</t>
  </si>
  <si>
    <t xml:space="preserve">PL</t>
  </si>
  <si>
    <t xml:space="preserve">1999</t>
  </si>
  <si>
    <t xml:space="preserve">7611358663699</t>
  </si>
  <si>
    <t xml:space="preserve">7611358663866</t>
  </si>
  <si>
    <t xml:space="preserve">7611358663903</t>
  </si>
  <si>
    <t xml:space="preserve">7611358663729</t>
  </si>
  <si>
    <t xml:space="preserve">7611358663842</t>
  </si>
  <si>
    <t xml:space="preserve">7611358663873</t>
  </si>
  <si>
    <t xml:space="preserve">7611358663736</t>
  </si>
  <si>
    <t xml:space="preserve">7611358663774</t>
  </si>
  <si>
    <t xml:space="preserve">7611358663910</t>
  </si>
  <si>
    <t xml:space="preserve">7611358663958</t>
  </si>
  <si>
    <t xml:space="preserve">7611358663811</t>
  </si>
  <si>
    <t xml:space="preserve">123I289</t>
  </si>
  <si>
    <t xml:space="preserve">7611358663859</t>
  </si>
  <si>
    <t xml:space="preserve">7611358663712</t>
  </si>
  <si>
    <t xml:space="preserve">7611358663781</t>
  </si>
  <si>
    <t xml:space="preserve">7611358663927</t>
  </si>
  <si>
    <t xml:space="preserve">7611358663750</t>
  </si>
  <si>
    <t xml:space="preserve">7611358663897</t>
  </si>
  <si>
    <t xml:space="preserve">7613111038850</t>
  </si>
  <si>
    <t xml:space="preserve">BODY SMOOTH W</t>
  </si>
  <si>
    <t xml:space="preserve">123I583</t>
  </si>
  <si>
    <t xml:space="preserve">7613111038898</t>
  </si>
  <si>
    <t xml:space="preserve">7613111038836</t>
  </si>
  <si>
    <t xml:space="preserve">7613111038843</t>
  </si>
  <si>
    <t xml:space="preserve">76131111038881</t>
  </si>
  <si>
    <t xml:space="preserve">7613111038911</t>
  </si>
  <si>
    <t xml:space="preserve">7613111038959</t>
  </si>
  <si>
    <t xml:space="preserve">7613111137409</t>
  </si>
  <si>
    <t xml:space="preserve">NN</t>
  </si>
  <si>
    <t xml:space="preserve">NUDE</t>
  </si>
  <si>
    <t xml:space="preserve">7613111137386</t>
  </si>
  <si>
    <t xml:space="preserve">76131111373993</t>
  </si>
  <si>
    <t xml:space="preserve">123|583</t>
  </si>
  <si>
    <t xml:space="preserve">7613111038966</t>
  </si>
  <si>
    <t xml:space="preserve">7613136523461</t>
  </si>
  <si>
    <t xml:space="preserve">SENSATION W</t>
  </si>
  <si>
    <t xml:space="preserve">151|437</t>
  </si>
  <si>
    <t xml:space="preserve">7613136523584</t>
  </si>
  <si>
    <t xml:space="preserve">7613136523539</t>
  </si>
  <si>
    <t xml:space="preserve">7613136523591</t>
  </si>
  <si>
    <t xml:space="preserve">7613136523478</t>
  </si>
  <si>
    <t xml:space="preserve">7613136523546</t>
  </si>
  <si>
    <t xml:space="preserve">7613136523485</t>
  </si>
  <si>
    <t xml:space="preserve">7613136523492</t>
  </si>
  <si>
    <t xml:space="preserve">7613136523553</t>
  </si>
  <si>
    <t xml:space="preserve">7613136523676</t>
  </si>
  <si>
    <t xml:space="preserve">889501797806</t>
  </si>
  <si>
    <t xml:space="preserve">FANTASIE</t>
  </si>
  <si>
    <t xml:space="preserve">ENVISAGE UW FULL CUP SIDE</t>
  </si>
  <si>
    <t xml:space="preserve">FL6912</t>
  </si>
  <si>
    <t xml:space="preserve">ICE</t>
  </si>
  <si>
    <t xml:space="preserve">ICE Blue</t>
  </si>
  <si>
    <t xml:space="preserve">889501404353</t>
  </si>
  <si>
    <t xml:space="preserve">TAE</t>
  </si>
  <si>
    <t xml:space="preserve">Dark SKIN</t>
  </si>
  <si>
    <t xml:space="preserve">889501404360</t>
  </si>
  <si>
    <t xml:space="preserve">889501797868</t>
  </si>
  <si>
    <t xml:space="preserve">ENVISAGE  UW FULL CUP SIDE</t>
  </si>
  <si>
    <t xml:space="preserve">889501797875</t>
  </si>
  <si>
    <t xml:space="preserve">889501797882</t>
  </si>
  <si>
    <t xml:space="preserve">889501900976</t>
  </si>
  <si>
    <t xml:space="preserve">889501797912</t>
  </si>
  <si>
    <t xml:space="preserve">889501797943</t>
  </si>
  <si>
    <t xml:space="preserve">889501797950</t>
  </si>
  <si>
    <t xml:space="preserve">889501797967</t>
  </si>
  <si>
    <t xml:space="preserve">889501636921</t>
  </si>
  <si>
    <t xml:space="preserve">889501797974</t>
  </si>
  <si>
    <t xml:space="preserve">889501797981</t>
  </si>
  <si>
    <t xml:space="preserve">193773397214</t>
  </si>
  <si>
    <t xml:space="preserve">PAN</t>
  </si>
  <si>
    <t xml:space="preserve">889501798049</t>
  </si>
  <si>
    <t xml:space="preserve">193773233215</t>
  </si>
  <si>
    <t xml:space="preserve">PUV</t>
  </si>
  <si>
    <t xml:space="preserve">Purple</t>
  </si>
  <si>
    <t xml:space="preserve">889501798063</t>
  </si>
  <si>
    <t xml:space="preserve">889501404377</t>
  </si>
  <si>
    <t xml:space="preserve">889501404384</t>
  </si>
  <si>
    <t xml:space="preserve">889501404414</t>
  </si>
  <si>
    <t xml:space="preserve">193773233116</t>
  </si>
  <si>
    <t xml:space="preserve">889501404438</t>
  </si>
  <si>
    <t xml:space="preserve">889501636846</t>
  </si>
  <si>
    <t xml:space="preserve">889501404452</t>
  </si>
  <si>
    <t xml:space="preserve">889501636853</t>
  </si>
  <si>
    <t xml:space="preserve">889501404476</t>
  </si>
  <si>
    <t xml:space="preserve">889501636884</t>
  </si>
  <si>
    <t xml:space="preserve">889501901012</t>
  </si>
  <si>
    <t xml:space="preserve">889501524006</t>
  </si>
  <si>
    <t xml:space="preserve">DON</t>
  </si>
  <si>
    <t xml:space="preserve">DENIM BLUE</t>
  </si>
  <si>
    <t xml:space="preserve">889501901449</t>
  </si>
  <si>
    <t xml:space="preserve">RAY</t>
  </si>
  <si>
    <t xml:space="preserve">889501901029</t>
  </si>
  <si>
    <t xml:space="preserve">193773233185</t>
  </si>
  <si>
    <t xml:space="preserve">889501636907</t>
  </si>
  <si>
    <t xml:space="preserve">889501901036</t>
  </si>
  <si>
    <t xml:space="preserve">889501901456</t>
  </si>
  <si>
    <t xml:space="preserve">889501524020</t>
  </si>
  <si>
    <t xml:space="preserve">193773233192</t>
  </si>
  <si>
    <t xml:space="preserve">889501901050</t>
  </si>
  <si>
    <t xml:space="preserve">889501901487</t>
  </si>
  <si>
    <t xml:space="preserve">889501901484</t>
  </si>
  <si>
    <t xml:space="preserve">889501636969</t>
  </si>
  <si>
    <t xml:space="preserve">889501901104</t>
  </si>
  <si>
    <t xml:space="preserve">889501636976</t>
  </si>
  <si>
    <t xml:space="preserve">889501404599</t>
  </si>
  <si>
    <t xml:space="preserve">193773233277</t>
  </si>
  <si>
    <t xml:space="preserve">193773233284</t>
  </si>
  <si>
    <t xml:space="preserve">889501404605</t>
  </si>
  <si>
    <t xml:space="preserve">889501524112</t>
  </si>
  <si>
    <t xml:space="preserve">889501404698</t>
  </si>
  <si>
    <t xml:space="preserve">889501404704</t>
  </si>
  <si>
    <t xml:space="preserve">889501404711</t>
  </si>
  <si>
    <t xml:space="preserve">889501524228</t>
  </si>
  <si>
    <t xml:space="preserve">193773233406</t>
  </si>
  <si>
    <t xml:space="preserve">889501524150</t>
  </si>
  <si>
    <t xml:space="preserve">889501901609</t>
  </si>
  <si>
    <t xml:space="preserve">889501404650</t>
  </si>
  <si>
    <t xml:space="preserve">889501637065</t>
  </si>
  <si>
    <t xml:space="preserve">889501900183</t>
  </si>
  <si>
    <t xml:space="preserve">889501221066</t>
  </si>
  <si>
    <t xml:space="preserve">889501900190</t>
  </si>
  <si>
    <t xml:space="preserve">889501522170</t>
  </si>
  <si>
    <t xml:space="preserve">ANA UW MOULDED SPACER BRA</t>
  </si>
  <si>
    <t xml:space="preserve">FL6701</t>
  </si>
  <si>
    <t xml:space="preserve">SAE</t>
  </si>
  <si>
    <t xml:space="preserve">SAGE BLUE</t>
  </si>
  <si>
    <t xml:space="preserve">889501522187</t>
  </si>
  <si>
    <t xml:space="preserve">193773231402</t>
  </si>
  <si>
    <t xml:space="preserve">OLE</t>
  </si>
  <si>
    <t xml:space="preserve">Olive Green</t>
  </si>
  <si>
    <t xml:space="preserve">193773084824</t>
  </si>
  <si>
    <t xml:space="preserve">VAA</t>
  </si>
  <si>
    <t xml:space="preserve">Vanilla</t>
  </si>
  <si>
    <t xml:space="preserve">193773084827</t>
  </si>
  <si>
    <t xml:space="preserve">889501522231</t>
  </si>
  <si>
    <t xml:space="preserve">193773084930</t>
  </si>
  <si>
    <t xml:space="preserve">193773084947</t>
  </si>
  <si>
    <t xml:space="preserve">193773085005</t>
  </si>
  <si>
    <t xml:space="preserve">193773085012</t>
  </si>
  <si>
    <t xml:space="preserve">193773085128</t>
  </si>
  <si>
    <t xml:space="preserve">193773085135</t>
  </si>
  <si>
    <t xml:space="preserve">193773085142</t>
  </si>
  <si>
    <t xml:space="preserve">193773085159</t>
  </si>
  <si>
    <t xml:space="preserve">193773085180</t>
  </si>
  <si>
    <t xml:space="preserve">193773085197</t>
  </si>
  <si>
    <t xml:space="preserve">889501922659</t>
  </si>
  <si>
    <t xml:space="preserve">ROW</t>
  </si>
  <si>
    <t xml:space="preserve">Brick red</t>
  </si>
  <si>
    <t xml:space="preserve">889501522507</t>
  </si>
  <si>
    <t xml:space="preserve">889501522514</t>
  </si>
  <si>
    <t xml:space="preserve">889501634453</t>
  </si>
  <si>
    <t xml:space="preserve">889501634521</t>
  </si>
  <si>
    <t xml:space="preserve">889501221042</t>
  </si>
  <si>
    <t xml:space="preserve">889501219513</t>
  </si>
  <si>
    <t xml:space="preserve">889501219520</t>
  </si>
  <si>
    <t xml:space="preserve">889501634538</t>
  </si>
  <si>
    <t xml:space="preserve">652819446922</t>
  </si>
  <si>
    <t xml:space="preserve">SMOOTHING MOULDED STRAPLESS</t>
  </si>
  <si>
    <t xml:space="preserve">STRAPLESS</t>
  </si>
  <si>
    <t xml:space="preserve">FL4530NUE32G</t>
  </si>
  <si>
    <t xml:space="preserve">FL4530</t>
  </si>
  <si>
    <t xml:space="preserve">NUE</t>
  </si>
  <si>
    <t xml:space="preserve">652819446427</t>
  </si>
  <si>
    <t xml:space="preserve">FL4530BLK30E</t>
  </si>
  <si>
    <t xml:space="preserve">652819446434</t>
  </si>
  <si>
    <t xml:space="preserve">FL4530BLK30F</t>
  </si>
  <si>
    <t xml:space="preserve">652819446441</t>
  </si>
  <si>
    <t xml:space="preserve">FL4530BLK30FF</t>
  </si>
  <si>
    <t xml:space="preserve">652819446458</t>
  </si>
  <si>
    <t xml:space="preserve">FL4530BLK30G</t>
  </si>
  <si>
    <t xml:space="preserve">652819446489</t>
  </si>
  <si>
    <t xml:space="preserve">652819446496</t>
  </si>
  <si>
    <t xml:space="preserve">FL4530BLK32E</t>
  </si>
  <si>
    <t xml:space="preserve">652819446502</t>
  </si>
  <si>
    <t xml:space="preserve">FL4530BLK32F</t>
  </si>
  <si>
    <t xml:space="preserve">652819446519</t>
  </si>
  <si>
    <t xml:space="preserve">FL4530BLK32FF</t>
  </si>
  <si>
    <t xml:space="preserve">652819446588</t>
  </si>
  <si>
    <t xml:space="preserve">FL4530BLK34F</t>
  </si>
  <si>
    <t xml:space="preserve">652819446595</t>
  </si>
  <si>
    <t xml:space="preserve">FL4530BLK34FF</t>
  </si>
  <si>
    <t xml:space="preserve">652819446601</t>
  </si>
  <si>
    <t xml:space="preserve">FL4530BLK34G</t>
  </si>
  <si>
    <t xml:space="preserve">652819446649</t>
  </si>
  <si>
    <t xml:space="preserve">FL4530BLK36DD</t>
  </si>
  <si>
    <t xml:space="preserve">652819446656</t>
  </si>
  <si>
    <t xml:space="preserve">FL4530BLK36E</t>
  </si>
  <si>
    <t xml:space="preserve">652819446663</t>
  </si>
  <si>
    <t xml:space="preserve">FL4530BLK36F</t>
  </si>
  <si>
    <t xml:space="preserve">652819446670</t>
  </si>
  <si>
    <t xml:space="preserve">FL4530BLK36FF</t>
  </si>
  <si>
    <t xml:space="preserve">652819446717</t>
  </si>
  <si>
    <t xml:space="preserve">652819446724</t>
  </si>
  <si>
    <t xml:space="preserve">FL4530BLK38DD</t>
  </si>
  <si>
    <t xml:space="preserve">652819446731</t>
  </si>
  <si>
    <t xml:space="preserve">FL4530BLK38E</t>
  </si>
  <si>
    <t xml:space="preserve">652819446748</t>
  </si>
  <si>
    <t xml:space="preserve">FL4530BLK38F</t>
  </si>
  <si>
    <t xml:space="preserve">652819446809</t>
  </si>
  <si>
    <t xml:space="preserve">FL4530BLK42D</t>
  </si>
  <si>
    <t xml:space="preserve">652819446823</t>
  </si>
  <si>
    <t xml:space="preserve">FL4530NUE30E</t>
  </si>
  <si>
    <t xml:space="preserve">652819446830</t>
  </si>
  <si>
    <t xml:space="preserve">652819446847</t>
  </si>
  <si>
    <t xml:space="preserve">652819446854</t>
  </si>
  <si>
    <t xml:space="preserve">FL4530NUE30G</t>
  </si>
  <si>
    <t xml:space="preserve">652819446885</t>
  </si>
  <si>
    <t xml:space="preserve">FL4530NUE32DD</t>
  </si>
  <si>
    <t xml:space="preserve">652819446892</t>
  </si>
  <si>
    <t xml:space="preserve">FL4530NUE32E</t>
  </si>
  <si>
    <t xml:space="preserve">652819446908</t>
  </si>
  <si>
    <t xml:space="preserve">FL4530NUE32F</t>
  </si>
  <si>
    <t xml:space="preserve">652819446915</t>
  </si>
  <si>
    <t xml:space="preserve">FL4530NUE32FF</t>
  </si>
  <si>
    <t xml:space="preserve">652819446960</t>
  </si>
  <si>
    <t xml:space="preserve">652819446977</t>
  </si>
  <si>
    <t xml:space="preserve">FL4530NUE34E</t>
  </si>
  <si>
    <t xml:space="preserve">652819446984</t>
  </si>
  <si>
    <t xml:space="preserve">FL4530NUE34F</t>
  </si>
  <si>
    <t xml:space="preserve">652819446991</t>
  </si>
  <si>
    <t xml:space="preserve">FL4530NUE34FF</t>
  </si>
  <si>
    <t xml:space="preserve">652819447004</t>
  </si>
  <si>
    <t xml:space="preserve">FL4530NUE34G</t>
  </si>
  <si>
    <t xml:space="preserve">652819447035</t>
  </si>
  <si>
    <t xml:space="preserve">652819447042</t>
  </si>
  <si>
    <t xml:space="preserve">FL4530NUE36DD</t>
  </si>
  <si>
    <t xml:space="preserve">652819447059</t>
  </si>
  <si>
    <t xml:space="preserve">FL4530NUE36E</t>
  </si>
  <si>
    <t xml:space="preserve">652819447066</t>
  </si>
  <si>
    <t xml:space="preserve">FL4530NUE36F</t>
  </si>
  <si>
    <t xml:space="preserve">652819447073</t>
  </si>
  <si>
    <t xml:space="preserve">FL4530NUE36FF</t>
  </si>
  <si>
    <t xml:space="preserve">652819447080</t>
  </si>
  <si>
    <t xml:space="preserve">FL4530NUE36G</t>
  </si>
  <si>
    <t xml:space="preserve">652819447110</t>
  </si>
  <si>
    <t xml:space="preserve">FL4530NUE38D</t>
  </si>
  <si>
    <t xml:space="preserve">652819447127</t>
  </si>
  <si>
    <t xml:space="preserve">FL4530NUE38DD</t>
  </si>
  <si>
    <t xml:space="preserve">652819447134</t>
  </si>
  <si>
    <t xml:space="preserve">FL4530NUE38E</t>
  </si>
  <si>
    <t xml:space="preserve">652819447141</t>
  </si>
  <si>
    <t xml:space="preserve">FL4530NUE38F</t>
  </si>
  <si>
    <t xml:space="preserve">652819447202</t>
  </si>
  <si>
    <t xml:space="preserve">FL4530NUE42D</t>
  </si>
  <si>
    <t xml:space="preserve">65281944687</t>
  </si>
  <si>
    <t xml:space="preserve">652819446779</t>
  </si>
  <si>
    <t xml:space="preserve">FL4530NUE40E</t>
  </si>
  <si>
    <t xml:space="preserve">652819447172</t>
  </si>
  <si>
    <t xml:space="preserve">193773226644</t>
  </si>
  <si>
    <t xml:space="preserve">LUCIA SIDE SUPPORT BRA</t>
  </si>
  <si>
    <t xml:space="preserve">FASHION</t>
  </si>
  <si>
    <t xml:space="preserve">FL101501</t>
  </si>
  <si>
    <t xml:space="preserve">Cherry</t>
  </si>
  <si>
    <t xml:space="preserve">193773226736</t>
  </si>
  <si>
    <t xml:space="preserve">193773226743</t>
  </si>
  <si>
    <t xml:space="preserve">193773226750</t>
  </si>
  <si>
    <t xml:space="preserve">193773226835</t>
  </si>
  <si>
    <t xml:space="preserve">193773226842</t>
  </si>
  <si>
    <t xml:space="preserve">193773226828</t>
  </si>
  <si>
    <t xml:space="preserve">193773226859</t>
  </si>
  <si>
    <t xml:space="preserve">193773226903</t>
  </si>
  <si>
    <t xml:space="preserve">193773226927</t>
  </si>
  <si>
    <t xml:space="preserve">193773226934</t>
  </si>
  <si>
    <t xml:space="preserve">193773226941</t>
  </si>
  <si>
    <t xml:space="preserve">193773226958</t>
  </si>
  <si>
    <t xml:space="preserve">193773226965</t>
  </si>
  <si>
    <t xml:space="preserve">193773227023</t>
  </si>
  <si>
    <t xml:space="preserve">193773227030</t>
  </si>
  <si>
    <t xml:space="preserve">193773227047</t>
  </si>
  <si>
    <t xml:space="preserve">193773227054</t>
  </si>
  <si>
    <t xml:space="preserve">193773227122</t>
  </si>
  <si>
    <t xml:space="preserve">193773227139</t>
  </si>
  <si>
    <t xml:space="preserve">193773227146</t>
  </si>
  <si>
    <t xml:space="preserve">193773227375</t>
  </si>
  <si>
    <t xml:space="preserve">SWA</t>
  </si>
  <si>
    <t xml:space="preserve">Black print</t>
  </si>
  <si>
    <t xml:space="preserve">193773227382</t>
  </si>
  <si>
    <t xml:space="preserve">193773227399</t>
  </si>
  <si>
    <t xml:space="preserve">193773227450</t>
  </si>
  <si>
    <t xml:space="preserve">193773227467</t>
  </si>
  <si>
    <t xml:space="preserve">193773227474</t>
  </si>
  <si>
    <t xml:space="preserve">193773227481</t>
  </si>
  <si>
    <t xml:space="preserve">193773227542</t>
  </si>
  <si>
    <t xml:space="preserve">193773227566</t>
  </si>
  <si>
    <t xml:space="preserve">193773227573</t>
  </si>
  <si>
    <t xml:space="preserve">193773227580</t>
  </si>
  <si>
    <t xml:space="preserve">193773227597</t>
  </si>
  <si>
    <t xml:space="preserve">193773227641</t>
  </si>
  <si>
    <t xml:space="preserve">193773227665</t>
  </si>
  <si>
    <t xml:space="preserve">193773227672</t>
  </si>
  <si>
    <t xml:space="preserve">193773227765</t>
  </si>
  <si>
    <t xml:space="preserve">193773227696</t>
  </si>
  <si>
    <t xml:space="preserve">193773227702</t>
  </si>
  <si>
    <t xml:space="preserve">193773227757</t>
  </si>
  <si>
    <t xml:space="preserve">193773227764</t>
  </si>
  <si>
    <t xml:space="preserve">193773227931</t>
  </si>
  <si>
    <t xml:space="preserve">LUCIA HIPSTER</t>
  </si>
  <si>
    <t xml:space="preserve">HIPSTER</t>
  </si>
  <si>
    <t xml:space="preserve">LACE</t>
  </si>
  <si>
    <t xml:space="preserve">FL101580</t>
  </si>
  <si>
    <t xml:space="preserve">FL101550</t>
  </si>
  <si>
    <t xml:space="preserve">XS</t>
  </si>
  <si>
    <t xml:space="preserve">193773227955</t>
  </si>
  <si>
    <t xml:space="preserve">L</t>
  </si>
  <si>
    <t xml:space="preserve">193773227962</t>
  </si>
  <si>
    <t xml:space="preserve">LOW WAIST PANTY</t>
  </si>
  <si>
    <t xml:space="preserve">M</t>
  </si>
  <si>
    <t xml:space="preserve">193773227979</t>
  </si>
  <si>
    <t xml:space="preserve">FL101590</t>
  </si>
  <si>
    <t xml:space="preserve">S</t>
  </si>
  <si>
    <t xml:space="preserve">193773227993</t>
  </si>
  <si>
    <t xml:space="preserve">193773228051</t>
  </si>
  <si>
    <t xml:space="preserve">193773228068</t>
  </si>
  <si>
    <t xml:space="preserve">193773228075</t>
  </si>
  <si>
    <t xml:space="preserve">193773258454</t>
  </si>
  <si>
    <t xml:space="preserve">NIGHTWEAR</t>
  </si>
  <si>
    <t xml:space="preserve">NIGHT WEAR</t>
  </si>
  <si>
    <t xml:space="preserve">193773258461</t>
  </si>
  <si>
    <t xml:space="preserve">193773258478</t>
  </si>
  <si>
    <t xml:space="preserve">193773258485</t>
  </si>
  <si>
    <t xml:space="preserve">XL</t>
  </si>
  <si>
    <t xml:space="preserve">193773258492</t>
  </si>
  <si>
    <t xml:space="preserve">889501899807</t>
  </si>
  <si>
    <t xml:space="preserve">FL6911</t>
  </si>
  <si>
    <t xml:space="preserve">BLACK </t>
  </si>
  <si>
    <t xml:space="preserve">889501226122</t>
  </si>
  <si>
    <t xml:space="preserve">DARK SKIN</t>
  </si>
  <si>
    <t xml:space="preserve">889501899814</t>
  </si>
  <si>
    <t xml:space="preserve">889501226139</t>
  </si>
  <si>
    <t xml:space="preserve">889501226146</t>
  </si>
  <si>
    <t xml:space="preserve">889501226184</t>
  </si>
  <si>
    <t xml:space="preserve">889501226221</t>
  </si>
  <si>
    <t xml:space="preserve">889501797356</t>
  </si>
  <si>
    <t xml:space="preserve">ICE BLUE</t>
  </si>
  <si>
    <t xml:space="preserve">889501899906</t>
  </si>
  <si>
    <t xml:space="preserve">889501226252</t>
  </si>
  <si>
    <t xml:space="preserve">889501226269</t>
  </si>
  <si>
    <t xml:space="preserve">889501797400</t>
  </si>
  <si>
    <t xml:space="preserve">889501899951</t>
  </si>
  <si>
    <t xml:space="preserve">889501226283</t>
  </si>
  <si>
    <t xml:space="preserve">889501226290</t>
  </si>
  <si>
    <t xml:space="preserve">889501636389</t>
  </si>
  <si>
    <t xml:space="preserve">889501899982</t>
  </si>
  <si>
    <t xml:space="preserve">889501797431</t>
  </si>
  <si>
    <t xml:space="preserve">889501797448</t>
  </si>
  <si>
    <t xml:space="preserve">889501636396</t>
  </si>
  <si>
    <t xml:space="preserve">889501635870</t>
  </si>
  <si>
    <t xml:space="preserve">MUY</t>
  </si>
  <si>
    <t xml:space="preserve">WINE</t>
  </si>
  <si>
    <t xml:space="preserve">889501636402</t>
  </si>
  <si>
    <t xml:space="preserve">889501900015</t>
  </si>
  <si>
    <t xml:space="preserve">889501636440</t>
  </si>
  <si>
    <t xml:space="preserve">889501226375</t>
  </si>
  <si>
    <t xml:space="preserve">889501226399</t>
  </si>
  <si>
    <t xml:space="preserve">889501900077</t>
  </si>
  <si>
    <t xml:space="preserve">889501900084</t>
  </si>
  <si>
    <t xml:space="preserve">889501636488</t>
  </si>
  <si>
    <t xml:space="preserve">889501797530</t>
  </si>
  <si>
    <t xml:space="preserve">889501635955</t>
  </si>
  <si>
    <t xml:space="preserve">889501797547</t>
  </si>
  <si>
    <t xml:space="preserve">889501900107</t>
  </si>
  <si>
    <t xml:space="preserve">889501797561</t>
  </si>
  <si>
    <t xml:space="preserve">889501900114</t>
  </si>
  <si>
    <t xml:space="preserve">889501636525</t>
  </si>
  <si>
    <t xml:space="preserve">889501900138</t>
  </si>
  <si>
    <t xml:space="preserve">889501226467</t>
  </si>
  <si>
    <t xml:space="preserve">889501226474</t>
  </si>
  <si>
    <t xml:space="preserve">889501797622</t>
  </si>
  <si>
    <t xml:space="preserve">889501636051</t>
  </si>
  <si>
    <t xml:space="preserve">889501226511</t>
  </si>
  <si>
    <t xml:space="preserve">889501900725</t>
  </si>
  <si>
    <t xml:space="preserve">889501636600</t>
  </si>
  <si>
    <t xml:space="preserve">889501226566</t>
  </si>
  <si>
    <t xml:space="preserve">889501226573</t>
  </si>
  <si>
    <t xml:space="preserve">889501226580</t>
  </si>
  <si>
    <t xml:space="preserve">889501226597</t>
  </si>
  <si>
    <t xml:space="preserve">889501900275</t>
  </si>
  <si>
    <t xml:space="preserve">889501900305</t>
  </si>
  <si>
    <t xml:space="preserve">889501900282</t>
  </si>
  <si>
    <t xml:space="preserve">889500867524</t>
  </si>
  <si>
    <t xml:space="preserve">ILLUSION UW SIDE SUPPORT BRA</t>
  </si>
  <si>
    <t xml:space="preserve">FL2982</t>
  </si>
  <si>
    <t xml:space="preserve">WHT</t>
  </si>
  <si>
    <t xml:space="preserve">Priority One</t>
  </si>
  <si>
    <t xml:space="preserve">889500866787</t>
  </si>
  <si>
    <t xml:space="preserve">889501632008</t>
  </si>
  <si>
    <t xml:space="preserve">EMD</t>
  </si>
  <si>
    <t xml:space="preserve">889500866794</t>
  </si>
  <si>
    <t xml:space="preserve">193773394688</t>
  </si>
  <si>
    <t xml:space="preserve">SDN</t>
  </si>
  <si>
    <t xml:space="preserve">LILAC</t>
  </si>
  <si>
    <t xml:space="preserve">889501552160</t>
  </si>
  <si>
    <t xml:space="preserve">BEY</t>
  </si>
  <si>
    <t xml:space="preserve">193773083759</t>
  </si>
  <si>
    <t xml:space="preserve">ORD</t>
  </si>
  <si>
    <t xml:space="preserve">193773083971</t>
  </si>
  <si>
    <t xml:space="preserve">889501789696</t>
  </si>
  <si>
    <t xml:space="preserve">ADELLE SIDE SUPPORT BRA</t>
  </si>
  <si>
    <t xml:space="preserve">FL101447</t>
  </si>
  <si>
    <t xml:space="preserve">BLM</t>
  </si>
  <si>
    <t xml:space="preserve">Light Pink Print</t>
  </si>
  <si>
    <t xml:space="preserve">889501789702</t>
  </si>
  <si>
    <t xml:space="preserve">889501789719</t>
  </si>
  <si>
    <t xml:space="preserve">889501789818</t>
  </si>
  <si>
    <t xml:space="preserve">889501790098</t>
  </si>
  <si>
    <t xml:space="preserve">889501789436</t>
  </si>
  <si>
    <t xml:space="preserve">COL</t>
  </si>
  <si>
    <t xml:space="preserve">889501627387</t>
  </si>
  <si>
    <t xml:space="preserve">SRG</t>
  </si>
  <si>
    <t xml:space="preserve">889501121496</t>
  </si>
  <si>
    <t xml:space="preserve">IMPRESSION UW SIDE SUPPORT BRA</t>
  </si>
  <si>
    <t xml:space="preserve">FL5851</t>
  </si>
  <si>
    <t xml:space="preserve">889501121502</t>
  </si>
  <si>
    <t xml:space="preserve">889501121687</t>
  </si>
  <si>
    <t xml:space="preserve">889501119479</t>
  </si>
  <si>
    <t xml:space="preserve">889501922352</t>
  </si>
  <si>
    <t xml:space="preserve">OLIVIA UW SIDE SUPPORT BRA</t>
  </si>
  <si>
    <t xml:space="preserve">FL3182</t>
  </si>
  <si>
    <t xml:space="preserve">DSK</t>
  </si>
  <si>
    <t xml:space="preserve">LIGHT PINK PRINT</t>
  </si>
  <si>
    <t xml:space="preserve">889501633609</t>
  </si>
  <si>
    <t xml:space="preserve">889501921966</t>
  </si>
  <si>
    <t xml:space="preserve">889501337316</t>
  </si>
  <si>
    <t xml:space="preserve">ELOMI</t>
  </si>
  <si>
    <t xml:space="preserve">BRIANNA UW PLUNGE BRA</t>
  </si>
  <si>
    <t xml:space="preserve">EL8080</t>
  </si>
  <si>
    <t xml:space="preserve">889501337408</t>
  </si>
  <si>
    <t xml:space="preserve">889501337484</t>
  </si>
  <si>
    <t xml:space="preserve">889501337491</t>
  </si>
  <si>
    <t xml:space="preserve">889501337507</t>
  </si>
  <si>
    <t xml:space="preserve">889501337583</t>
  </si>
  <si>
    <t xml:space="preserve">889501337590</t>
  </si>
  <si>
    <t xml:space="preserve">889501337514</t>
  </si>
  <si>
    <t xml:space="preserve">889501337521</t>
  </si>
  <si>
    <t xml:space="preserve">889501676989</t>
  </si>
  <si>
    <t xml:space="preserve">LAS</t>
  </si>
  <si>
    <t xml:space="preserve">INK BLUE</t>
  </si>
  <si>
    <t xml:space="preserve">889501677061</t>
  </si>
  <si>
    <t xml:space="preserve">889501677085</t>
  </si>
  <si>
    <t xml:space="preserve">889501337576</t>
  </si>
  <si>
    <t xml:space="preserve">889501337422</t>
  </si>
  <si>
    <t xml:space="preserve">889501337606</t>
  </si>
  <si>
    <t xml:space="preserve">889501337804</t>
  </si>
  <si>
    <t xml:space="preserve">889501338016</t>
  </si>
  <si>
    <t xml:space="preserve">889501338139</t>
  </si>
  <si>
    <t xml:space="preserve">889501338306</t>
  </si>
  <si>
    <t xml:space="preserve">889501676804</t>
  </si>
  <si>
    <t xml:space="preserve">889501676873</t>
  </si>
  <si>
    <t xml:space="preserve">889501676965</t>
  </si>
  <si>
    <t xml:space="preserve">889501677146</t>
  </si>
  <si>
    <t xml:space="preserve">889501764822</t>
  </si>
  <si>
    <t xml:space="preserve">VEK</t>
  </si>
  <si>
    <t xml:space="preserve">889501764983</t>
  </si>
  <si>
    <t xml:space="preserve">889501765058</t>
  </si>
  <si>
    <t xml:space="preserve">889501765089</t>
  </si>
  <si>
    <t xml:space="preserve">889501765119</t>
  </si>
  <si>
    <t xml:space="preserve">889501765157</t>
  </si>
  <si>
    <t xml:space="preserve">889501765232</t>
  </si>
  <si>
    <t xml:space="preserve">889501765263</t>
  </si>
  <si>
    <t xml:space="preserve">889501765270</t>
  </si>
  <si>
    <t xml:space="preserve">889501338030</t>
  </si>
  <si>
    <t xml:space="preserve">193773223193</t>
  </si>
  <si>
    <t xml:space="preserve">SACHI UW SIDE SUPPORT BRA</t>
  </si>
  <si>
    <t xml:space="preserve">MESH</t>
  </si>
  <si>
    <t xml:space="preserve">EL4350</t>
  </si>
  <si>
    <t xml:space="preserve">CBT</t>
  </si>
  <si>
    <t xml:space="preserve">193773223476</t>
  </si>
  <si>
    <t xml:space="preserve">193773223773</t>
  </si>
  <si>
    <t xml:space="preserve">193773407388</t>
  </si>
  <si>
    <t xml:space="preserve">CAT</t>
  </si>
  <si>
    <t xml:space="preserve">193773407395</t>
  </si>
  <si>
    <t xml:space="preserve">193773407401</t>
  </si>
  <si>
    <t xml:space="preserve">193773407449</t>
  </si>
  <si>
    <t xml:space="preserve">193773407456</t>
  </si>
  <si>
    <t xml:space="preserve">193773407463</t>
  </si>
  <si>
    <t xml:space="preserve">193773407616</t>
  </si>
  <si>
    <t xml:space="preserve">193773407630</t>
  </si>
  <si>
    <t xml:space="preserve">193773407715</t>
  </si>
  <si>
    <t xml:space="preserve">193773407753</t>
  </si>
  <si>
    <t xml:space="preserve">889500544296</t>
  </si>
  <si>
    <t xml:space="preserve">889500544418</t>
  </si>
  <si>
    <t xml:space="preserve">889500544487</t>
  </si>
  <si>
    <t xml:space="preserve">889500544494</t>
  </si>
  <si>
    <t xml:space="preserve">889500544579</t>
  </si>
  <si>
    <t xml:space="preserve">889500290117</t>
  </si>
  <si>
    <t xml:space="preserve">MATILDA UW J HOOK BRA</t>
  </si>
  <si>
    <t xml:space="preserve">PLUNGE</t>
  </si>
  <si>
    <t xml:space="preserve">EL8900</t>
  </si>
  <si>
    <t xml:space="preserve">889500290124</t>
  </si>
  <si>
    <t xml:space="preserve">889500290179</t>
  </si>
  <si>
    <t xml:space="preserve">889500290186</t>
  </si>
  <si>
    <t xml:space="preserve">889500290223</t>
  </si>
  <si>
    <t xml:space="preserve">889500290322</t>
  </si>
  <si>
    <t xml:space="preserve">889500290339</t>
  </si>
  <si>
    <t xml:space="preserve">889500290346</t>
  </si>
  <si>
    <t xml:space="preserve">889500165965</t>
  </si>
  <si>
    <t xml:space="preserve">889500290353</t>
  </si>
  <si>
    <t xml:space="preserve">889500290377</t>
  </si>
  <si>
    <t xml:space="preserve">193773063997</t>
  </si>
  <si>
    <t xml:space="preserve">193773077901</t>
  </si>
  <si>
    <t xml:space="preserve">JAE</t>
  </si>
  <si>
    <t xml:space="preserve">MINT</t>
  </si>
  <si>
    <t xml:space="preserve">K</t>
  </si>
  <si>
    <t xml:space="preserve">193773078144</t>
  </si>
  <si>
    <t xml:space="preserve">193773078151</t>
  </si>
  <si>
    <t xml:space="preserve">889500165774</t>
  </si>
  <si>
    <t xml:space="preserve">889500165866</t>
  </si>
  <si>
    <t xml:space="preserve">889500166023</t>
  </si>
  <si>
    <t xml:space="preserve">889500166030</t>
  </si>
  <si>
    <t xml:space="preserve">889500166047</t>
  </si>
  <si>
    <t xml:space="preserve">889500166054</t>
  </si>
  <si>
    <t xml:space="preserve">889500166061</t>
  </si>
  <si>
    <t xml:space="preserve">889500166078</t>
  </si>
  <si>
    <t xml:space="preserve">889501544714</t>
  </si>
  <si>
    <t xml:space="preserve">CVE</t>
  </si>
  <si>
    <t xml:space="preserve">889500166122</t>
  </si>
  <si>
    <t xml:space="preserve">889500166139</t>
  </si>
  <si>
    <t xml:space="preserve">889500166146</t>
  </si>
  <si>
    <t xml:space="preserve">889500166153</t>
  </si>
  <si>
    <t xml:space="preserve">889500166160</t>
  </si>
  <si>
    <t xml:space="preserve">889500166177</t>
  </si>
  <si>
    <t xml:space="preserve">889501544790</t>
  </si>
  <si>
    <t xml:space="preserve">889501544806</t>
  </si>
  <si>
    <t xml:space="preserve">889501544813</t>
  </si>
  <si>
    <t xml:space="preserve">889501544820</t>
  </si>
  <si>
    <t xml:space="preserve">889501745852</t>
  </si>
  <si>
    <t xml:space="preserve">PLH</t>
  </si>
  <si>
    <t xml:space="preserve">LIGHT PINK</t>
  </si>
  <si>
    <t xml:space="preserve">889501348329</t>
  </si>
  <si>
    <t xml:space="preserve">INK</t>
  </si>
  <si>
    <t xml:space="preserve">886279897974</t>
  </si>
  <si>
    <t xml:space="preserve">LAE</t>
  </si>
  <si>
    <t xml:space="preserve">886279896724</t>
  </si>
  <si>
    <t xml:space="preserve">CATE UW FULL COVERAGE BRA</t>
  </si>
  <si>
    <t xml:space="preserve">FULL COVERAGE</t>
  </si>
  <si>
    <t xml:space="preserve">EL4030</t>
  </si>
  <si>
    <t xml:space="preserve">886279897028</t>
  </si>
  <si>
    <t xml:space="preserve">886279897073</t>
  </si>
  <si>
    <t xml:space="preserve">886279897998</t>
  </si>
  <si>
    <t xml:space="preserve">886279898018</t>
  </si>
  <si>
    <t xml:space="preserve">886279898032</t>
  </si>
  <si>
    <t xml:space="preserve">886279898056</t>
  </si>
  <si>
    <t xml:space="preserve">886279898087</t>
  </si>
  <si>
    <t xml:space="preserve">886279898124</t>
  </si>
  <si>
    <t xml:space="preserve">886279898131</t>
  </si>
  <si>
    <t xml:space="preserve">886279898148</t>
  </si>
  <si>
    <t xml:space="preserve">886279898179</t>
  </si>
  <si>
    <t xml:space="preserve">886279898186</t>
  </si>
  <si>
    <t xml:space="preserve">886279898209</t>
  </si>
  <si>
    <t xml:space="preserve">886279898254</t>
  </si>
  <si>
    <t xml:space="preserve">886279898261</t>
  </si>
  <si>
    <t xml:space="preserve">886279898483</t>
  </si>
  <si>
    <t xml:space="preserve">JJ</t>
  </si>
  <si>
    <t xml:space="preserve">886279898537</t>
  </si>
  <si>
    <t xml:space="preserve">886279898551</t>
  </si>
  <si>
    <t xml:space="preserve">886279898582</t>
  </si>
  <si>
    <t xml:space="preserve">886279904085</t>
  </si>
  <si>
    <t xml:space="preserve">889500920403</t>
  </si>
  <si>
    <t xml:space="preserve">HAL</t>
  </si>
  <si>
    <t xml:space="preserve">889500920434</t>
  </si>
  <si>
    <t xml:space="preserve">889500920533</t>
  </si>
  <si>
    <t xml:space="preserve">889501273188</t>
  </si>
  <si>
    <t xml:space="preserve">RAN</t>
  </si>
  <si>
    <t xml:space="preserve">889501273294</t>
  </si>
  <si>
    <t xml:space="preserve">889501273300</t>
  </si>
  <si>
    <t xml:space="preserve">889501273423</t>
  </si>
  <si>
    <t xml:space="preserve">889501273430</t>
  </si>
  <si>
    <t xml:space="preserve">889501273485</t>
  </si>
  <si>
    <t xml:space="preserve">889501348534</t>
  </si>
  <si>
    <t xml:space="preserve">889501348749</t>
  </si>
  <si>
    <t xml:space="preserve">889501348947</t>
  </si>
  <si>
    <t xml:space="preserve">889501348954</t>
  </si>
  <si>
    <t xml:space="preserve">889501348985</t>
  </si>
  <si>
    <t xml:space="preserve">889501418596</t>
  </si>
  <si>
    <t xml:space="preserve">PLM</t>
  </si>
  <si>
    <t xml:space="preserve">889501418824</t>
  </si>
  <si>
    <t xml:space="preserve">889501507665</t>
  </si>
  <si>
    <t xml:space="preserve">CML</t>
  </si>
  <si>
    <t xml:space="preserve">FUSCIA PINK</t>
  </si>
  <si>
    <t xml:space="preserve">889501507849</t>
  </si>
  <si>
    <t xml:space="preserve">889501888139</t>
  </si>
  <si>
    <t xml:space="preserve">WIW</t>
  </si>
  <si>
    <t xml:space="preserve">WILLOW</t>
  </si>
  <si>
    <t xml:space="preserve">889500989929</t>
  </si>
  <si>
    <t xml:space="preserve">SMOOTH STRAPLESS BRA</t>
  </si>
  <si>
    <t xml:space="preserve">Padded</t>
  </si>
  <si>
    <t xml:space="preserve">EL4300</t>
  </si>
  <si>
    <t xml:space="preserve">889500989974</t>
  </si>
  <si>
    <t xml:space="preserve">889500989981</t>
  </si>
  <si>
    <t xml:space="preserve">889500990031</t>
  </si>
  <si>
    <t xml:space="preserve">889500990048</t>
  </si>
  <si>
    <t xml:space="preserve">889500990093</t>
  </si>
  <si>
    <t xml:space="preserve">889500990109</t>
  </si>
  <si>
    <t xml:space="preserve">889500990178</t>
  </si>
  <si>
    <t xml:space="preserve">889500990185</t>
  </si>
  <si>
    <t xml:space="preserve">889500990192</t>
  </si>
  <si>
    <t xml:space="preserve">889500990246</t>
  </si>
  <si>
    <t xml:space="preserve">889500990260</t>
  </si>
  <si>
    <t xml:space="preserve">889500990277</t>
  </si>
  <si>
    <t xml:space="preserve">889500990314</t>
  </si>
  <si>
    <t xml:space="preserve">889500990383</t>
  </si>
  <si>
    <t xml:space="preserve">SAH</t>
  </si>
  <si>
    <t xml:space="preserve">889500990390</t>
  </si>
  <si>
    <t xml:space="preserve">889500990406</t>
  </si>
  <si>
    <t xml:space="preserve">889500990413</t>
  </si>
  <si>
    <t xml:space="preserve">889500990437</t>
  </si>
  <si>
    <t xml:space="preserve">889500990444</t>
  </si>
  <si>
    <t xml:space="preserve">889500990451</t>
  </si>
  <si>
    <t xml:space="preserve">889500990499</t>
  </si>
  <si>
    <t xml:space="preserve">889500990505</t>
  </si>
  <si>
    <t xml:space="preserve">889500990550</t>
  </si>
  <si>
    <t xml:space="preserve">889500990567</t>
  </si>
  <si>
    <t xml:space="preserve">889500990581</t>
  </si>
  <si>
    <t xml:space="preserve">889500990628</t>
  </si>
  <si>
    <t xml:space="preserve">889500990635</t>
  </si>
  <si>
    <t xml:space="preserve">889500990642</t>
  </si>
  <si>
    <t xml:space="preserve">889500990659</t>
  </si>
  <si>
    <t xml:space="preserve">889500990673</t>
  </si>
  <si>
    <t xml:space="preserve">889500990680</t>
  </si>
  <si>
    <t xml:space="preserve">889500990710</t>
  </si>
  <si>
    <t xml:space="preserve">889500990727</t>
  </si>
  <si>
    <t xml:space="preserve">889500990734</t>
  </si>
  <si>
    <t xml:space="preserve">889500990758</t>
  </si>
  <si>
    <t xml:space="preserve">889500990765</t>
  </si>
  <si>
    <t xml:space="preserve">889500990772</t>
  </si>
  <si>
    <t xml:space="preserve">889500690269</t>
  </si>
  <si>
    <t xml:space="preserve">CHARLEY 0906</t>
  </si>
  <si>
    <t xml:space="preserve">BRALETTE</t>
  </si>
  <si>
    <t xml:space="preserve">EL4381</t>
  </si>
  <si>
    <t xml:space="preserve">889500690276</t>
  </si>
  <si>
    <t xml:space="preserve">889500690283</t>
  </si>
  <si>
    <t xml:space="preserve">889500690290</t>
  </si>
  <si>
    <t xml:space="preserve">889500690313</t>
  </si>
  <si>
    <t xml:space="preserve">889500690320</t>
  </si>
  <si>
    <t xml:space="preserve">889500690337</t>
  </si>
  <si>
    <t xml:space="preserve">CHARLEY WIRED BRALETTE BRA</t>
  </si>
  <si>
    <t xml:space="preserve">889500690344</t>
  </si>
  <si>
    <t xml:space="preserve">CHARLEY UW BRALETTE</t>
  </si>
  <si>
    <t xml:space="preserve">889500690351</t>
  </si>
  <si>
    <t xml:space="preserve">889500690375</t>
  </si>
  <si>
    <t xml:space="preserve">889500690382</t>
  </si>
  <si>
    <t xml:space="preserve">889500690399</t>
  </si>
  <si>
    <t xml:space="preserve">889500690405</t>
  </si>
  <si>
    <t xml:space="preserve">889500690412</t>
  </si>
  <si>
    <t xml:space="preserve">889500690429</t>
  </si>
  <si>
    <t xml:space="preserve">889500690443</t>
  </si>
  <si>
    <t xml:space="preserve">889500690450</t>
  </si>
  <si>
    <t xml:space="preserve">889500690467</t>
  </si>
  <si>
    <t xml:space="preserve">889500690474</t>
  </si>
  <si>
    <t xml:space="preserve">889500690481</t>
  </si>
  <si>
    <t xml:space="preserve">889500835431</t>
  </si>
  <si>
    <t xml:space="preserve">BAK</t>
  </si>
  <si>
    <t xml:space="preserve">889500835448</t>
  </si>
  <si>
    <t xml:space="preserve">889500835462</t>
  </si>
  <si>
    <t xml:space="preserve">889500835486</t>
  </si>
  <si>
    <t xml:space="preserve">889500835509</t>
  </si>
  <si>
    <t xml:space="preserve">889500835530</t>
  </si>
  <si>
    <t xml:space="preserve">889500835547</t>
  </si>
  <si>
    <t xml:space="preserve">889500835554</t>
  </si>
  <si>
    <t xml:space="preserve">889500835578</t>
  </si>
  <si>
    <t xml:space="preserve">889500835646</t>
  </si>
  <si>
    <t xml:space="preserve">889501423132</t>
  </si>
  <si>
    <t xml:space="preserve">KELSEY UW BENDEU BRA</t>
  </si>
  <si>
    <t xml:space="preserve">BANDEAU</t>
  </si>
  <si>
    <t xml:space="preserve">LINED</t>
  </si>
  <si>
    <t xml:space="preserve">EL300524</t>
  </si>
  <si>
    <t xml:space="preserve">889501422876</t>
  </si>
  <si>
    <t xml:space="preserve">889501422883</t>
  </si>
  <si>
    <t xml:space="preserve">889501422890</t>
  </si>
  <si>
    <t xml:space="preserve">889501422951</t>
  </si>
  <si>
    <t xml:space="preserve">889501422968</t>
  </si>
  <si>
    <t xml:space="preserve">889501422975</t>
  </si>
  <si>
    <t xml:space="preserve">889501272143</t>
  </si>
  <si>
    <t xml:space="preserve">889501671359</t>
  </si>
  <si>
    <t xml:space="preserve">MORGAN UW SIDE SUPPORT BRA</t>
  </si>
  <si>
    <t xml:space="preserve">TWT</t>
  </si>
  <si>
    <t xml:space="preserve">BLUE MULTI</t>
  </si>
  <si>
    <t xml:space="preserve">889501280476</t>
  </si>
  <si>
    <t xml:space="preserve">Elomi eugenie plunge bra</t>
  </si>
  <si>
    <t xml:space="preserve">193773252483</t>
  </si>
  <si>
    <t xml:space="preserve">CATE ALLURE UNDER WIRE</t>
  </si>
  <si>
    <t xml:space="preserve">CURVY KATE</t>
  </si>
  <si>
    <t xml:space="preserve">CURVY KATE SMOOTHIE SPACER MOULDED T-SHIRT PLUNGE BRA</t>
  </si>
  <si>
    <t xml:space="preserve">CK072104LAT30G</t>
  </si>
  <si>
    <t xml:space="preserve">CK072104</t>
  </si>
  <si>
    <t xml:space="preserve">LAT</t>
  </si>
  <si>
    <t xml:space="preserve">Load first</t>
  </si>
  <si>
    <t xml:space="preserve">5052574953423</t>
  </si>
  <si>
    <t xml:space="preserve">CK072104BLK32F</t>
  </si>
  <si>
    <t xml:space="preserve">5052574953430</t>
  </si>
  <si>
    <t xml:space="preserve">CK072104BLK32FF</t>
  </si>
  <si>
    <t xml:space="preserve">CK072104LAT32G</t>
  </si>
  <si>
    <t xml:space="preserve">5052574953447</t>
  </si>
  <si>
    <t xml:space="preserve">CK072104BLK32G</t>
  </si>
  <si>
    <t xml:space="preserve">CK072104LAT32GG</t>
  </si>
  <si>
    <t xml:space="preserve">5052574953454</t>
  </si>
  <si>
    <t xml:space="preserve">CK072104BLK32GG</t>
  </si>
  <si>
    <t xml:space="preserve">5052574924300</t>
  </si>
  <si>
    <t xml:space="preserve">CK072104LAT32H</t>
  </si>
  <si>
    <t xml:space="preserve">5052574953461</t>
  </si>
  <si>
    <t xml:space="preserve">CK072104BLK32H</t>
  </si>
  <si>
    <t xml:space="preserve">5052574924317</t>
  </si>
  <si>
    <t xml:space="preserve">CK072104LAT32HH</t>
  </si>
  <si>
    <t xml:space="preserve">5052574953478</t>
  </si>
  <si>
    <t xml:space="preserve">CK072104BLK32HH</t>
  </si>
  <si>
    <t xml:space="preserve">CK072104LAT34F</t>
  </si>
  <si>
    <t xml:space="preserve">5052574953522</t>
  </si>
  <si>
    <t xml:space="preserve">CK072104BLK34F</t>
  </si>
  <si>
    <t xml:space="preserve">5052574953539</t>
  </si>
  <si>
    <t xml:space="preserve">CK072104BLK34FF</t>
  </si>
  <si>
    <t xml:space="preserve">CK072104LAT34G</t>
  </si>
  <si>
    <t xml:space="preserve">5052574953546</t>
  </si>
  <si>
    <t xml:space="preserve">CK072104BLK34G</t>
  </si>
  <si>
    <t xml:space="preserve">5052574953553</t>
  </si>
  <si>
    <t xml:space="preserve">CK072104BLK34GG</t>
  </si>
  <si>
    <t xml:space="preserve">5052574953560</t>
  </si>
  <si>
    <t xml:space="preserve">CK072104BLK34H</t>
  </si>
  <si>
    <t xml:space="preserve">5052574953577</t>
  </si>
  <si>
    <t xml:space="preserve">CK072104BLK34HH</t>
  </si>
  <si>
    <t xml:space="preserve">5052574953621</t>
  </si>
  <si>
    <t xml:space="preserve">CK072104BLK36F</t>
  </si>
  <si>
    <t xml:space="preserve">5052574953638</t>
  </si>
  <si>
    <t xml:space="preserve">CK072104BLK36FF</t>
  </si>
  <si>
    <t xml:space="preserve">5052574953645</t>
  </si>
  <si>
    <t xml:space="preserve">CK072104BLK36G</t>
  </si>
  <si>
    <t xml:space="preserve">5052574953652</t>
  </si>
  <si>
    <t xml:space="preserve">CK072104BLK36GG</t>
  </si>
  <si>
    <t xml:space="preserve">CK072104LAT36H</t>
  </si>
  <si>
    <t xml:space="preserve">5052574953669</t>
  </si>
  <si>
    <t xml:space="preserve">CK072104BLK36H</t>
  </si>
  <si>
    <t xml:space="preserve">5052574953676</t>
  </si>
  <si>
    <t xml:space="preserve">CK072104BLK36HH</t>
  </si>
  <si>
    <t xml:space="preserve">5052574924553</t>
  </si>
  <si>
    <t xml:space="preserve">CK072104SKIN38F</t>
  </si>
  <si>
    <t xml:space="preserve">5052574953713</t>
  </si>
  <si>
    <t xml:space="preserve">CK072104BLK38F</t>
  </si>
  <si>
    <t xml:space="preserve">5052574924560</t>
  </si>
  <si>
    <t xml:space="preserve">CK072104LAT38FF</t>
  </si>
  <si>
    <t xml:space="preserve">5052574953720</t>
  </si>
  <si>
    <t xml:space="preserve">CK072104BLK38FF</t>
  </si>
  <si>
    <t xml:space="preserve">5052574924577</t>
  </si>
  <si>
    <t xml:space="preserve">CK072104SKIN38G</t>
  </si>
  <si>
    <t xml:space="preserve">5052574953737</t>
  </si>
  <si>
    <t xml:space="preserve">CK072104BLK38G</t>
  </si>
  <si>
    <t xml:space="preserve">5052574924584</t>
  </si>
  <si>
    <t xml:space="preserve">CK072104SKIN38GG</t>
  </si>
  <si>
    <t xml:space="preserve">5052574953744</t>
  </si>
  <si>
    <t xml:space="preserve">CK072104BLK38GG</t>
  </si>
  <si>
    <t xml:space="preserve">5052574953751</t>
  </si>
  <si>
    <t xml:space="preserve">CK072104BLK38H</t>
  </si>
  <si>
    <t xml:space="preserve">5052574924638</t>
  </si>
  <si>
    <t xml:space="preserve">CK072104SKIN40F</t>
  </si>
  <si>
    <t xml:space="preserve">5052574953799</t>
  </si>
  <si>
    <t xml:space="preserve">CK072104BLK40F</t>
  </si>
  <si>
    <t xml:space="preserve">5052574924645</t>
  </si>
  <si>
    <t xml:space="preserve">CK072104SKIN40FF</t>
  </si>
  <si>
    <t xml:space="preserve">5052574953805</t>
  </si>
  <si>
    <t xml:space="preserve">CK072104BLK40FF</t>
  </si>
  <si>
    <t xml:space="preserve">5052574924652</t>
  </si>
  <si>
    <t xml:space="preserve">CK072104SKIN40G</t>
  </si>
  <si>
    <t xml:space="preserve">5052574953812</t>
  </si>
  <si>
    <t xml:space="preserve">CK072104BLK40G</t>
  </si>
  <si>
    <t xml:space="preserve">5052574924706</t>
  </si>
  <si>
    <t xml:space="preserve">CK072104SKIN42F</t>
  </si>
  <si>
    <t xml:space="preserve">5052574953874</t>
  </si>
  <si>
    <t xml:space="preserve">CK072104BLK42FF</t>
  </si>
  <si>
    <t xml:space="preserve">CK072104SKIN44F</t>
  </si>
  <si>
    <t xml:space="preserve">CK072104SKIN44FF</t>
  </si>
  <si>
    <t xml:space="preserve">5052574638047</t>
  </si>
  <si>
    <t xml:space="preserve">WRAPSODYBANDEAU SWIMSUIT</t>
  </si>
  <si>
    <t xml:space="preserve">SWIMSUIT</t>
  </si>
  <si>
    <t xml:space="preserve">CS005600BLK34G</t>
  </si>
  <si>
    <t xml:space="preserve">CS005600</t>
  </si>
  <si>
    <t xml:space="preserve">BLK </t>
  </si>
  <si>
    <t xml:space="preserve">5052574638115</t>
  </si>
  <si>
    <t xml:space="preserve">CS005600BLK36E</t>
  </si>
  <si>
    <t xml:space="preserve">5052574911119</t>
  </si>
  <si>
    <t xml:space="preserve">CS005600OYSTER34F</t>
  </si>
  <si>
    <t xml:space="preserve">OYSTER</t>
  </si>
  <si>
    <t xml:space="preserve">OYS</t>
  </si>
  <si>
    <t xml:space="preserve">5052574911126</t>
  </si>
  <si>
    <t xml:space="preserve">CS005600OYSTER34FF</t>
  </si>
  <si>
    <t xml:space="preserve">5052574911133</t>
  </si>
  <si>
    <t xml:space="preserve">CS005600OYSTER34G</t>
  </si>
  <si>
    <t xml:space="preserve">5052574911201</t>
  </si>
  <si>
    <t xml:space="preserve">CS005600OYSTER36E</t>
  </si>
  <si>
    <t xml:space="preserve">5052574911218</t>
  </si>
  <si>
    <t xml:space="preserve">CS005600OYSTER36F</t>
  </si>
  <si>
    <t xml:space="preserve">5052574911225</t>
  </si>
  <si>
    <t xml:space="preserve">CS005600OYSTER36FF</t>
  </si>
  <si>
    <t xml:space="preserve">5052574911232</t>
  </si>
  <si>
    <t xml:space="preserve">CS005600OYSTER36G</t>
  </si>
  <si>
    <t xml:space="preserve">5052574911300</t>
  </si>
  <si>
    <t xml:space="preserve">CS005600OYSTER38E</t>
  </si>
  <si>
    <t xml:space="preserve">5052574911317</t>
  </si>
  <si>
    <t xml:space="preserve">CS005600OYSTER38F</t>
  </si>
  <si>
    <t xml:space="preserve">5052574911324</t>
  </si>
  <si>
    <t xml:space="preserve">CS005600OYSTER38FF</t>
  </si>
  <si>
    <t xml:space="preserve">5052574911331</t>
  </si>
  <si>
    <t xml:space="preserve">CS005600OYSTER38G</t>
  </si>
  <si>
    <t xml:space="preserve">5052574911409</t>
  </si>
  <si>
    <t xml:space="preserve">CS005600OYSTER40E</t>
  </si>
  <si>
    <t xml:space="preserve">5052574911416</t>
  </si>
  <si>
    <t xml:space="preserve">CS005600OYSTER40F</t>
  </si>
  <si>
    <t xml:space="preserve">5052574911423</t>
  </si>
  <si>
    <t xml:space="preserve">CS005600OYSTER40FF</t>
  </si>
  <si>
    <t xml:space="preserve">5052574911430</t>
  </si>
  <si>
    <t xml:space="preserve">CS005600OYSTER40G</t>
  </si>
  <si>
    <t xml:space="preserve">CURVY KATE FIRST BANDEAU MULTIWAY STRAPLESS</t>
  </si>
  <si>
    <t xml:space="preserve">CS02030732GG</t>
  </si>
  <si>
    <t xml:space="preserve">CS020307</t>
  </si>
  <si>
    <t xml:space="preserve">CS02030734F</t>
  </si>
  <si>
    <t xml:space="preserve">CS02030738FF</t>
  </si>
  <si>
    <t xml:space="preserve">CS02030736G</t>
  </si>
  <si>
    <t xml:space="preserve">CS02030734FF</t>
  </si>
  <si>
    <t xml:space="preserve">CS02030734G</t>
  </si>
  <si>
    <t xml:space="preserve">CS02030736E</t>
  </si>
  <si>
    <t xml:space="preserve">CS02030732G</t>
  </si>
  <si>
    <t xml:space="preserve">CS02030736FF</t>
  </si>
  <si>
    <t xml:space="preserve">CS02030738E</t>
  </si>
  <si>
    <t xml:space="preserve">CK5711BLUE34FF</t>
  </si>
  <si>
    <t xml:space="preserve">CK5711</t>
  </si>
  <si>
    <t xml:space="preserve">CPB</t>
  </si>
  <si>
    <t xml:space="preserve">CURVY KATE WILD ONE BALCONY BRA</t>
  </si>
  <si>
    <t xml:space="preserve">CK070100PURPLE34FF</t>
  </si>
  <si>
    <t xml:space="preserve">CK070100</t>
  </si>
  <si>
    <t xml:space="preserve">LEP</t>
  </si>
  <si>
    <t xml:space="preserve">CK070100PURPLE34G</t>
  </si>
  <si>
    <t xml:space="preserve">SMOOTHIE T-SHIRT PLUNGE MOULDED BRA</t>
  </si>
  <si>
    <t xml:space="preserve">CK029104BLK32F</t>
  </si>
  <si>
    <t xml:space="preserve">CK029104</t>
  </si>
  <si>
    <t xml:space="preserve">CK029104BLK38D</t>
  </si>
  <si>
    <t xml:space="preserve">TRIACTION HIIT LITE P EX</t>
  </si>
  <si>
    <t xml:space="preserve">SPORTS </t>
  </si>
  <si>
    <t xml:space="preserve">110-508</t>
  </si>
  <si>
    <t xml:space="preserve">B5</t>
  </si>
  <si>
    <t xml:space="preserve">U8</t>
  </si>
  <si>
    <t xml:space="preserve">ORANGE</t>
  </si>
  <si>
    <t xml:space="preserve">OM</t>
  </si>
  <si>
    <t xml:space="preserve">TRIACTION HYBRID LITE ISP P</t>
  </si>
  <si>
    <t xml:space="preserve">8904333963518</t>
  </si>
  <si>
    <t xml:space="preserve">SAANVI CLOTHING </t>
  </si>
  <si>
    <t xml:space="preserve">Envie</t>
  </si>
  <si>
    <t xml:space="preserve">1057 EVERYDAY BRA</t>
  </si>
  <si>
    <t xml:space="preserve">non padded</t>
  </si>
  <si>
    <t xml:space="preserve">1057</t>
  </si>
  <si>
    <t xml:space="preserve">8904333963433</t>
  </si>
  <si>
    <t xml:space="preserve">8904333963679</t>
  </si>
  <si>
    <t xml:space="preserve">Nude</t>
  </si>
  <si>
    <t xml:space="preserve">8904333953525</t>
  </si>
  <si>
    <t xml:space="preserve">8904333963440</t>
  </si>
  <si>
    <t xml:space="preserve">8904333963686</t>
  </si>
  <si>
    <t xml:space="preserve">8904333963549</t>
  </si>
  <si>
    <t xml:space="preserve">8904333963709</t>
  </si>
  <si>
    <t xml:space="preserve">8904333963471</t>
  </si>
  <si>
    <t xml:space="preserve">8904333963556</t>
  </si>
  <si>
    <t xml:space="preserve">8904333963716</t>
  </si>
  <si>
    <t xml:space="preserve">8904333913834</t>
  </si>
  <si>
    <t xml:space="preserve">1024 EVERYDAY BRA</t>
  </si>
  <si>
    <t xml:space="preserve">1024</t>
  </si>
  <si>
    <t xml:space="preserve">8904333912592</t>
  </si>
  <si>
    <t xml:space="preserve">8904333913841</t>
  </si>
  <si>
    <t xml:space="preserve">8904333912615</t>
  </si>
  <si>
    <t xml:space="preserve">8904333913865</t>
  </si>
  <si>
    <t xml:space="preserve">8904333904733</t>
  </si>
  <si>
    <t xml:space="preserve">1002 EVERYDAY BRA</t>
  </si>
  <si>
    <t xml:space="preserve">1002</t>
  </si>
  <si>
    <t xml:space="preserve">8904333904894</t>
  </si>
  <si>
    <t xml:space="preserve">8904333904924</t>
  </si>
  <si>
    <t xml:space="preserve">8904333961774</t>
  </si>
  <si>
    <t xml:space="preserve">1007 EVERYDAY BRA</t>
  </si>
  <si>
    <t xml:space="preserve">1007</t>
  </si>
  <si>
    <t xml:space="preserve">8904333908250</t>
  </si>
  <si>
    <t xml:space="preserve">8904333908519</t>
  </si>
  <si>
    <t xml:space="preserve">8904333909387</t>
  </si>
  <si>
    <t xml:space="preserve">BIGANARS BRA</t>
  </si>
  <si>
    <t xml:space="preserve">1008</t>
  </si>
  <si>
    <t xml:space="preserve">8904333902616</t>
  </si>
  <si>
    <t xml:space="preserve">8904333909264</t>
  </si>
  <si>
    <t xml:space="preserve">8904333909141</t>
  </si>
  <si>
    <t xml:space="preserve">wood rose</t>
  </si>
  <si>
    <t xml:space="preserve">8904333902623</t>
  </si>
  <si>
    <t xml:space="preserve">8904333909370</t>
  </si>
  <si>
    <t xml:space="preserve">8904333909134</t>
  </si>
  <si>
    <t xml:space="preserve">8904333909240</t>
  </si>
  <si>
    <t xml:space="preserve">8904333909363</t>
  </si>
  <si>
    <t xml:space="preserve">8904333902647</t>
  </si>
  <si>
    <t xml:space="preserve">8904333909127</t>
  </si>
  <si>
    <t xml:space="preserve">8904333909158</t>
  </si>
  <si>
    <t xml:space="preserve">8904333909222</t>
  </si>
  <si>
    <t xml:space="preserve">8904333909455</t>
  </si>
  <si>
    <t xml:space="preserve">Woodrose</t>
  </si>
  <si>
    <t xml:space="preserve">8904333902654</t>
  </si>
  <si>
    <t xml:space="preserve">8904333909172</t>
  </si>
  <si>
    <t xml:space="preserve">8904333909233</t>
  </si>
  <si>
    <t xml:space="preserve">Marron</t>
  </si>
  <si>
    <t xml:space="preserve">8904333909271</t>
  </si>
  <si>
    <t xml:space="preserve">8904333909417</t>
  </si>
  <si>
    <t xml:space="preserve">8904333909479</t>
  </si>
  <si>
    <t xml:space="preserve">8904333911571</t>
  </si>
  <si>
    <t xml:space="preserve">SLEEPING BRA</t>
  </si>
  <si>
    <t xml:space="preserve">1022</t>
  </si>
  <si>
    <t xml:space="preserve">8904333911731</t>
  </si>
  <si>
    <t xml:space="preserve">8904333911977</t>
  </si>
  <si>
    <t xml:space="preserve">8904333912059</t>
  </si>
  <si>
    <t xml:space="preserve">PURPE</t>
  </si>
  <si>
    <t xml:space="preserve">8904333911588</t>
  </si>
  <si>
    <t xml:space="preserve">8904333911663</t>
  </si>
  <si>
    <t xml:space="preserve">8904333911748</t>
  </si>
  <si>
    <t xml:space="preserve">8904333911823</t>
  </si>
  <si>
    <t xml:space="preserve">8904333911908</t>
  </si>
  <si>
    <t xml:space="preserve">8904333911984</t>
  </si>
  <si>
    <t xml:space="preserve">8904333912066</t>
  </si>
  <si>
    <t xml:space="preserve">8904333911595</t>
  </si>
  <si>
    <t xml:space="preserve">8904333911670</t>
  </si>
  <si>
    <t xml:space="preserve">8904333911755</t>
  </si>
  <si>
    <t xml:space="preserve">8904333911830</t>
  </si>
  <si>
    <t xml:space="preserve">8904333911915</t>
  </si>
  <si>
    <t xml:space="preserve">8904333911991</t>
  </si>
  <si>
    <t xml:space="preserve">8904333912073</t>
  </si>
  <si>
    <t xml:space="preserve">8904333911601</t>
  </si>
  <si>
    <t xml:space="preserve">8904333911687</t>
  </si>
  <si>
    <t xml:space="preserve">Maroon</t>
  </si>
  <si>
    <t xml:space="preserve">8904333911762</t>
  </si>
  <si>
    <t xml:space="preserve">8904333911847</t>
  </si>
  <si>
    <t xml:space="preserve">8904333911922</t>
  </si>
  <si>
    <t xml:space="preserve">8904333912004</t>
  </si>
  <si>
    <t xml:space="preserve">8904333912080</t>
  </si>
  <si>
    <t xml:space="preserve">8904333911694</t>
  </si>
  <si>
    <t xml:space="preserve">8904333911779</t>
  </si>
  <si>
    <t xml:space="preserve">8904333911854</t>
  </si>
  <si>
    <t xml:space="preserve">8904333911939</t>
  </si>
  <si>
    <t xml:space="preserve">8904333912011</t>
  </si>
  <si>
    <t xml:space="preserve">8904333912097</t>
  </si>
  <si>
    <t xml:space="preserve">8904333911677</t>
  </si>
  <si>
    <t xml:space="preserve">8904333911625</t>
  </si>
  <si>
    <t xml:space="preserve">8904333911700</t>
  </si>
  <si>
    <t xml:space="preserve">8904333911786</t>
  </si>
  <si>
    <t xml:space="preserve">8904333911861</t>
  </si>
  <si>
    <t xml:space="preserve">8904333912028</t>
  </si>
  <si>
    <t xml:space="preserve">8904333912103</t>
  </si>
  <si>
    <t xml:space="preserve">8904333911632</t>
  </si>
  <si>
    <t xml:space="preserve">8904333911717</t>
  </si>
  <si>
    <t xml:space="preserve">8904333911793</t>
  </si>
  <si>
    <t xml:space="preserve">8904333912035</t>
  </si>
  <si>
    <t xml:space="preserve">8904333912110</t>
  </si>
  <si>
    <t xml:space="preserve">8904333911649</t>
  </si>
  <si>
    <t xml:space="preserve">8904333911724</t>
  </si>
  <si>
    <t xml:space="preserve">8904333911809</t>
  </si>
  <si>
    <t xml:space="preserve">8904333912042</t>
  </si>
  <si>
    <t xml:space="preserve">8904333912127</t>
  </si>
  <si>
    <t xml:space="preserve">8904426710524</t>
  </si>
  <si>
    <t xml:space="preserve">8904426710548</t>
  </si>
  <si>
    <t xml:space="preserve">8904333911878</t>
  </si>
  <si>
    <t xml:space="preserve">8904426738917</t>
  </si>
  <si>
    <t xml:space="preserve">KIRAKA 1022 LOUNGE BRA</t>
  </si>
  <si>
    <t xml:space="preserve">EF</t>
  </si>
  <si>
    <t xml:space="preserve">8904426738931</t>
  </si>
  <si>
    <t xml:space="preserve">8904426738894</t>
  </si>
  <si>
    <t xml:space="preserve">8904426738900</t>
  </si>
  <si>
    <t xml:space="preserve">GH</t>
  </si>
  <si>
    <t xml:space="preserve">8904426738924</t>
  </si>
  <si>
    <t xml:space="preserve">8904426738948</t>
  </si>
  <si>
    <t xml:space="preserve">8904426738627</t>
  </si>
  <si>
    <t xml:space="preserve">8904426738726</t>
  </si>
  <si>
    <t xml:space="preserve">8904426738955</t>
  </si>
  <si>
    <t xml:space="preserve">8904426738634</t>
  </si>
  <si>
    <t xml:space="preserve">8904426738733</t>
  </si>
  <si>
    <t xml:space="preserve">8904426738962</t>
  </si>
  <si>
    <t xml:space="preserve">8904426738641</t>
  </si>
  <si>
    <t xml:space="preserve">8904426738740</t>
  </si>
  <si>
    <t xml:space="preserve">8904426738979</t>
  </si>
  <si>
    <t xml:space="preserve">8904426738658</t>
  </si>
  <si>
    <t xml:space="preserve">8904426738757</t>
  </si>
  <si>
    <t xml:space="preserve">8904426738986</t>
  </si>
  <si>
    <t xml:space="preserve">8904426738665</t>
  </si>
  <si>
    <t xml:space="preserve">8904426738764</t>
  </si>
  <si>
    <t xml:space="preserve">8904426738993</t>
  </si>
  <si>
    <t xml:space="preserve">8904426738672</t>
  </si>
  <si>
    <t xml:space="preserve">8904426738771</t>
  </si>
  <si>
    <t xml:space="preserve">8904426739006</t>
  </si>
  <si>
    <t xml:space="preserve">8904426738788</t>
  </si>
  <si>
    <t xml:space="preserve">8904426738696</t>
  </si>
  <si>
    <t xml:space="preserve">8904426738795</t>
  </si>
  <si>
    <t xml:space="preserve">8904426738702</t>
  </si>
  <si>
    <t xml:space="preserve">8904426738801</t>
  </si>
  <si>
    <t xml:space="preserve">8904426738719</t>
  </si>
  <si>
    <t xml:space="preserve">8904426738818</t>
  </si>
  <si>
    <t xml:space="preserve">8904333921785</t>
  </si>
  <si>
    <t xml:space="preserve">TANK TOP</t>
  </si>
  <si>
    <t xml:space="preserve">3006</t>
  </si>
  <si>
    <t xml:space="preserve">8904333921631</t>
  </si>
  <si>
    <t xml:space="preserve">8904333921686</t>
  </si>
  <si>
    <t xml:space="preserve">purpe</t>
  </si>
  <si>
    <t xml:space="preserve">8904333935782</t>
  </si>
  <si>
    <t xml:space="preserve">8904333921822</t>
  </si>
  <si>
    <t xml:space="preserve">8904333921778</t>
  </si>
  <si>
    <t xml:space="preserve">8904333921624</t>
  </si>
  <si>
    <t xml:space="preserve">8904333921679</t>
  </si>
  <si>
    <t xml:space="preserve">8904333921617</t>
  </si>
  <si>
    <t xml:space="preserve">8904333921662</t>
  </si>
  <si>
    <t xml:space="preserve">8904333921761</t>
  </si>
  <si>
    <t xml:space="preserve">Perple</t>
  </si>
  <si>
    <t xml:space="preserve">8904333921815</t>
  </si>
  <si>
    <t xml:space="preserve">8904333935775</t>
  </si>
  <si>
    <t xml:space="preserve">8904333921648</t>
  </si>
  <si>
    <t xml:space="preserve">8904333921693</t>
  </si>
  <si>
    <t xml:space="preserve">8904333921792</t>
  </si>
  <si>
    <t xml:space="preserve">8904333921846</t>
  </si>
  <si>
    <t xml:space="preserve">8904333935805</t>
  </si>
  <si>
    <t xml:space="preserve">8904333921655</t>
  </si>
  <si>
    <t xml:space="preserve">XXL</t>
  </si>
  <si>
    <t xml:space="preserve">8904333921709</t>
  </si>
  <si>
    <t xml:space="preserve">8904333921808</t>
  </si>
  <si>
    <t xml:space="preserve">8904333921853</t>
  </si>
  <si>
    <t xml:space="preserve">8904333935812</t>
  </si>
  <si>
    <t xml:space="preserve">8902625583222</t>
  </si>
  <si>
    <t xml:space="preserve">K.S SELECTIONS </t>
  </si>
  <si>
    <t xml:space="preserve">ENAMOR</t>
  </si>
  <si>
    <t xml:space="preserve">F0-91 PLUNGE PUSH-UP PADDED WIERD COVERAGE</t>
  </si>
  <si>
    <t xml:space="preserve">FO-91</t>
  </si>
  <si>
    <t xml:space="preserve">8902625583321</t>
  </si>
  <si>
    <t xml:space="preserve">8902625583239</t>
  </si>
  <si>
    <t xml:space="preserve">8902625583338</t>
  </si>
  <si>
    <t xml:space="preserve">8902625827999</t>
  </si>
  <si>
    <t xml:space="preserve">8902625828002</t>
  </si>
  <si>
    <t xml:space="preserve">8902625583246</t>
  </si>
  <si>
    <t xml:space="preserve">8902625583345</t>
  </si>
  <si>
    <t xml:space="preserve">8902625583352</t>
  </si>
  <si>
    <t xml:space="preserve">8902625583253</t>
  </si>
  <si>
    <t xml:space="preserve">8902625828019</t>
  </si>
  <si>
    <t xml:space="preserve">8902625828026</t>
  </si>
  <si>
    <t xml:space="preserve">8902625583260</t>
  </si>
  <si>
    <t xml:space="preserve">8902625583369</t>
  </si>
  <si>
    <t xml:space="preserve">8902625583277</t>
  </si>
  <si>
    <t xml:space="preserve">8902625828057</t>
  </si>
  <si>
    <t xml:space="preserve">78902625583291</t>
  </si>
  <si>
    <t xml:space="preserve">8902625583314</t>
  </si>
  <si>
    <t xml:space="preserve">8902625828088</t>
  </si>
  <si>
    <t xml:space="preserve">8902625582058</t>
  </si>
  <si>
    <t xml:space="preserve">SB18 PADDED WIREFREE FULL COVERAGE</t>
  </si>
  <si>
    <t xml:space="preserve">SB-18</t>
  </si>
  <si>
    <t xml:space="preserve">8902625582508</t>
  </si>
  <si>
    <t xml:space="preserve">SB18  PADDED WIREFREE FULL COVERAGE</t>
  </si>
  <si>
    <t xml:space="preserve">8902625608826</t>
  </si>
  <si>
    <t xml:space="preserve">SB18-PADDED WIREFREE FULL COVERAGE</t>
  </si>
  <si>
    <t xml:space="preserve">8902625582515</t>
  </si>
  <si>
    <t xml:space="preserve">8902625582522</t>
  </si>
  <si>
    <t xml:space="preserve">8902625608833</t>
  </si>
  <si>
    <t xml:space="preserve">8902625582072</t>
  </si>
  <si>
    <t xml:space="preserve">8902625582089</t>
  </si>
  <si>
    <t xml:space="preserve">Z</t>
  </si>
  <si>
    <t xml:space="preserve">PRINT</t>
  </si>
  <si>
    <t xml:space="preserve">8902625582096</t>
  </si>
  <si>
    <t xml:space="preserve">8902625582546</t>
  </si>
  <si>
    <t xml:space="preserve">8902625582553</t>
  </si>
  <si>
    <t xml:space="preserve">8902625582560</t>
  </si>
  <si>
    <t xml:space="preserve">8902625582584</t>
  </si>
  <si>
    <t xml:space="preserve">8902625562661</t>
  </si>
  <si>
    <t xml:space="preserve">FB12 NON PADDED WIREFREE FULL COVERAGE</t>
  </si>
  <si>
    <t xml:space="preserve">FB-12</t>
  </si>
  <si>
    <t xml:space="preserve">8902625564894</t>
  </si>
  <si>
    <t xml:space="preserve">8902625562678</t>
  </si>
  <si>
    <t xml:space="preserve">8902625564900</t>
  </si>
  <si>
    <t xml:space="preserve">8902625564702</t>
  </si>
  <si>
    <t xml:space="preserve">8902625562685</t>
  </si>
  <si>
    <t xml:space="preserve">8902625564924</t>
  </si>
  <si>
    <t xml:space="preserve">8902625562692</t>
  </si>
  <si>
    <t xml:space="preserve">8902625564726</t>
  </si>
  <si>
    <t xml:space="preserve">8902625564931</t>
  </si>
  <si>
    <t xml:space="preserve">8902625562708</t>
  </si>
  <si>
    <t xml:space="preserve">8902625360069</t>
  </si>
  <si>
    <t xml:space="preserve">8902625564733</t>
  </si>
  <si>
    <t xml:space="preserve">8902625564948</t>
  </si>
  <si>
    <t xml:space="preserve">8902625564740</t>
  </si>
  <si>
    <t xml:space="preserve">8902625564955</t>
  </si>
  <si>
    <t xml:space="preserve">8902625564757</t>
  </si>
  <si>
    <t xml:space="preserve">8902625564962</t>
  </si>
  <si>
    <t xml:space="preserve">8902625564764</t>
  </si>
  <si>
    <t xml:space="preserve">8902625564771</t>
  </si>
  <si>
    <t xml:space="preserve">8902625562746</t>
  </si>
  <si>
    <t xml:space="preserve">8902625562753</t>
  </si>
  <si>
    <t xml:space="preserve">8902625562951</t>
  </si>
  <si>
    <t xml:space="preserve">8902625562760</t>
  </si>
  <si>
    <t xml:space="preserve">8902625564993</t>
  </si>
  <si>
    <t xml:space="preserve">8902625564795</t>
  </si>
  <si>
    <t xml:space="preserve">8902625562777</t>
  </si>
  <si>
    <t xml:space="preserve">8902625564801</t>
  </si>
  <si>
    <t xml:space="preserve">8902625581969</t>
  </si>
  <si>
    <t xml:space="preserve">8902625562807</t>
  </si>
  <si>
    <t xml:space="preserve">8902625565037</t>
  </si>
  <si>
    <t xml:space="preserve">FB12  NON PADDED WIREFREE FULL COVERAGE</t>
  </si>
  <si>
    <t xml:space="preserve">8902625563002</t>
  </si>
  <si>
    <t xml:space="preserve">8902625564849</t>
  </si>
  <si>
    <t xml:space="preserve">FB 12 NON PADDED WIREFREE FULL COVERAGE</t>
  </si>
  <si>
    <t xml:space="preserve">8902625557421</t>
  </si>
  <si>
    <t xml:space="preserve">A112 NON PADDED WIREFREE FULL COVERAGE</t>
  </si>
  <si>
    <t xml:space="preserve">A112</t>
  </si>
  <si>
    <t xml:space="preserve">8902625557025</t>
  </si>
  <si>
    <t xml:space="preserve">A112NON PADDED WIREFREE FULL COVERAGE</t>
  </si>
  <si>
    <t xml:space="preserve">8902625557438</t>
  </si>
  <si>
    <t xml:space="preserve">A112 NO PADDED WIREFREE FULL COVERAGE</t>
  </si>
  <si>
    <t xml:space="preserve">8902625557032</t>
  </si>
  <si>
    <t xml:space="preserve">8902625574299</t>
  </si>
  <si>
    <t xml:space="preserve">A112- NON PADDED WIREFREE FULL COVERAGE</t>
  </si>
  <si>
    <t xml:space="preserve">8902625574091</t>
  </si>
  <si>
    <t xml:space="preserve">A112 NON PADDE WIREFREE FULL COVERAGE</t>
  </si>
  <si>
    <t xml:space="preserve">8902625557445</t>
  </si>
  <si>
    <t xml:space="preserve">8902625557049</t>
  </si>
  <si>
    <t xml:space="preserve">8902625557056</t>
  </si>
  <si>
    <t xml:space="preserve">8902625557452</t>
  </si>
  <si>
    <t xml:space="preserve">A112-NON PADDED WIREFREE FULL COVERAGE</t>
  </si>
  <si>
    <t xml:space="preserve">8902625557469</t>
  </si>
  <si>
    <t xml:space="preserve">A112 NON PADDED WIREFREEE FULL COVERAGE</t>
  </si>
  <si>
    <t xml:space="preserve">8902625557063</t>
  </si>
  <si>
    <t xml:space="preserve">8902625574329</t>
  </si>
  <si>
    <t xml:space="preserve">8902625557070</t>
  </si>
  <si>
    <t xml:space="preserve">8902625492142</t>
  </si>
  <si>
    <t xml:space="preserve">8902625573735</t>
  </si>
  <si>
    <t xml:space="preserve">8902625557483</t>
  </si>
  <si>
    <t xml:space="preserve">8902625557087</t>
  </si>
  <si>
    <t xml:space="preserve">8902625574350</t>
  </si>
  <si>
    <t xml:space="preserve">8902625557490</t>
  </si>
  <si>
    <t xml:space="preserve">8902625557117</t>
  </si>
  <si>
    <t xml:space="preserve">A112 NON PADDED  WIREFREE FULL COVERAGE</t>
  </si>
  <si>
    <t xml:space="preserve">8902625557513</t>
  </si>
  <si>
    <t xml:space="preserve">8902625564986</t>
  </si>
  <si>
    <t xml:space="preserve">8902625574176</t>
  </si>
  <si>
    <t xml:space="preserve">8902625574381</t>
  </si>
  <si>
    <t xml:space="preserve">A 112 NON PADDED WIREFREE FULL COVERAGR</t>
  </si>
  <si>
    <t xml:space="preserve">8902625574398</t>
  </si>
  <si>
    <t xml:space="preserve">8902625312013</t>
  </si>
  <si>
    <t xml:space="preserve">8902625574404</t>
  </si>
  <si>
    <t xml:space="preserve">8902625557551</t>
  </si>
  <si>
    <t xml:space="preserve">8902625557155</t>
  </si>
  <si>
    <t xml:space="preserve">8902625574428</t>
  </si>
  <si>
    <t xml:space="preserve">8902625557568</t>
  </si>
  <si>
    <t xml:space="preserve">8902625573674</t>
  </si>
  <si>
    <t xml:space="preserve">LIGH BLUE</t>
  </si>
  <si>
    <t xml:space="preserve">8902625574466</t>
  </si>
  <si>
    <t xml:space="preserve">8902625452603</t>
  </si>
  <si>
    <t xml:space="preserve">AO39 PADDED WIREFREE MEDIUM COVERAGE</t>
  </si>
  <si>
    <t xml:space="preserve">AO39</t>
  </si>
  <si>
    <t xml:space="preserve">8902625551221</t>
  </si>
  <si>
    <t xml:space="preserve">8902625452641</t>
  </si>
  <si>
    <t xml:space="preserve">8902625301802</t>
  </si>
  <si>
    <t xml:space="preserve">AO39 PADDED WIREFREE  MEDIUM COVERAGE</t>
  </si>
  <si>
    <t xml:space="preserve">8902625554406</t>
  </si>
  <si>
    <t xml:space="preserve">8902625555120</t>
  </si>
  <si>
    <t xml:space="preserve">A039 PADDED WIREFREE MEDIUM COVERAGE</t>
  </si>
  <si>
    <t xml:space="preserve">8902625555113</t>
  </si>
  <si>
    <t xml:space="preserve">8902625551344</t>
  </si>
  <si>
    <t xml:space="preserve">8902625554772</t>
  </si>
  <si>
    <t xml:space="preserve">8902625004000</t>
  </si>
  <si>
    <t xml:space="preserve">FO74 PADDED WIRED MEDIUM COVERAGE</t>
  </si>
  <si>
    <t xml:space="preserve">FO74</t>
  </si>
  <si>
    <t xml:space="preserve">PEACH</t>
  </si>
  <si>
    <t xml:space="preserve">8902625004239</t>
  </si>
  <si>
    <t xml:space="preserve">8902625552655</t>
  </si>
  <si>
    <t xml:space="preserve">8902625552693</t>
  </si>
  <si>
    <t xml:space="preserve">8902625552730</t>
  </si>
  <si>
    <t xml:space="preserve">8902625581389</t>
  </si>
  <si>
    <t xml:space="preserve">8902625004017</t>
  </si>
  <si>
    <t xml:space="preserve">8902625004246</t>
  </si>
  <si>
    <t xml:space="preserve">8902625552662</t>
  </si>
  <si>
    <t xml:space="preserve">8902625552709</t>
  </si>
  <si>
    <t xml:space="preserve">8902625552747</t>
  </si>
  <si>
    <t xml:space="preserve">8902625581396</t>
  </si>
  <si>
    <t xml:space="preserve">8902625552679</t>
  </si>
  <si>
    <t xml:space="preserve">blk</t>
  </si>
  <si>
    <t xml:space="preserve">8902625004253</t>
  </si>
  <si>
    <t xml:space="preserve">purple</t>
  </si>
  <si>
    <t xml:space="preserve">8902625004031</t>
  </si>
  <si>
    <t xml:space="preserve">8902625004260</t>
  </si>
  <si>
    <t xml:space="preserve">8902625552686</t>
  </si>
  <si>
    <t xml:space="preserve">8902625552761</t>
  </si>
  <si>
    <t xml:space="preserve">8902625581419</t>
  </si>
  <si>
    <t xml:space="preserve">8902625004048</t>
  </si>
  <si>
    <t xml:space="preserve">8902625004277</t>
  </si>
  <si>
    <t xml:space="preserve">8902625561794</t>
  </si>
  <si>
    <t xml:space="preserve">8902625561442</t>
  </si>
  <si>
    <t xml:space="preserve">8902625561633</t>
  </si>
  <si>
    <t xml:space="preserve">8902625581426</t>
  </si>
  <si>
    <t xml:space="preserve">8902625564055</t>
  </si>
  <si>
    <t xml:space="preserve">89026255640284</t>
  </si>
  <si>
    <t xml:space="preserve">8902625561459</t>
  </si>
  <si>
    <t xml:space="preserve">8902625561800</t>
  </si>
  <si>
    <t xml:space="preserve">8902625581433</t>
  </si>
  <si>
    <t xml:space="preserve">8902625004062</t>
  </si>
  <si>
    <t xml:space="preserve">8902625004291</t>
  </si>
  <si>
    <t xml:space="preserve">8902625561466</t>
  </si>
  <si>
    <t xml:space="preserve">8902625561817</t>
  </si>
  <si>
    <t xml:space="preserve">8902625581440</t>
  </si>
  <si>
    <t xml:space="preserve">8902625004079</t>
  </si>
  <si>
    <t xml:space="preserve">8902625004307</t>
  </si>
  <si>
    <t xml:space="preserve">8902625561473</t>
  </si>
  <si>
    <t xml:space="preserve">8902625561664</t>
  </si>
  <si>
    <t xml:space="preserve">8902625561824</t>
  </si>
  <si>
    <t xml:space="preserve">8902625581457</t>
  </si>
  <si>
    <t xml:space="preserve">8902625561480</t>
  </si>
  <si>
    <t xml:space="preserve">8902625561831</t>
  </si>
  <si>
    <t xml:space="preserve">8902625561497</t>
  </si>
  <si>
    <t xml:space="preserve">8902625561688</t>
  </si>
  <si>
    <t xml:space="preserve">8902625561848</t>
  </si>
  <si>
    <t xml:space="preserve">8902625581471</t>
  </si>
  <si>
    <t xml:space="preserve">8902625004109</t>
  </si>
  <si>
    <t xml:space="preserve">8902625004338</t>
  </si>
  <si>
    <t xml:space="preserve">8902625561695</t>
  </si>
  <si>
    <t xml:space="preserve">8902625004116</t>
  </si>
  <si>
    <t xml:space="preserve">8902625004345</t>
  </si>
  <si>
    <t xml:space="preserve">8902625561510</t>
  </si>
  <si>
    <t xml:space="preserve">8902625561701</t>
  </si>
  <si>
    <t xml:space="preserve">8902625561862.</t>
  </si>
  <si>
    <t xml:space="preserve">8902625581495</t>
  </si>
  <si>
    <t xml:space="preserve">8902625356215</t>
  </si>
  <si>
    <t xml:space="preserve">8902625561534</t>
  </si>
  <si>
    <t xml:space="preserve">8902625561886</t>
  </si>
  <si>
    <t xml:space="preserve">8902625581518</t>
  </si>
  <si>
    <t xml:space="preserve">8902625004376</t>
  </si>
  <si>
    <t xml:space="preserve">8902625561541</t>
  </si>
  <si>
    <t xml:space="preserve">8902625561893</t>
  </si>
  <si>
    <t xml:space="preserve">8902625561527</t>
  </si>
  <si>
    <t xml:space="preserve">8902625561879</t>
  </si>
  <si>
    <t xml:space="preserve">8902625561558</t>
  </si>
  <si>
    <t xml:space="preserve">8902625583055</t>
  </si>
  <si>
    <t xml:space="preserve">F040-PADDED WIRED MEDIUM COVERAGE</t>
  </si>
  <si>
    <t xml:space="preserve">FO40</t>
  </si>
  <si>
    <t xml:space="preserve">8902625583031</t>
  </si>
  <si>
    <t xml:space="preserve">8903976712545</t>
  </si>
  <si>
    <t xml:space="preserve">GINZA INDUSTRIES</t>
  </si>
  <si>
    <t xml:space="preserve">SOIE</t>
  </si>
  <si>
    <t xml:space="preserve">FB-705 EVERYDAY BRA</t>
  </si>
  <si>
    <t xml:space="preserve">EVERYDAY</t>
  </si>
  <si>
    <t xml:space="preserve">NON UNDER WIRE</t>
  </si>
  <si>
    <t xml:space="preserve">FB-705</t>
  </si>
  <si>
    <t xml:space="preserve">8903976712071</t>
  </si>
  <si>
    <t xml:space="preserve">CRIMSON</t>
  </si>
  <si>
    <t xml:space="preserve">8903976712316</t>
  </si>
  <si>
    <t xml:space="preserve">GREEN-JUNGLE</t>
  </si>
  <si>
    <t xml:space="preserve">8903976892292</t>
  </si>
  <si>
    <t xml:space="preserve">DEEP-BLUE</t>
  </si>
  <si>
    <t xml:space="preserve">BALCK</t>
  </si>
  <si>
    <t xml:space="preserve">8903976931892</t>
  </si>
  <si>
    <t xml:space="preserve">8903976712569</t>
  </si>
  <si>
    <t xml:space="preserve">8903976712323</t>
  </si>
  <si>
    <t xml:space="preserve">GREEN JEWEL</t>
  </si>
  <si>
    <t xml:space="preserve">8903976712095</t>
  </si>
  <si>
    <t xml:space="preserve">8903976892315</t>
  </si>
  <si>
    <t xml:space="preserve">8903976712576</t>
  </si>
  <si>
    <t xml:space="preserve">8903976712330</t>
  </si>
  <si>
    <t xml:space="preserve">8903976712583</t>
  </si>
  <si>
    <t xml:space="preserve">8903976892322</t>
  </si>
  <si>
    <t xml:space="preserve">8903976931915</t>
  </si>
  <si>
    <t xml:space="preserve">8903976712347</t>
  </si>
  <si>
    <t xml:space="preserve">Green Jungle</t>
  </si>
  <si>
    <t xml:space="preserve">8903976712354</t>
  </si>
  <si>
    <t xml:space="preserve">8903976712590</t>
  </si>
  <si>
    <t xml:space="preserve">8903976931922</t>
  </si>
  <si>
    <t xml:space="preserve">8903976712606</t>
  </si>
  <si>
    <t xml:space="preserve">8903976932097</t>
  </si>
  <si>
    <t xml:space="preserve">8903976892346</t>
  </si>
  <si>
    <t xml:space="preserve">8903976712613</t>
  </si>
  <si>
    <t xml:space="preserve">8903976892353</t>
  </si>
  <si>
    <t xml:space="preserve">8903976712620</t>
  </si>
  <si>
    <t xml:space="preserve">8903976931939</t>
  </si>
  <si>
    <t xml:space="preserve">8903976892360</t>
  </si>
  <si>
    <t xml:space="preserve">8903976712385</t>
  </si>
  <si>
    <t xml:space="preserve">8903976712637</t>
  </si>
  <si>
    <t xml:space="preserve">8903976931946</t>
  </si>
  <si>
    <t xml:space="preserve">8903976892377</t>
  </si>
  <si>
    <t xml:space="preserve">8903976712392</t>
  </si>
  <si>
    <t xml:space="preserve">8903976712156</t>
  </si>
  <si>
    <t xml:space="preserve">8903976712644</t>
  </si>
  <si>
    <t xml:space="preserve">8903976931953</t>
  </si>
  <si>
    <t xml:space="preserve">8903976892384</t>
  </si>
  <si>
    <t xml:space="preserve">8903976712163</t>
  </si>
  <si>
    <t xml:space="preserve">8903976712415</t>
  </si>
  <si>
    <t xml:space="preserve">8903976712651</t>
  </si>
  <si>
    <t xml:space="preserve">8903976892391</t>
  </si>
  <si>
    <t xml:space="preserve">8903976712170</t>
  </si>
  <si>
    <t xml:space="preserve">8903976712187</t>
  </si>
  <si>
    <t xml:space="preserve">8903976712422</t>
  </si>
  <si>
    <t xml:space="preserve">8903976712668</t>
  </si>
  <si>
    <t xml:space="preserve">8903976892407</t>
  </si>
  <si>
    <t xml:space="preserve">8903976931977</t>
  </si>
  <si>
    <t xml:space="preserve">8903976712194</t>
  </si>
  <si>
    <t xml:space="preserve">8903976712439</t>
  </si>
  <si>
    <t xml:space="preserve">8903976712675</t>
  </si>
  <si>
    <t xml:space="preserve">8903976892414</t>
  </si>
  <si>
    <t xml:space="preserve">8903976931984</t>
  </si>
  <si>
    <t xml:space="preserve">8903976873901</t>
  </si>
  <si>
    <t xml:space="preserve">MAXMIN APPARELS</t>
  </si>
  <si>
    <t xml:space="preserve">CB-132 PADDED BRA</t>
  </si>
  <si>
    <t xml:space="preserve">CB-132</t>
  </si>
  <si>
    <t xml:space="preserve">8903976873680</t>
  </si>
  <si>
    <t xml:space="preserve">MIST</t>
  </si>
  <si>
    <t xml:space="preserve">8903976894616</t>
  </si>
  <si>
    <t xml:space="preserve">8903976918978</t>
  </si>
  <si>
    <t xml:space="preserve">8903976873482</t>
  </si>
  <si>
    <t xml:space="preserve">BARK</t>
  </si>
  <si>
    <t xml:space="preserve">8903976873697</t>
  </si>
  <si>
    <t xml:space="preserve">8903976873918</t>
  </si>
  <si>
    <t xml:space="preserve">8903976918985</t>
  </si>
  <si>
    <t xml:space="preserve">8903976873499</t>
  </si>
  <si>
    <t xml:space="preserve">8903976873703</t>
  </si>
  <si>
    <t xml:space="preserve">8903976873925</t>
  </si>
  <si>
    <t xml:space="preserve">8903976894630</t>
  </si>
  <si>
    <t xml:space="preserve">8903976871709</t>
  </si>
  <si>
    <t xml:space="preserve">8903976873710</t>
  </si>
  <si>
    <t xml:space="preserve">8903976873932</t>
  </si>
  <si>
    <t xml:space="preserve">8903976894647</t>
  </si>
  <si>
    <t xml:space="preserve">8903976919005</t>
  </si>
  <si>
    <t xml:space="preserve">8903976919012</t>
  </si>
  <si>
    <t xml:space="preserve">8903976873505</t>
  </si>
  <si>
    <t xml:space="preserve">8903976873727</t>
  </si>
  <si>
    <t xml:space="preserve">8903976873949</t>
  </si>
  <si>
    <t xml:space="preserve">8903976873512</t>
  </si>
  <si>
    <t xml:space="preserve">8903976873734</t>
  </si>
  <si>
    <t xml:space="preserve">8903976873956</t>
  </si>
  <si>
    <t xml:space="preserve">8903976919029</t>
  </si>
  <si>
    <t xml:space="preserve">8903976873741</t>
  </si>
  <si>
    <t xml:space="preserve">8903976873963</t>
  </si>
  <si>
    <t xml:space="preserve">8903976919036</t>
  </si>
  <si>
    <t xml:space="preserve">8903976873536</t>
  </si>
  <si>
    <t xml:space="preserve">8903976873970</t>
  </si>
  <si>
    <t xml:space="preserve">8903976919043</t>
  </si>
  <si>
    <t xml:space="preserve">8903976873765</t>
  </si>
  <si>
    <t xml:space="preserve">8903976873987</t>
  </si>
  <si>
    <t xml:space="preserve">8903976894692</t>
  </si>
  <si>
    <t xml:space="preserve">8903976919050</t>
  </si>
  <si>
    <t xml:space="preserve">8903976873550</t>
  </si>
  <si>
    <t xml:space="preserve">8903976873772</t>
  </si>
  <si>
    <t xml:space="preserve">8903976873994</t>
  </si>
  <si>
    <t xml:space="preserve">8903976919067</t>
  </si>
  <si>
    <t xml:space="preserve">8903976873567</t>
  </si>
  <si>
    <t xml:space="preserve">8903976873789</t>
  </si>
  <si>
    <t xml:space="preserve">8903976919074</t>
  </si>
  <si>
    <t xml:space="preserve">8903976874007</t>
  </si>
  <si>
    <t xml:space="preserve">8903976873574</t>
  </si>
  <si>
    <t xml:space="preserve">8903976873796</t>
  </si>
  <si>
    <t xml:space="preserve">8903976874014</t>
  </si>
  <si>
    <t xml:space="preserve">8903976873581</t>
  </si>
  <si>
    <t xml:space="preserve">8903976873802</t>
  </si>
  <si>
    <t xml:space="preserve">8903976874021</t>
  </si>
  <si>
    <t xml:space="preserve">8903976919098</t>
  </si>
  <si>
    <t xml:space="preserve">8903976873598</t>
  </si>
  <si>
    <t xml:space="preserve">8903976873819</t>
  </si>
  <si>
    <t xml:space="preserve">8903976874038</t>
  </si>
  <si>
    <t xml:space="preserve">8903976550260</t>
  </si>
  <si>
    <t xml:space="preserve">FB-508 UNDER WIRE PADDED BRA</t>
  </si>
  <si>
    <t xml:space="preserve">FB-508</t>
  </si>
  <si>
    <t xml:space="preserve">8903976880206</t>
  </si>
  <si>
    <t xml:space="preserve">CHEERY</t>
  </si>
  <si>
    <t xml:space="preserve">8903976550390</t>
  </si>
  <si>
    <t xml:space="preserve">BIEGE</t>
  </si>
  <si>
    <t xml:space="preserve">8903976550376</t>
  </si>
  <si>
    <t xml:space="preserve">BEIGE</t>
  </si>
  <si>
    <t xml:space="preserve">8903976551557</t>
  </si>
  <si>
    <t xml:space="preserve">8903976881722</t>
  </si>
  <si>
    <t xml:space="preserve">FB-541 UNDER WIRE PADDED BRA</t>
  </si>
  <si>
    <t xml:space="preserve">FB-541</t>
  </si>
  <si>
    <t xml:space="preserve">FB-551</t>
  </si>
  <si>
    <t xml:space="preserve">ATLANTIC</t>
  </si>
  <si>
    <t xml:space="preserve">8903976884075</t>
  </si>
  <si>
    <t xml:space="preserve">CB-131 UNDER WIRE PADDED BRA</t>
  </si>
  <si>
    <t xml:space="preserve">CB-131</t>
  </si>
  <si>
    <t xml:space="preserve">PUPRLE</t>
  </si>
  <si>
    <t xml:space="preserve">8903976884099</t>
  </si>
  <si>
    <t xml:space="preserve">TEAL</t>
  </si>
  <si>
    <t xml:space="preserve">8903976887649</t>
  </si>
  <si>
    <t xml:space="preserve">8903976887656</t>
  </si>
  <si>
    <t xml:space="preserve">8903976887922</t>
  </si>
  <si>
    <t xml:space="preserve">8903976887663</t>
  </si>
  <si>
    <t xml:space="preserve">8903976884105</t>
  </si>
  <si>
    <t xml:space="preserve">8903976887670</t>
  </si>
  <si>
    <t xml:space="preserve">8903976887687</t>
  </si>
  <si>
    <t xml:space="preserve">8903976887816</t>
  </si>
  <si>
    <t xml:space="preserve">8903976887694</t>
  </si>
  <si>
    <t xml:space="preserve">8903976887953</t>
  </si>
  <si>
    <t xml:space="preserve">8903976887717</t>
  </si>
  <si>
    <t xml:space="preserve">8903976887847</t>
  </si>
  <si>
    <t xml:space="preserve">8903976887977</t>
  </si>
  <si>
    <t xml:space="preserve">8903976887984</t>
  </si>
  <si>
    <t xml:space="preserve">8903976884334</t>
  </si>
  <si>
    <t xml:space="preserve">BB-05 PADDED BRA</t>
  </si>
  <si>
    <t xml:space="preserve">BB-05</t>
  </si>
  <si>
    <t xml:space="preserve">P-2</t>
  </si>
  <si>
    <t xml:space="preserve">8903976890076</t>
  </si>
  <si>
    <t xml:space="preserve">P-6</t>
  </si>
  <si>
    <t xml:space="preserve">P-7</t>
  </si>
  <si>
    <t xml:space="preserve">8903976890052</t>
  </si>
  <si>
    <t xml:space="preserve">P-4</t>
  </si>
  <si>
    <t xml:space="preserve">8903976890038</t>
  </si>
  <si>
    <t xml:space="preserve">P-1</t>
  </si>
  <si>
    <t xml:space="preserve">8903976884303</t>
  </si>
  <si>
    <t xml:space="preserve">8903976884266</t>
  </si>
  <si>
    <t xml:space="preserve">8903976887281</t>
  </si>
  <si>
    <t xml:space="preserve">8903976884297</t>
  </si>
  <si>
    <t xml:space="preserve">8903976888141</t>
  </si>
  <si>
    <t xml:space="preserve">8903976889964</t>
  </si>
  <si>
    <t xml:space="preserve">8903976889988</t>
  </si>
  <si>
    <t xml:space="preserve">8903976890007</t>
  </si>
  <si>
    <t xml:space="preserve">8903976890014</t>
  </si>
  <si>
    <t xml:space="preserve">8903976890106</t>
  </si>
  <si>
    <t xml:space="preserve">8903976890113</t>
  </si>
  <si>
    <t xml:space="preserve">8903976890137</t>
  </si>
  <si>
    <t xml:space="preserve">8903976890168</t>
  </si>
  <si>
    <t xml:space="preserve">8903976935883</t>
  </si>
  <si>
    <t xml:space="preserve">CB-138</t>
  </si>
  <si>
    <t xml:space="preserve">8903976909518</t>
  </si>
  <si>
    <t xml:space="preserve">SWIMWEAR</t>
  </si>
  <si>
    <t xml:space="preserve">AQS-22</t>
  </si>
  <si>
    <t xml:space="preserve">AQS-6</t>
  </si>
  <si>
    <t xml:space="preserve">GREEN PRINT</t>
  </si>
  <si>
    <t xml:space="preserve">8903976909501</t>
  </si>
  <si>
    <t xml:space="preserve">8903976908405</t>
  </si>
  <si>
    <t xml:space="preserve">AQS-3</t>
  </si>
  <si>
    <t xml:space="preserve">8903976909495</t>
  </si>
  <si>
    <t xml:space="preserve">8903976909525</t>
  </si>
  <si>
    <t xml:space="preserve">Pink Pearl</t>
  </si>
  <si>
    <t xml:space="preserve">8903976915618</t>
  </si>
  <si>
    <t xml:space="preserve">AQS-9</t>
  </si>
  <si>
    <t xml:space="preserve">8903976908900</t>
  </si>
  <si>
    <t xml:space="preserve">AQS-19</t>
  </si>
  <si>
    <t xml:space="preserve">T.BUTTERFLY</t>
  </si>
  <si>
    <t xml:space="preserve">8903976908917</t>
  </si>
  <si>
    <t xml:space="preserve">8903976908535</t>
  </si>
  <si>
    <t xml:space="preserve">8903976908528</t>
  </si>
  <si>
    <t xml:space="preserve">8903976909044</t>
  </si>
  <si>
    <t xml:space="preserve">AQS-2</t>
  </si>
  <si>
    <t xml:space="preserve">Multi</t>
  </si>
  <si>
    <t xml:space="preserve">7613112997323</t>
  </si>
  <si>
    <t xml:space="preserve">LACY SENSATION W</t>
  </si>
  <si>
    <t xml:space="preserve">151I537</t>
  </si>
  <si>
    <t xml:space="preserve">LACY SENSAtion w</t>
  </si>
  <si>
    <t xml:space="preserve">151|537</t>
  </si>
  <si>
    <t xml:space="preserve">7613112997330</t>
  </si>
  <si>
    <t xml:space="preserve">7613112997347</t>
  </si>
  <si>
    <t xml:space="preserve">7613112997354</t>
  </si>
  <si>
    <t xml:space="preserve">7613112997361</t>
  </si>
  <si>
    <t xml:space="preserve">7613112997378</t>
  </si>
  <si>
    <t xml:space="preserve">7613112997385</t>
  </si>
  <si>
    <t xml:space="preserve">7613112997408</t>
  </si>
  <si>
    <t xml:space="preserve">7613112997415</t>
  </si>
  <si>
    <t xml:space="preserve">7613112997453</t>
  </si>
  <si>
    <t xml:space="preserve">7613112997460</t>
  </si>
  <si>
    <t xml:space="preserve">7613112997477</t>
  </si>
  <si>
    <t xml:space="preserve">TRIUPMH</t>
  </si>
  <si>
    <t xml:space="preserve">UD-ROSE BROWN</t>
  </si>
  <si>
    <t xml:space="preserve">7613112997507</t>
  </si>
  <si>
    <t xml:space="preserve">7613112997545</t>
  </si>
  <si>
    <t xml:space="preserve">7613112997576</t>
  </si>
  <si>
    <t xml:space="preserve">886279906775</t>
  </si>
  <si>
    <t xml:space="preserve">886279906843</t>
  </si>
  <si>
    <t xml:space="preserve">889500032236</t>
  </si>
  <si>
    <t xml:space="preserve">889501860203</t>
  </si>
  <si>
    <t xml:space="preserve">FAWN</t>
  </si>
  <si>
    <t xml:space="preserve">889501860210</t>
  </si>
  <si>
    <t xml:space="preserve">889501860227</t>
  </si>
  <si>
    <t xml:space="preserve">889501665303</t>
  </si>
  <si>
    <t xml:space="preserve">889501665464</t>
  </si>
  <si>
    <t xml:space="preserve">889501665471</t>
  </si>
  <si>
    <t xml:space="preserve">AC NAME</t>
  </si>
  <si>
    <t xml:space="preserve">Kiraka</t>
  </si>
  <si>
    <t xml:space="preserve">AC NUMBER</t>
  </si>
  <si>
    <t xml:space="preserve">165105002194</t>
  </si>
  <si>
    <t xml:space="preserve">IFSC</t>
  </si>
  <si>
    <t xml:space="preserve">ICICINBBCTS</t>
  </si>
  <si>
    <t xml:space="preserve">Mother Brand</t>
  </si>
  <si>
    <t xml:space="preserve">BRAND</t>
  </si>
  <si>
    <t xml:space="preserve">RANGE</t>
  </si>
  <si>
    <t xml:space="preserve">Style no</t>
  </si>
  <si>
    <t xml:space="preserve">Varaints</t>
  </si>
  <si>
    <t xml:space="preserve">Sizes </t>
  </si>
  <si>
    <t xml:space="preserve">Cups</t>
  </si>
  <si>
    <t xml:space="preserve">Colors</t>
  </si>
  <si>
    <t xml:space="preserve">description</t>
  </si>
  <si>
    <t xml:space="preserve">image urls</t>
  </si>
  <si>
    <t xml:space="preserve">wacol          </t>
  </si>
  <si>
    <t xml:space="preserve">GODESSS</t>
  </si>
  <si>
    <t xml:space="preserve">Yvette</t>
  </si>
  <si>
    <t xml:space="preserve">Under Wire</t>
  </si>
  <si>
    <t xml:space="preserve">skin</t>
  </si>
  <si>
    <t xml:space="preserve">Full cup coverage with higher center front •Double layered moulded simplex cup to give a smooth profile with minimal show through •Reinforced side panel to give forward push and lift •Powernet and stretch lace top cup for ease of fit</t>
  </si>
  <si>
    <t xml:space="preserve">https://bmhwmaqrplpoiffniwbx.supabase.co/storage/v1/object/sign/KirakaClothing/Product%20Images/Goddess/GODDESS_YEWTEE_UW_MOULDED_UNDERWIRE_BRA_GD6750_1.png?token=eyJraWQiOiJzdG9yYWdlLXVybC1zaWduaW5nLWtleV9hOWYwOTQyOS1kZWUzLTQ5NzUtYWRiZi1kNWM3Yzk5ZWE1ZmIiLCJhbGciOiJIUzI1NiJ9.eyJ1cmwiOiJLaXJha2FDbG90aGluZy9Qcm9kdWN0IEltYWdlcy9Hb2RkZXNzL0dPRERFU1NfWUVXVEVFX1VXX01PVUxERURfVU5ERVJXSVJFX0JSQV9HRDY3NTBfMS5wbmciLCJpYXQiOjE3Njk4OTE1OTgsImV4cCI6MTgwMTQyNzU5OH0.MIDk614i8ZJyXvSCPJxxBWOfZgpSdJTML_hIC890Kfo</t>
  </si>
  <si>
    <t xml:space="preserve">Wacol</t>
  </si>
  <si>
    <t xml:space="preserve">Four section cup for uplift and support •The wire finishes below the neck edge of the bra in a uniqueconstruction for bust separation while the higher necklineminimizes bounce •Center pull straps to minimize strap slippage</t>
  </si>
  <si>
    <t xml:space="preserve">https://bmhwmaqrplpoiffniwbx.supabase.co/storage/v1/object/sign/KirakaClothing/Product%20Images/Goddess/GODDESS_VERITY_NONWIRE_BRA_VERITY_GD6750.png?token=eyJraWQiOiJzdG9yYWdlLXVybC1zaWduaW5nLWtleV9hOWYwOTQyOS1kZWUzLTQ5NzUtYWRiZi1kNWM3Yzk5ZWE1ZmIiLCJhbGciOiJIUzI1NiJ9.eyJ1cmwiOiJLaXJha2FDbG90aGluZy9Qcm9kdWN0IEltYWdlcy9Hb2RkZXNzL0dPRERFU1NfVkVSSVRZX05PTldJUkVfQlJBX1ZFUklUWV9HRDY3NTAucG5nIiwiaWF0IjoxNzY5OTI5ODYzLCJleHAiOjE4MDE0NjU4NjN9.qZeTNykzvXmTh3eBjLMS5SpXx9blX7JV59BHbTUcR3w</t>
  </si>
  <si>
    <t xml:space="preserve">Non wire</t>
  </si>
  <si>
    <t xml:space="preserve">Three section cup for uplift and support •Center pull straps to minimize strap slippage •Powernet ‘M’ frame for bust separation and ease of fit</t>
  </si>
  <si>
    <t xml:space="preserve">matilda</t>
  </si>
  <si>
    <t xml:space="preserve">Low centre front gives plunge without push up •Three section cup plus side support panel for forward shape, uplift and separation •Elasticated neck edge for ease of fit •Flexible back sweep construction allows easier adjustment to racer back with moveable J Hook •Subtle shimmer embroidery yarn (SUM only) •Silver ring detail at apexes</t>
  </si>
  <si>
    <t xml:space="preserve">https://bmhwmaqrplpoiffniwbx.supabase.co/storage/v1/object/sign/KirakaClothing/Product%20Images/Elomi/ELOMI_MALTINDA_UNDERWIRE_EL8900_1.png?token=eyJraWQiOiJzdG9yYWdlLXVybC1zaWduaW5nLWtleV9hOWYwOTQyOS1kZWUzLTQ5NzUtYWRiZi1kNWM3Yzk5ZWE1ZmIiLCJhbGciOiJIUzI1NiJ9.eyJ1cmwiOiJLaXJha2FDbG90aGluZy9Qcm9kdWN0IEltYWdlcy9FbG9taS9FTE9NSV9NQUxUSU5EQV9VTkRFUldJUkVfRUw4OTAwXzEucG5nIiwiaWF0IjoxNzY5ODkxODA3LCJleHAiOjE4MDE0Mjc4MDd9.CNHnbWvtwkvHni4sYAiiEnsZmVMhVkZ4S-kdu6KNHmY</t>
  </si>
  <si>
    <t xml:space="preserve">https://bmhwmaqrplpoiffniwbx.supabase.co/storage/v1/object/sign/KirakaClothing/Product%20Images/Elomi/ELOMI_MALTINDA_UDERWIRE_EL8900_2.png?token=eyJraWQiOiJzdG9yYWdlLXVybC1zaWduaW5nLWtleV9hOWYwOTQyOS1kZWUzLTQ5NzUtYWRiZi1kNWM3Yzk5ZWE1ZmIiLCJhbGciOiJIUzI1NiJ9.eyJ1cmwiOiJLaXJha2FDbG90aGluZy9Qcm9kdWN0IEltYWdlcy9FbG9taS9FTE9NSV9NQUxUSU5EQV9VREVSV0lSRV9FTDg5MDBfMi5wbmciLCJpYXQiOjE3Njk4OTE4ODgsImV4cCI6MTgwMTQyNzg4OH0.stpQD4nHYXx5PkolWOuGB-jMxWQrJlneTbVVwyZVa7Y</t>
  </si>
  <si>
    <t xml:space="preserve">will keep on future</t>
  </si>
  <si>
    <t xml:space="preserve">brianna</t>
  </si>
  <si>
    <t xml:space="preserve">el8080</t>
  </si>
  <si>
    <t xml:space="preserve">Three section cup plus side panel for forward shape, good uplift and separation •Cup is overlaid with flat lace which features a floral design in a mix of matte and shiny yarns</t>
  </si>
  <si>
    <t xml:space="preserve">https://bmhwmaqrplpoiffniwbx.supabase.co/storage/v1/object/sign/KirakaClothing/Product%20Images/Elomi/ELOMI_BRIANNA_UNDERWIRE_EL8080_1.png?token=eyJraWQiOiJzdG9yYWdlLXVybC1zaWduaW5nLWtleV9hOWYwOTQyOS1kZWUzLTQ5NzUtYWRiZi1kNWM3Yzk5ZWE1ZmIiLCJhbGciOiJIUzI1NiJ9.eyJ1cmwiOiJLaXJha2FDbG90aGluZy9Qcm9kdWN0IEltYWdlcy9FbG9taS9FTE9NSV9CUklBTk5BX1VOREVSV0lSRV9FTDgwODBfMS5wbmciLCJpYXQiOjE3Njk4OTE2NTksImV4cCI6MTgwMTQyNzY1OX0.Tqo9WRFYxvPjmqiDtIEkaWTE8UYjTxYdXWY_oVdZpuw</t>
  </si>
  <si>
    <t xml:space="preserve">Fashion color as and when</t>
  </si>
  <si>
    <t xml:space="preserve">ENERGISE</t>
  </si>
  <si>
    <t xml:space="preserve">el8041</t>
  </si>
  <si>
    <t xml:space="preserve">Unique non-compression design offering bust separation, shaping and the ultimate in support •The cup fabric has a special finish, which improves moisture wicking properties of the fabric to keep youcool and dry •Cut from double layered microfibre simplex for ultimate support and comfort</t>
  </si>
  <si>
    <t xml:space="preserve">https://bmhwmaqrplpoiffniwbx.supabase.co/storage/v1/object/sign/KirakaClothing/Product%20Images/Elomi/ELOMI_ENERGISE_UNDERWIRE_SPORTS_BRA_EL8041_1.png?token=eyJraWQiOiJzdG9yYWdlLXVybC1zaWduaW5nLWtleV9hOWYwOTQyOS1kZWUzLTQ5NzUtYWRiZi1kNWM3Yzk5ZWE1ZmIiLCJhbGciOiJIUzI1NiJ9.eyJ1cmwiOiJLaXJha2FDbG90aGluZy9Qcm9kdWN0IEltYWdlcy9FbG9taS9FTE9NSV9FTkVSR0lTRV9VTkRFUldJUkVfU1BPUlRTX0JSQV9FTDgwNDFfMS5wbmciLCJpYXQiOjE3Njk4OTE3NzMsImV4cCI6MTgwMTQyNzc3M30.6kJaJZnf9Age8Hjduju_cSTXfKa4zSA5CHjYjPRL0N0</t>
  </si>
  <si>
    <t xml:space="preserve">5 section seam</t>
  </si>
  <si>
    <t xml:space="preserve">sports</t>
  </si>
  <si>
    <t xml:space="preserve">Freya</t>
  </si>
  <si>
    <t xml:space="preserve">AA4892</t>
  </si>
  <si>
    <t xml:space="preserve">Mid-high performance with average coverage •Lightweight breathable spacer fabric moulded cups •Wide curvature wire for a comfortable, supportive fit•Built-up padded straps for comfort and support •Firm flat underband for good anchorage •Soft hook and eye panel for extra comfort •Slide J Hook fastening allows racer back option with quick and easy dressing</t>
  </si>
  <si>
    <t xml:space="preserve">https://bmhwmaqrplpoiffniwbx.supabase.co/storage/v1/object/sign/KirakaClothing/Product%20Images/Freya/FREYA_SONIC_UNDERWIRE_AC4892_1.png?token=eyJraWQiOiJzdG9yYWdlLXVybC1zaWduaW5nLWtleV9hOWYwOTQyOS1kZWUzLTQ5NzUtYWRiZi1kNWM3Yzk5ZWE1ZmIiLCJhbGciOiJIUzI1NiJ9.eyJ1cmwiOiJLaXJha2FDbG90aGluZy9Qcm9kdWN0IEltYWdlcy9GcmV5YS9GUkVZQV9TT05JQ19VTkRFUldJUkVfQUM0ODkyXzEucG5nIiwiaWF0IjoxNzY5ODkxOTM4LCJleHAiOjE4MDE0Mjc5Mzh9.Il4g2cVs7GN1qtt6fwpp_sMJ1ZbBMCZjA2mIPSwJIjE</t>
  </si>
  <si>
    <t xml:space="preserve">https://bmhwmaqrplpoiffniwbx.supabase.co/storage/v1/object/sign/KirakaClothing/Product%20Images/Freya/FREYA_SONIC_UNDERWIRE_AC4892_2.png?token=eyJraWQiOiJzdG9yYWdlLXVybC1zaWduaW5nLWtleV9hOWYwOTQyOS1kZWUzLTQ5NzUtYWRiZi1kNWM3Yzk5ZWE1ZmIiLCJhbGciOiJIUzI1NiJ9.eyJ1cmwiOiJLaXJha2FDbG90aGluZy9Qcm9kdWN0IEltYWdlcy9GcmV5YS9GUkVZQV9TT05JQ19VTkRFUldJUkVfQUM0ODkyXzIucG5nIiwiaWF0IjoxNzY5ODkxOTYyLCJleHAiOjE4MDE0Mjc5NjJ9.SoLJKGPTrQuRw6eUgICXMPBuhlf8klb3PHBVdfKm5rg</t>
  </si>
  <si>
    <t xml:space="preserve">seamless</t>
  </si>
  <si>
    <t xml:space="preserve">Smoothing</t>
  </si>
  <si>
    <t xml:space="preserve">Our Smoothing collection is a girl’s best friend; created to provide shape and support under any outfit. The foam moulded cups seen across all styles provide a completely smooth and seam-free look.</t>
  </si>
  <si>
    <t xml:space="preserve">https://bmhwmaqrplpoiffniwbx.supabase.co/storage/v1/object/sign/KirakaClothing/Product%20Images/%20Fantasie/FANTASIE_MOLDED_STRAPLESS_BRA_4530_1.png?token=eyJraWQiOiJzdG9yYWdlLXVybC1zaWduaW5nLWtleV9hOWYwOTQyOS1kZWUzLTQ5NzUtYWRiZi1kNWM3Yzk5ZWE1ZmIiLCJhbGciOiJIUzI1NiJ9.eyJ1cmwiOiJLaXJha2FDbG90aGluZy9Qcm9kdWN0IEltYWdlcy8gRmFudGFzaWUvRkFOVEFTSUVfTU9MREVEX1NUUkFQTEVTU19CUkFfNDUzMF8xLnBuZyIsImlhdCI6MTc2OTg5MjA1MCwiZXhwIjoxODAxNDI4MDUwfQ.DTV3VtrLtaWaDlJDm3GHLF7_9mC3IuOdQ2KjtkApBqw</t>
  </si>
  <si>
    <t xml:space="preserve">https://bmhwmaqrplpoiffniwbx.supabase.co/storage/v1/object/sign/KirakaClothing/Product%20Images/%20Fantasie/FANTASIE_MOLDED%20STRAPLESS_BRA_4530_2.png?token=eyJraWQiOiJzdG9yYWdlLXVybC1zaWduaW5nLWtleV9hOWYwOTQyOS1kZWUzLTQ5NzUtYWRiZi1kNWM3Yzk5ZWE1ZmIiLCJhbGciOiJIUzI1NiJ9.eyJ1cmwiOiJLaXJha2FDbG90aGluZy9Qcm9kdWN0IEltYWdlcy8gRmFudGFzaWUvRkFOVEFTSUVfTU9MREVEIFNUUkFQTEVTU19CUkFfNDUzMF8yLnBuZyIsImlhdCI6MTc2OTg5MjA2NiwiZXhwIjoxODAxNDI4MDY2fQ.rd5Jlphj8suQfyxLlRuhJ1___o3tTeoDxERQcnKKKBQ</t>
  </si>
  <si>
    <t xml:space="preserve">Strapless</t>
  </si>
  <si>
    <t xml:space="preserve">sonic</t>
  </si>
  <si>
    <t xml:space="preserve">ac4892</t>
  </si>
  <si>
    <t xml:space="preserve">Mid-high performance with average coverage •Lightweight breathable spacer fabric moulded cups•Wide curvature wire for a comfortable, supportive fit •Built-up padded straps for comfort and support •Firm flat underband for good anchorage •Soft hook and eye panel for extra comfort •Slide J Hook fastening allows racer back option with quick and easy dressing</t>
  </si>
  <si>
    <t xml:space="preserve">WACOL</t>
  </si>
  <si>
    <t xml:space="preserve">elevate</t>
  </si>
  <si>
    <t xml:space="preserve">FL102829 </t>
  </si>
  <si>
    <t xml:space="preserve">UW SPORTS BRA</t>
  </si>
  <si>
    <t xml:space="preserve">Elevate the way you exercise with Fantasies’ first ever sports bra. Featuring a wired frame, with a special fabricmould, the HeiQ Smart Temp fabric finish aids temperature regulation along with the mesh panels.Available in Black, the Fantasie Elevate Sports Bra is the only gym partner you need</t>
  </si>
  <si>
    <t xml:space="preserve">https://bmhwmaqrplpoiffniwbx.supabase.co/storage/v1/object/sign/KirakaClothing/Product%20Images/%20Fantasie/FANTASIE_UW_SPORTS_BRA_FL102829_1.png?token=eyJraWQiOiJzdG9yYWdlLXVybC1zaWduaW5nLWtleV9hOWYwOTQyOS1kZWUzLTQ5NzUtYWRiZi1kNWM3Yzk5ZWE1ZmIiLCJhbGciOiJIUzI1NiJ9.eyJ1cmwiOiJLaXJha2FDbG90aGluZy9Qcm9kdWN0IEltYWdlcy8gRmFudGFzaWUvRkFOVEFTSUVfVVdfU1BPUlRTX0JSQV9GTDEwMjgyOV8xLnBuZyIsImlhdCI6MTc2OTg5MjE5MSwiZXhwIjoxODAxNDI4MTkxfQ.RBDtWqsxwX9bPDVZJgPkpn0xBcQvlzsYHFy7XMUrTb8</t>
  </si>
  <si>
    <t xml:space="preserve">https://bmhwmaqrplpoiffniwbx.supabase.co/storage/v1/object/sign/KirakaClothing/Product%20Images/%20Fantasie/FANTASIE_UW_SPORTS_BRA_FL102829_2.png?token=eyJraWQiOiJzdG9yYWdlLXVybC1zaWduaW5nLWtleV9hOWYwOTQyOS1kZWUzLTQ5NzUtYWRiZi1kNWM3Yzk5ZWE1ZmIiLCJhbGciOiJIUzI1NiJ9.eyJ1cmwiOiJLaXJha2FDbG90aGluZy9Qcm9kdWN0IEltYWdlcy8gRmFudGFzaWUvRkFOVEFTSUVfVVdfU1BPUlRTX0JSQV9GTDEwMjgyOV8yLnBuZyIsImlhdCI6MTc2OTg5MjIxOCwiZXhwIjoxODAxNDI4MjE4fQ.NKqosumurIpDS5gK2nT8Y-oeJ4jX5AU9AJaYn1J89M8</t>
  </si>
  <si>
    <t xml:space="preserve">freya fancise</t>
  </si>
  <si>
    <t xml:space="preserve">Our Fancies collection champions everything that Freya’s about. Affordable fashion, with a faultless fit.It's the exact reason why it just keeps on proving to be a fan girl favourite.</t>
  </si>
  <si>
    <t xml:space="preserve">https://bmhwmaqrplpoiffniwbx.supabase.co/storage/v1/object/sign/KirakaClothing/Product%20Images/Freya/FREYA_UW_MOULDED_BALCONY_T-SHIRT_BRA_AA1030_1.png?token=eyJraWQiOiJzdG9yYWdlLXVybC1zaWduaW5nLWtleV9hOWYwOTQyOS1kZWUzLTQ5NzUtYWRiZi1kNWM3Yzk5ZWE1ZmIiLCJhbGciOiJIUzI1NiJ9.eyJ1cmwiOiJLaXJha2FDbG90aGluZy9Qcm9kdWN0IEltYWdlcy9GcmV5YS9GUkVZQV9VV19NT1VMREVEX0JBTENPTllfVC1TSElSVF9CUkFfQUExMDMwXzEucG5nIiwiaWF0IjoxNzY5ODkxOTc4LCJleHAiOjE4MDE0Mjc5Nzh9.Fi-awoo139mJ9JkCch6DjIoXdslFgq0xpMbasrLmUu0</t>
  </si>
  <si>
    <t xml:space="preserve">   </t>
  </si>
  <si>
    <t xml:space="preserve">ENVISAGEFL6911</t>
  </si>
  <si>
    <t xml:space="preserve">Based on Rebecca Lace FL9421 •Wide wired for additional comfort and support •Spacer mould offers great shape and fit with full breast coverage in the cup withoutadding volume •Flexibility at neck edge and underarm for ease of fit •Cup is seam free for a smooth silhouette under clothing •Spacer fabric is lightweight and breathable •Smoothing back lace wing panel •Tow back with angled ring to give central pull through the straps and to preventstrap slippage•Great size range for a spacer, up to a H cup•Fully adjustable soft peach skin shoulder straps•Metallic charm at centre front</t>
  </si>
  <si>
    <t xml:space="preserve">https://bmhwmaqrplpoiffniwbx.supabase.co/storage/v1/object/sign/KirakaClothing/Product%20Images/%20Fantasie/FANTASIE_UW_MOULDED_SPACER_BRA_FL6912%20_1.png?token=eyJraWQiOiJzdG9yYWdlLXVybC1zaWduaW5nLWtleV9hOWYwOTQyOS1kZWUzLTQ5NzUtYWRiZi1kNWM3Yzk5ZWE1ZmIiLCJhbGciOiJIUzI1NiJ9.eyJ1cmwiOiJLaXJha2FDbG90aGluZy9Qcm9kdWN0IEltYWdlcy8gRmFudGFzaWUvRkFOVEFTSUVfVVdfTU9VTERFRF9TUEFDRVJfQlJBX0ZMNjkxMiBfMS5wbmciLCJpYXQiOjE3Njk4OTIxNTYsImV4cCI6MTgwMTQyODE1Nn0.GLCOpasnugI2GY3f5ntt4l9Gr89aJdNSLu3TuZe6PaY</t>
  </si>
  <si>
    <t xml:space="preserve">any fashion COLOR</t>
  </si>
  <si>
    <t xml:space="preserve">ENVISAGE FL6912</t>
  </si>
  <si>
    <t xml:space="preserve">Based on Fusion FL3091 •Wide wired for additional comfort and support •Three piece cup with side support for great uplift and forward projection •Modern soft handle flat lace fabric with contemporary graphic design adorns thecups and cradle •Side support with fuller coverage in cup and underarm •Flat lace top cup features stretch band along neck edge for ease of fit, making thisbra perfect for all bust types •Tow back with angled ring to give central pull through the straps and to preventstrap slippage •Concealed seams in inner cup with seamless bottom cup for smooth silhouetteunder clothing •Opaque powernet wing for anchorage and support •Fully adjustable soft peach skin shoulder straps •Metallic charm at centre front</t>
  </si>
  <si>
    <t xml:space="preserve">https://bmhwmaqrplpoiffniwbx.supabase.co/storage/v1/object/sign/KirakaClothing/Product%20Images/%20Fantasie/FANTASIE_UW_FULL_CUP_SIDE_SUPPORT_BRA_FL6911_1.png?token=eyJraWQiOiJzdG9yYWdlLXVybC1zaWduaW5nLWtleV9hOWYwOTQyOS1kZWUzLTQ5NzUtYWRiZi1kNWM3Yzk5ZWE1ZmIiLCJhbGciOiJIUzI1NiJ9.eyJ1cmwiOiJLaXJha2FDbG90aGluZy9Qcm9kdWN0IEltYWdlcy8gRmFudGFzaWUvRkFOVEFTSUVfVVdfRlVMTF9DVVBfU0lERV9TVVBQT1JUX0JSQV9GTDY5MTFfMS5wbmciLCJpYXQiOjE3Njk4OTIxMjEsImV4cCI6MTgwMTQyODEyMX0.FPj9eA61PyBlAYSozHUYOEhnOd3GfIBfyeEajSkkXuk</t>
  </si>
  <si>
    <t xml:space="preserve">any fasHion COLOR</t>
  </si>
  <si>
    <t xml:space="preserve">CATE</t>
  </si>
  <si>
    <t xml:space="preserve">HAZEL NUT</t>
  </si>
  <si>
    <t xml:space="preserve">Smooth satin simplex cups for comfort and support, uplift and separation •Sheer embroidered top cup features a stylish intersecting arc design</t>
  </si>
  <si>
    <t xml:space="preserve">https://bmhwmaqrplpoiffniwbx.supabase.co/storage/v1/object/sign/KirakaClothing/Product%20Images/Elomi/ELOMI_CATE_UW_BRA_EL4030.png?token=eyJraWQiOiJzdG9yYWdlLXVybC1zaWduaW5nLWtleV9hOWYwOTQyOS1kZWUzLTQ5NzUtYWRiZi1kNWM3Yzk5ZWE1ZmIiLCJhbGciOiJIUzI1NiJ9.eyJ1cmwiOiJLaXJha2FDbG90aGluZy9Qcm9kdWN0IEltYWdlcy9FbG9taS9FTE9NSV9DQVRFX1VXX0JSQV9FTDQwMzAucG5nIiwiaWF0IjoxNzY5ODkxNzE3LCJleHAiOjE4MDE0Mjc3MTd9.XioNxVUVDJBX7sSM15QcV4Tqe4f0E4Cflnknt8aE3n4</t>
  </si>
  <si>
    <t xml:space="preserve">LATTE</t>
  </si>
  <si>
    <t xml:space="preserve">Minimiser</t>
  </si>
  <si>
    <t xml:space="preserve">21W</t>
  </si>
  <si>
    <t xml:space="preserve">https://bmhwmaqrplpoiffniwbx.supabase.co/storage/v1/object/sign/KirakaClothing/Product%20Images/Triumph/TRIUMPH_%20MINIMISER_UNDERWIRE_Bra_Black_21W_1.webp?token=eyJraWQiOiJzdG9yYWdlLXVybC1zaWduaW5nLWtleV9hOWYwOTQyOS1kZWUzLTQ5NzUtYWRiZi1kNWM3Yzk5ZWE1ZmIiLCJhbGciOiJIUzI1NiJ9.eyJ1cmwiOiJLaXJha2FDbG90aGluZy9Qcm9kdWN0IEltYWdlcy9Ucml1bXBoL1RSSVVNUEhfIE1JTklNSVNFUl9VTkRFUldJUkVfQnJhX0JsYWNrXzIxV18xLndlYnAiLCJpYXQiOjE3Njk5MzQ5OTksImV4cCI6MTgwMTQ3MDk5OX0.sbkZO8Gl5l4jvmRmzjb3eyxZAzLRoYEXaqJ1O2NTHhE</t>
  </si>
  <si>
    <t xml:space="preserve">o4</t>
  </si>
  <si>
    <t xml:space="preserve">21N</t>
  </si>
  <si>
    <t xml:space="preserve">NON Wire</t>
  </si>
  <si>
    <t xml:space="preserve">https://bmhwmaqrplpoiffniwbx.supabase.co/storage/v1/object/sign/KirakaClothing/Product%20Images/Triumph/TRIUMPH_%20MINIMISER_UNDERWIRE_BRA_SKIN_112W_1.webp?token=eyJraWQiOiJzdG9yYWdlLXVybC1zaWduaW5nLWtleV9hOWYwOTQyOS1kZWUzLTQ5NzUtYWRiZi1kNWM3Yzk5ZWE1ZmIiLCJhbGciOiJIUzI1NiJ9.eyJ1cmwiOiJLaXJha2FDbG90aGluZy9Qcm9kdWN0IEltYWdlcy9Ucml1bXBoL1RSSVVNUEhfIE1JTklNSVNFUl9VTkRFUldJUkVfQlJBX1NLSU5fMTEyV18xLndlYnAiLCJpYXQiOjE3Njk5MzQ5NDcsImV4cCI6MTgwMTQ3MDk0N30.QwR3xnBVF4pULK7ClesLlMdBUzTN9ojTaCEJlyj_P-E</t>
  </si>
  <si>
    <t xml:space="preserve">60WP</t>
  </si>
  <si>
    <t xml:space="preserve">DOREEN</t>
  </si>
  <si>
    <t xml:space="preserve">Introducing the Doreen Non-Wired Non-Padded Bra, a premium lingerie essential designed with expertise and luxury in mind. This stylish and functional full cup lace bra is crafted with delicate Raschel lace fabric, offering the ultimate support and coverage. ~Expertly constructed with a fully elasticized frame for exceptional support and coverage. ~Non-wired design for comprehensive comfort and support throughout the day. ~Cut-n-sewn with full cup coverage to provide extra support and an excellent fit. ~Crafted with a high center bridge for added comfort and a flattering silhouette. ~Country of Origin : India</t>
  </si>
  <si>
    <t xml:space="preserve">LACY SENSATION</t>
  </si>
</sst>
</file>

<file path=xl/styles.xml><?xml version="1.0" encoding="utf-8"?>
<styleSheet xmlns="http://schemas.openxmlformats.org/spreadsheetml/2006/main">
  <numFmts count="7">
    <numFmt numFmtId="164" formatCode="General"/>
    <numFmt numFmtId="165" formatCode="_ * #,##0.00_ ;_ * \-#,##0.00_ ;_ * \-??_ ;_ @_ "/>
    <numFmt numFmtId="166" formatCode="@"/>
    <numFmt numFmtId="167" formatCode="General"/>
    <numFmt numFmtId="168" formatCode="0;[RED]0"/>
    <numFmt numFmtId="169" formatCode="0"/>
    <numFmt numFmtId="170" formatCode="0.00"/>
  </numFmts>
  <fonts count="9">
    <font>
      <sz val="11"/>
      <color theme="1"/>
      <name val="Calibri"/>
      <family val="2"/>
      <charset val="1"/>
    </font>
    <font>
      <sz val="10"/>
      <name val="Arial"/>
      <family val="0"/>
    </font>
    <font>
      <sz val="10"/>
      <name val="Arial"/>
      <family val="0"/>
    </font>
    <font>
      <sz val="10"/>
      <name val="Arial"/>
      <family val="0"/>
    </font>
    <font>
      <sz val="11"/>
      <color theme="1"/>
      <name val="Calibri"/>
      <family val="0"/>
      <charset val="1"/>
    </font>
    <font>
      <sz val="10"/>
      <color rgb="FF000000"/>
      <name val="Arial"/>
      <family val="2"/>
      <charset val="1"/>
    </font>
    <font>
      <sz val="10"/>
      <color rgb="FF000000"/>
      <name val="Arial"/>
      <family val="0"/>
      <charset val="1"/>
    </font>
    <font>
      <sz val="12"/>
      <color theme="1"/>
      <name val="Times New Roman"/>
      <family val="1"/>
    </font>
    <font>
      <sz val="10"/>
      <color theme="1"/>
      <name val="Times New Roman"/>
      <family val="1"/>
      <charset val="1"/>
    </font>
  </fonts>
  <fills count="16">
    <fill>
      <patternFill patternType="none"/>
    </fill>
    <fill>
      <patternFill patternType="gray125"/>
    </fill>
    <fill>
      <patternFill patternType="solid">
        <fgColor theme="7" tint="0.3999"/>
        <bgColor rgb="FFFFFF99"/>
      </patternFill>
    </fill>
    <fill>
      <patternFill patternType="solid">
        <fgColor theme="8" tint="-0.25"/>
        <bgColor rgb="FF0066CC"/>
      </patternFill>
    </fill>
    <fill>
      <patternFill patternType="solid">
        <fgColor rgb="FF00B0F0"/>
        <bgColor rgb="FF33CCCC"/>
      </patternFill>
    </fill>
    <fill>
      <patternFill patternType="solid">
        <fgColor theme="9" tint="0.5999"/>
        <bgColor rgb="FFD9D9D9"/>
      </patternFill>
    </fill>
    <fill>
      <patternFill patternType="solid">
        <fgColor rgb="FFFFC000"/>
        <bgColor rgb="FFFF9900"/>
      </patternFill>
    </fill>
    <fill>
      <patternFill patternType="solid">
        <fgColor theme="5" tint="-0.25"/>
        <bgColor rgb="FF993300"/>
      </patternFill>
    </fill>
    <fill>
      <patternFill patternType="solid">
        <fgColor theme="9" tint="-0.25"/>
        <bgColor rgb="FF339966"/>
      </patternFill>
    </fill>
    <fill>
      <patternFill patternType="solid">
        <fgColor rgb="FFFFFF00"/>
        <bgColor rgb="FFFFFF00"/>
      </patternFill>
    </fill>
    <fill>
      <patternFill patternType="solid">
        <fgColor theme="0"/>
        <bgColor rgb="FFF6FBFF"/>
      </patternFill>
    </fill>
    <fill>
      <patternFill patternType="solid">
        <fgColor rgb="FFF6FBFF"/>
        <bgColor rgb="FFFFFFFF"/>
      </patternFill>
    </fill>
    <fill>
      <patternFill patternType="solid">
        <fgColor theme="0" tint="-0.05"/>
        <bgColor rgb="FFEDEDED"/>
      </patternFill>
    </fill>
    <fill>
      <patternFill patternType="solid">
        <fgColor theme="2" tint="-0.1"/>
        <bgColor rgb="FFD9D9D9"/>
      </patternFill>
    </fill>
    <fill>
      <patternFill patternType="solid">
        <fgColor theme="0" tint="-0.15"/>
        <bgColor rgb="FFD0CECE"/>
      </patternFill>
    </fill>
    <fill>
      <patternFill patternType="solid">
        <fgColor theme="6" tint="0.7999"/>
        <bgColor rgb="FFF2F2F2"/>
      </patternFill>
    </fill>
  </fills>
  <borders count="2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style="thin"/>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diagonal/>
    </border>
    <border diagonalUp="false" diagonalDown="false">
      <left style="thin">
        <color rgb="FFD1E1F5"/>
      </left>
      <right style="thin">
        <color rgb="FFD1E1F5"/>
      </right>
      <top style="thin">
        <color rgb="FFD1E1F5"/>
      </top>
      <bottom style="thin">
        <color rgb="FFD1E1F5"/>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thin"/>
      <top style="medium"/>
      <bottom style="thin"/>
      <diagonal/>
    </border>
    <border diagonalUp="false" diagonalDown="false">
      <left/>
      <right style="thin"/>
      <top style="thin"/>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left" vertical="bottom" textRotation="0" wrapText="false" indent="0" shrinkToFit="false"/>
      <protection locked="true" hidden="false"/>
    </xf>
    <xf numFmtId="164" fontId="0" fillId="2" borderId="1" xfId="0" applyFont="false" applyBorder="true" applyAlignment="true" applyProtection="true">
      <alignment horizontal="left"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left" vertical="bottom" textRotation="0" wrapText="false" indent="0" shrinkToFit="false"/>
      <protection locked="true" hidden="false"/>
    </xf>
    <xf numFmtId="164" fontId="0" fillId="6" borderId="1" xfId="0" applyFont="false" applyBorder="true" applyAlignment="true" applyProtection="true">
      <alignment horizontal="general" vertical="bottom" textRotation="0" wrapText="false" indent="0" shrinkToFit="false"/>
      <protection locked="true" hidden="false"/>
    </xf>
    <xf numFmtId="164" fontId="0" fillId="6" borderId="1" xfId="0" applyFont="false" applyBorder="true" applyAlignment="true" applyProtection="true">
      <alignment horizontal="left" vertical="bottom" textRotation="0" wrapText="false" indent="0" shrinkToFit="false"/>
      <protection locked="true" hidden="false"/>
    </xf>
    <xf numFmtId="164" fontId="0" fillId="7" borderId="1" xfId="0" applyFont="false" applyBorder="true" applyAlignment="true" applyProtection="true">
      <alignment horizontal="general" vertical="bottom" textRotation="0" wrapText="false" indent="0" shrinkToFit="false"/>
      <protection locked="true" hidden="false"/>
    </xf>
    <xf numFmtId="164" fontId="0" fillId="8" borderId="1" xfId="0" applyFont="true" applyBorder="true" applyAlignment="true" applyProtection="true">
      <alignment horizontal="general" vertical="bottom" textRotation="0" wrapText="false" indent="0" shrinkToFit="false"/>
      <protection locked="true" hidden="false"/>
    </xf>
    <xf numFmtId="166" fontId="5" fillId="9" borderId="1" xfId="0" applyFont="true" applyBorder="true" applyAlignment="true" applyProtection="true">
      <alignment horizontal="center" vertical="center" textRotation="0" wrapText="false" indent="0" shrinkToFit="false"/>
      <protection locked="true" hidden="false"/>
    </xf>
    <xf numFmtId="166" fontId="5" fillId="9" borderId="1" xfId="0" applyFont="true" applyBorder="true" applyAlignment="true" applyProtection="true">
      <alignment horizontal="left" vertical="center" textRotation="0" wrapText="false" indent="0" shrinkToFit="false"/>
      <protection locked="true" hidden="false"/>
    </xf>
    <xf numFmtId="166" fontId="5" fillId="2" borderId="1" xfId="0" applyFont="true" applyBorder="true" applyAlignment="true" applyProtection="true">
      <alignment horizontal="left" vertical="center" textRotation="0" wrapText="false" indent="0" shrinkToFit="false"/>
      <protection locked="true" hidden="false"/>
    </xf>
    <xf numFmtId="166" fontId="5" fillId="3"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6" fontId="5" fillId="10" borderId="1" xfId="0" applyFont="true" applyBorder="true" applyAlignment="true" applyProtection="true">
      <alignment horizontal="left" vertical="center" textRotation="0" wrapText="false" indent="0" shrinkToFit="false"/>
      <protection locked="true" hidden="false"/>
    </xf>
    <xf numFmtId="167" fontId="5" fillId="2" borderId="1" xfId="0" applyFont="true" applyBorder="true" applyAlignment="true" applyProtection="true">
      <alignment horizontal="left" vertical="center" textRotation="0" wrapText="false" indent="0" shrinkToFit="false"/>
      <protection locked="true" hidden="false"/>
    </xf>
    <xf numFmtId="166" fontId="5" fillId="3" borderId="1" xfId="0" applyFont="true" applyBorder="true" applyAlignment="true" applyProtection="true">
      <alignment horizontal="left" vertical="center" textRotation="0" wrapText="false" indent="0" shrinkToFit="false"/>
      <protection locked="true" hidden="false"/>
    </xf>
    <xf numFmtId="166" fontId="5" fillId="0" borderId="1" xfId="0" applyFont="true" applyBorder="true" applyAlignment="true" applyProtection="true">
      <alignment horizontal="left" vertical="center" textRotation="0" wrapText="false" indent="0" shrinkToFit="false"/>
      <protection locked="true" hidden="false"/>
    </xf>
    <xf numFmtId="164" fontId="0" fillId="10" borderId="1" xfId="0" applyFont="false" applyBorder="true" applyAlignment="true" applyProtection="true">
      <alignment horizontal="general" vertical="bottom" textRotation="0" wrapText="false" indent="0" shrinkToFit="false"/>
      <protection locked="true" hidden="false"/>
    </xf>
    <xf numFmtId="166" fontId="5" fillId="10" borderId="1" xfId="0" applyFont="true" applyBorder="true" applyAlignment="true" applyProtection="true">
      <alignment horizontal="right" vertical="center" textRotation="0" wrapText="false" indent="0" shrinkToFit="false"/>
      <protection locked="true" hidden="false"/>
    </xf>
    <xf numFmtId="164" fontId="0" fillId="10" borderId="1" xfId="0" applyFont="false" applyBorder="true" applyAlignment="true" applyProtection="true">
      <alignment horizontal="right" vertical="bottom" textRotation="0" wrapText="false" indent="0" shrinkToFit="false"/>
      <protection locked="true" hidden="false"/>
    </xf>
    <xf numFmtId="164" fontId="0" fillId="10" borderId="1" xfId="0" applyFont="true" applyBorder="true" applyAlignment="true" applyProtection="true">
      <alignment horizontal="general" vertical="bottom" textRotation="0" wrapText="false" indent="0" shrinkToFit="false"/>
      <protection locked="true" hidden="false"/>
    </xf>
    <xf numFmtId="166" fontId="6" fillId="10" borderId="1" xfId="0" applyFont="true" applyBorder="true" applyAlignment="true" applyProtection="true">
      <alignment horizontal="left" vertical="center" textRotation="0" wrapText="false" indent="0" shrinkToFit="false"/>
      <protection locked="true" hidden="false"/>
    </xf>
    <xf numFmtId="166" fontId="6" fillId="2" borderId="1" xfId="0" applyFont="true" applyBorder="true" applyAlignment="true" applyProtection="true">
      <alignment horizontal="left" vertical="center" textRotation="0" wrapText="false" indent="0" shrinkToFit="false"/>
      <protection locked="true" hidden="false"/>
    </xf>
    <xf numFmtId="166" fontId="6" fillId="3" borderId="1" xfId="0" applyFont="true" applyBorder="true" applyAlignment="true" applyProtection="true">
      <alignment horizontal="left" vertical="center"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6" fontId="5" fillId="11" borderId="1" xfId="0" applyFont="true" applyBorder="true" applyAlignment="true" applyProtection="true">
      <alignment horizontal="left" vertical="center" textRotation="0" wrapText="false" indent="0" shrinkToFit="false"/>
      <protection locked="true" hidden="false"/>
    </xf>
    <xf numFmtId="164" fontId="0" fillId="0" borderId="1" xfId="0" applyFont="false" applyBorder="true" applyAlignment="true" applyProtection="true">
      <alignment horizontal="right" vertical="bottom" textRotation="0" wrapText="false" indent="0" shrinkToFit="false"/>
      <protection locked="true" hidden="false"/>
    </xf>
    <xf numFmtId="168" fontId="0" fillId="0" borderId="1" xfId="0" applyFont="true" applyBorder="true" applyAlignment="true" applyProtection="true">
      <alignment horizontal="left" vertical="bottom" textRotation="0" wrapText="false" indent="0" shrinkToFit="false"/>
      <protection locked="true" hidden="false"/>
    </xf>
    <xf numFmtId="168" fontId="0" fillId="0" borderId="2" xfId="0" applyFont="true" applyBorder="true" applyAlignment="true" applyProtection="true">
      <alignment horizontal="left" vertical="bottom" textRotation="0" wrapText="false" indent="0" shrinkToFit="false"/>
      <protection locked="true" hidden="false"/>
    </xf>
    <xf numFmtId="166" fontId="5" fillId="10" borderId="2" xfId="0" applyFont="true" applyBorder="true" applyAlignment="true" applyProtection="true">
      <alignment horizontal="left" vertical="center" textRotation="0" wrapText="false" indent="0" shrinkToFit="false"/>
      <protection locked="true" hidden="false"/>
    </xf>
    <xf numFmtId="166" fontId="5" fillId="11" borderId="2" xfId="0" applyFont="true" applyBorder="true" applyAlignment="true" applyProtection="true">
      <alignment horizontal="left" vertical="center" textRotation="0" wrapText="false" indent="0" shrinkToFit="false"/>
      <protection locked="true" hidden="false"/>
    </xf>
    <xf numFmtId="166" fontId="5" fillId="2" borderId="2" xfId="0" applyFont="true" applyBorder="true" applyAlignment="true" applyProtection="true">
      <alignment horizontal="left" vertical="center" textRotation="0" wrapText="fals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left"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right"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8" fontId="0" fillId="0" borderId="4" xfId="0" applyFont="false" applyBorder="true" applyAlignment="true" applyProtection="true">
      <alignment horizontal="left" vertical="bottom" textRotation="0" wrapText="false" indent="0" shrinkToFit="false"/>
      <protection locked="true" hidden="false"/>
    </xf>
    <xf numFmtId="164" fontId="0" fillId="0" borderId="5" xfId="0" applyFont="true" applyBorder="true" applyAlignment="true" applyProtection="true">
      <alignment horizontal="left" vertical="bottom" textRotation="0" wrapText="false" indent="0" shrinkToFit="false"/>
      <protection locked="true" hidden="false"/>
    </xf>
    <xf numFmtId="166" fontId="5" fillId="2" borderId="5" xfId="0" applyFont="true" applyBorder="true" applyAlignment="true" applyProtection="true">
      <alignment horizontal="left" vertical="center" textRotation="0" wrapText="false" indent="0" shrinkToFit="false"/>
      <protection locked="true" hidden="false"/>
    </xf>
    <xf numFmtId="164" fontId="0" fillId="2" borderId="5" xfId="0" applyFont="true" applyBorder="true" applyAlignment="true" applyProtection="true">
      <alignment horizontal="left" vertical="bottom" textRotation="0" wrapText="false" indent="0" shrinkToFit="false"/>
      <protection locked="true" hidden="false"/>
    </xf>
    <xf numFmtId="164" fontId="0" fillId="3" borderId="5" xfId="0" applyFont="true" applyBorder="true" applyAlignment="true" applyProtection="true">
      <alignment horizontal="left" vertical="bottom" textRotation="0" wrapText="false" indent="0" shrinkToFit="false"/>
      <protection locked="true" hidden="false"/>
    </xf>
    <xf numFmtId="166" fontId="5" fillId="0" borderId="5" xfId="0" applyFont="true" applyBorder="true" applyAlignment="true" applyProtection="true">
      <alignment horizontal="left" vertical="center" textRotation="0" wrapText="false" indent="0" shrinkToFit="false"/>
      <protection locked="true" hidden="false"/>
    </xf>
    <xf numFmtId="164" fontId="0" fillId="0" borderId="5" xfId="0" applyFont="false" applyBorder="true" applyAlignment="true" applyProtection="true">
      <alignment horizontal="right" vertical="bottom" textRotation="0" wrapText="false" indent="0" shrinkToFit="false"/>
      <protection locked="true" hidden="false"/>
    </xf>
    <xf numFmtId="167" fontId="0" fillId="0" borderId="5" xfId="0" applyFont="fals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8" fontId="0" fillId="0" borderId="8" xfId="0" applyFont="false" applyBorder="true" applyAlignment="true" applyProtection="true">
      <alignment horizontal="left" vertical="bottom" textRotation="0" wrapText="false" indent="0" shrinkToFit="false"/>
      <protection locked="true" hidden="false"/>
    </xf>
    <xf numFmtId="164" fontId="0" fillId="3" borderId="1" xfId="0" applyFont="true" applyBorder="true" applyAlignment="true" applyProtection="true">
      <alignment horizontal="left"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8" fontId="0" fillId="0" borderId="10" xfId="0" applyFont="false" applyBorder="true" applyAlignment="true" applyProtection="true">
      <alignment horizontal="left" vertical="bottom" textRotation="0" wrapText="false" indent="0" shrinkToFit="false"/>
      <protection locked="true" hidden="false"/>
    </xf>
    <xf numFmtId="164" fontId="0" fillId="2" borderId="2" xfId="0" applyFont="true" applyBorder="true" applyAlignment="true" applyProtection="true">
      <alignment horizontal="left" vertical="bottom" textRotation="0" wrapText="false" indent="0" shrinkToFit="false"/>
      <protection locked="true" hidden="false"/>
    </xf>
    <xf numFmtId="164" fontId="0" fillId="3" borderId="2" xfId="0" applyFont="true" applyBorder="true" applyAlignment="true" applyProtection="true">
      <alignment horizontal="left" vertical="bottom" textRotation="0" wrapText="false" indent="0" shrinkToFit="false"/>
      <protection locked="true" hidden="false"/>
    </xf>
    <xf numFmtId="164" fontId="0" fillId="0" borderId="11" xfId="0" applyFont="true" applyBorder="true" applyAlignment="true" applyProtection="true">
      <alignment horizontal="general" vertical="bottom" textRotation="0" wrapText="false" indent="0" shrinkToFit="false"/>
      <protection locked="true" hidden="false"/>
    </xf>
    <xf numFmtId="166" fontId="6" fillId="11" borderId="5" xfId="0" applyFont="true" applyBorder="true" applyAlignment="true" applyProtection="true">
      <alignment horizontal="left" vertical="center" textRotation="0" wrapText="false" indent="0" shrinkToFit="false"/>
      <protection locked="true" hidden="false"/>
    </xf>
    <xf numFmtId="166" fontId="6" fillId="3" borderId="5" xfId="0" applyFont="true" applyBorder="true" applyAlignment="true" applyProtection="true">
      <alignment horizontal="left" vertical="center" textRotation="0" wrapText="false" indent="0" shrinkToFit="false"/>
      <protection locked="true" hidden="false"/>
    </xf>
    <xf numFmtId="166" fontId="6" fillId="10" borderId="5" xfId="0" applyFont="true" applyBorder="true" applyAlignment="true" applyProtection="true">
      <alignment horizontal="left" vertical="center" textRotation="0" wrapText="false" indent="0" shrinkToFit="false"/>
      <protection locked="true" hidden="false"/>
    </xf>
    <xf numFmtId="166" fontId="6" fillId="11" borderId="1" xfId="0" applyFont="true" applyBorder="true" applyAlignment="true" applyProtection="true">
      <alignment horizontal="left" vertical="center" textRotation="0" wrapText="false" indent="0" shrinkToFit="false"/>
      <protection locked="true" hidden="false"/>
    </xf>
    <xf numFmtId="166" fontId="6" fillId="11" borderId="12" xfId="0" applyFont="true" applyBorder="true" applyAlignment="true" applyProtection="true">
      <alignment horizontal="left" vertical="center" textRotation="0" wrapText="false" indent="0" shrinkToFit="false"/>
      <protection locked="true" hidden="false"/>
    </xf>
    <xf numFmtId="164" fontId="0" fillId="0" borderId="13" xfId="0" applyFont="true" applyBorder="true" applyAlignment="true" applyProtection="true">
      <alignment horizontal="left" vertical="bottom" textRotation="0" wrapText="false" indent="0" shrinkToFit="false"/>
      <protection locked="true" hidden="false"/>
    </xf>
    <xf numFmtId="166" fontId="6" fillId="11" borderId="13" xfId="0" applyFont="true" applyBorder="true" applyAlignment="true" applyProtection="true">
      <alignment horizontal="left" vertical="center" textRotation="0" wrapText="false" indent="0" shrinkToFit="false"/>
      <protection locked="true" hidden="false"/>
    </xf>
    <xf numFmtId="166" fontId="5" fillId="2" borderId="13" xfId="0" applyFont="true" applyBorder="true" applyAlignment="true" applyProtection="true">
      <alignment horizontal="left" vertical="center" textRotation="0" wrapText="false" indent="0" shrinkToFit="false"/>
      <protection locked="true" hidden="false"/>
    </xf>
    <xf numFmtId="164" fontId="0" fillId="2" borderId="13" xfId="0" applyFont="true" applyBorder="true" applyAlignment="true" applyProtection="true">
      <alignment horizontal="left" vertical="bottom" textRotation="0" wrapText="false" indent="0" shrinkToFit="false"/>
      <protection locked="true" hidden="false"/>
    </xf>
    <xf numFmtId="166" fontId="6" fillId="3" borderId="13" xfId="0" applyFont="true" applyBorder="true" applyAlignment="true" applyProtection="true">
      <alignment horizontal="left" vertical="center" textRotation="0" wrapText="false" indent="0" shrinkToFit="false"/>
      <protection locked="true" hidden="false"/>
    </xf>
    <xf numFmtId="164" fontId="0" fillId="3" borderId="13" xfId="0" applyFont="false" applyBorder="true" applyAlignment="true" applyProtection="true">
      <alignment horizontal="left" vertical="bottom" textRotation="0" wrapText="false" indent="0" shrinkToFit="false"/>
      <protection locked="true" hidden="false"/>
    </xf>
    <xf numFmtId="164" fontId="0" fillId="0" borderId="13" xfId="0" applyFont="false" applyBorder="true" applyAlignment="true" applyProtection="true">
      <alignment horizontal="right" vertical="bottom" textRotation="0" wrapText="false" indent="0" shrinkToFit="false"/>
      <protection locked="true" hidden="false"/>
    </xf>
    <xf numFmtId="167" fontId="0" fillId="0" borderId="13" xfId="0" applyFont="false" applyBorder="true" applyAlignment="true" applyProtection="true">
      <alignment horizontal="general" vertical="bottom" textRotation="0" wrapText="fals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6" fontId="5" fillId="11" borderId="15" xfId="0" applyFont="true" applyBorder="true" applyAlignment="true" applyProtection="true">
      <alignment horizontal="left" vertical="center" textRotation="0" wrapText="false" indent="0" shrinkToFit="false"/>
      <protection locked="true" hidden="false"/>
    </xf>
    <xf numFmtId="164" fontId="0" fillId="0" borderId="15" xfId="0" applyFont="true" applyBorder="true" applyAlignment="true" applyProtection="true">
      <alignment horizontal="left" vertical="bottom" textRotation="0" wrapText="false" indent="0" shrinkToFit="false"/>
      <protection locked="true" hidden="false"/>
    </xf>
    <xf numFmtId="166" fontId="6" fillId="11" borderId="15" xfId="0" applyFont="true" applyBorder="true" applyAlignment="true" applyProtection="true">
      <alignment horizontal="left" vertical="center" textRotation="0" wrapText="false" indent="0" shrinkToFit="false"/>
      <protection locked="true" hidden="false"/>
    </xf>
    <xf numFmtId="166" fontId="5" fillId="2" borderId="15" xfId="0" applyFont="true" applyBorder="true" applyAlignment="true" applyProtection="true">
      <alignment horizontal="left" vertical="center" textRotation="0" wrapText="false" indent="0" shrinkToFit="false"/>
      <protection locked="true" hidden="false"/>
    </xf>
    <xf numFmtId="164" fontId="0" fillId="2" borderId="15" xfId="0" applyFont="true" applyBorder="true" applyAlignment="true" applyProtection="true">
      <alignment horizontal="left" vertical="bottom" textRotation="0" wrapText="false" indent="0" shrinkToFit="false"/>
      <protection locked="true" hidden="false"/>
    </xf>
    <xf numFmtId="166" fontId="6" fillId="3" borderId="15" xfId="0" applyFont="true" applyBorder="true" applyAlignment="true" applyProtection="true">
      <alignment horizontal="left" vertical="center" textRotation="0" wrapText="false" indent="0" shrinkToFit="false"/>
      <protection locked="true" hidden="false"/>
    </xf>
    <xf numFmtId="164" fontId="0" fillId="3" borderId="15" xfId="0" applyFont="false" applyBorder="true" applyAlignment="true" applyProtection="true">
      <alignment horizontal="left" vertical="bottom" textRotation="0" wrapText="false" indent="0" shrinkToFit="false"/>
      <protection locked="true" hidden="false"/>
    </xf>
    <xf numFmtId="166" fontId="5" fillId="10" borderId="15" xfId="0" applyFont="true" applyBorder="true" applyAlignment="true" applyProtection="true">
      <alignment horizontal="left" vertical="center" textRotation="0" wrapText="false" indent="0" shrinkToFit="false"/>
      <protection locked="true" hidden="false"/>
    </xf>
    <xf numFmtId="166" fontId="6" fillId="10" borderId="15" xfId="0" applyFont="true" applyBorder="true" applyAlignment="true" applyProtection="true">
      <alignment horizontal="left" vertical="center" textRotation="0" wrapText="false" indent="0" shrinkToFit="false"/>
      <protection locked="true" hidden="false"/>
    </xf>
    <xf numFmtId="164" fontId="0" fillId="0" borderId="15" xfId="0" applyFont="false" applyBorder="true" applyAlignment="true" applyProtection="true">
      <alignment horizontal="right" vertical="bottom" textRotation="0" wrapText="false" indent="0" shrinkToFit="false"/>
      <protection locked="true" hidden="false"/>
    </xf>
    <xf numFmtId="167" fontId="0" fillId="0" borderId="15" xfId="0" applyFont="false" applyBorder="true" applyAlignment="true" applyProtection="true">
      <alignment horizontal="general" vertical="bottom" textRotation="0" wrapText="false" indent="0" shrinkToFit="false"/>
      <protection locked="true" hidden="false"/>
    </xf>
    <xf numFmtId="166" fontId="6" fillId="10" borderId="4" xfId="0" applyFont="true" applyBorder="true" applyAlignment="true" applyProtection="true">
      <alignment horizontal="left" vertical="center" textRotation="0" wrapText="false" indent="0" shrinkToFit="false"/>
      <protection locked="true" hidden="false"/>
    </xf>
    <xf numFmtId="166" fontId="6" fillId="11" borderId="8" xfId="0" applyFont="true" applyBorder="true" applyAlignment="true" applyProtection="true">
      <alignment horizontal="left" vertical="center" textRotation="0" wrapText="false" indent="0" shrinkToFit="false"/>
      <protection locked="true" hidden="false"/>
    </xf>
    <xf numFmtId="166" fontId="5" fillId="11" borderId="1" xfId="0" applyFont="true" applyBorder="true" applyAlignment="true" applyProtection="true">
      <alignment horizontal="right" vertical="center"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8" fontId="0" fillId="0" borderId="12" xfId="0" applyFont="false" applyBorder="true" applyAlignment="true" applyProtection="true">
      <alignment horizontal="left" vertical="bottom" textRotation="0" wrapText="false" indent="0" shrinkToFit="false"/>
      <protection locked="true" hidden="false"/>
    </xf>
    <xf numFmtId="168" fontId="6" fillId="10" borderId="16" xfId="0" applyFont="true" applyBorder="true" applyAlignment="true" applyProtection="true">
      <alignment horizontal="left" vertical="center" textRotation="0" wrapText="false" indent="0" shrinkToFit="false"/>
      <protection locked="true" hidden="false"/>
    </xf>
    <xf numFmtId="164" fontId="0" fillId="0" borderId="16" xfId="0" applyFont="true" applyBorder="true" applyAlignment="true" applyProtection="true">
      <alignment horizontal="left" vertical="bottom" textRotation="0" wrapText="false" indent="0" shrinkToFit="false"/>
      <protection locked="true" hidden="false"/>
    </xf>
    <xf numFmtId="166" fontId="5" fillId="10" borderId="16" xfId="0" applyFont="true" applyBorder="true" applyAlignment="true" applyProtection="true">
      <alignment horizontal="left" vertical="center" textRotation="0" wrapText="false" indent="0" shrinkToFit="false"/>
      <protection locked="true" hidden="false"/>
    </xf>
    <xf numFmtId="166" fontId="5" fillId="2" borderId="16" xfId="0" applyFont="true" applyBorder="true" applyAlignment="true" applyProtection="true">
      <alignment horizontal="left" vertical="center" textRotation="0" wrapText="false" indent="0" shrinkToFit="false"/>
      <protection locked="true" hidden="false"/>
    </xf>
    <xf numFmtId="164" fontId="0" fillId="2" borderId="16" xfId="0" applyFont="true" applyBorder="true" applyAlignment="true" applyProtection="true">
      <alignment horizontal="left" vertical="bottom" textRotation="0" wrapText="false" indent="0" shrinkToFit="false"/>
      <protection locked="true" hidden="false"/>
    </xf>
    <xf numFmtId="166" fontId="5" fillId="3" borderId="16" xfId="0" applyFont="true" applyBorder="true" applyAlignment="true" applyProtection="true">
      <alignment horizontal="left" vertical="center" textRotation="0" wrapText="false" indent="0" shrinkToFit="false"/>
      <protection locked="true" hidden="false"/>
    </xf>
    <xf numFmtId="164" fontId="0" fillId="3" borderId="16" xfId="0" applyFont="false" applyBorder="true" applyAlignment="true" applyProtection="true">
      <alignment horizontal="left" vertical="bottom" textRotation="0" wrapText="false" indent="0" shrinkToFit="false"/>
      <protection locked="true" hidden="false"/>
    </xf>
    <xf numFmtId="164" fontId="0" fillId="0" borderId="16" xfId="0" applyFont="false" applyBorder="true" applyAlignment="true" applyProtection="true">
      <alignment horizontal="right" vertical="bottom" textRotation="0" wrapText="false" indent="0" shrinkToFit="false"/>
      <protection locked="true" hidden="false"/>
    </xf>
    <xf numFmtId="167" fontId="0" fillId="0" borderId="16" xfId="0" applyFont="false" applyBorder="true" applyAlignment="true" applyProtection="true">
      <alignment horizontal="general" vertical="bottom" textRotation="0" wrapText="false" indent="0" shrinkToFit="false"/>
      <protection locked="true" hidden="false"/>
    </xf>
    <xf numFmtId="168" fontId="5" fillId="3" borderId="1" xfId="0" applyFont="true" applyBorder="true" applyAlignment="true" applyProtection="true">
      <alignment horizontal="left" vertical="center" textRotation="0" wrapText="false" indent="0" shrinkToFit="false"/>
      <protection locked="true" hidden="false"/>
    </xf>
    <xf numFmtId="168" fontId="5" fillId="10" borderId="1" xfId="0" applyFont="true" applyBorder="true" applyAlignment="true" applyProtection="true">
      <alignment horizontal="left" vertical="center" textRotation="0" wrapText="false" indent="0" shrinkToFit="false"/>
      <protection locked="true" hidden="false"/>
    </xf>
    <xf numFmtId="168" fontId="0" fillId="0" borderId="1" xfId="0" applyFont="false" applyBorder="true" applyAlignment="true" applyProtection="true">
      <alignment horizontal="right" vertical="bottom" textRotation="0" wrapText="false" indent="0" shrinkToFit="false"/>
      <protection locked="true" hidden="false"/>
    </xf>
    <xf numFmtId="164" fontId="0" fillId="10" borderId="1" xfId="0" applyFont="false" applyBorder="true" applyAlignment="true" applyProtection="true">
      <alignment horizontal="left" vertical="bottom" textRotation="0" wrapText="false" indent="0" shrinkToFit="false"/>
      <protection locked="true" hidden="false"/>
    </xf>
    <xf numFmtId="169" fontId="0" fillId="0" borderId="1" xfId="0" applyFont="false" applyBorder="true" applyAlignment="true" applyProtection="true">
      <alignment horizontal="left" vertical="bottom" textRotation="0" wrapText="false" indent="0" shrinkToFit="false"/>
      <protection locked="true" hidden="false"/>
    </xf>
    <xf numFmtId="168" fontId="6" fillId="11" borderId="1" xfId="0" applyFont="true" applyBorder="true" applyAlignment="true" applyProtection="true">
      <alignment horizontal="left" vertical="center" textRotation="0" wrapText="false" indent="0" shrinkToFit="false"/>
      <protection locked="true" hidden="false"/>
    </xf>
    <xf numFmtId="166" fontId="6" fillId="0" borderId="1" xfId="0" applyFont="true" applyBorder="true" applyAlignment="true" applyProtection="true">
      <alignment horizontal="left" vertical="center" textRotation="0" wrapText="false" indent="0" shrinkToFit="false"/>
      <protection locked="true" hidden="false"/>
    </xf>
    <xf numFmtId="168" fontId="0" fillId="0" borderId="1" xfId="0" applyFont="false" applyBorder="true" applyAlignment="true" applyProtection="true">
      <alignment horizontal="left" vertical="bottom" textRotation="0" wrapText="false" indent="0" shrinkToFit="false"/>
      <protection locked="true" hidden="false"/>
    </xf>
    <xf numFmtId="164" fontId="0" fillId="10" borderId="1" xfId="0" applyFont="true" applyBorder="true" applyAlignment="true" applyProtection="true">
      <alignment horizontal="left" vertical="bottom" textRotation="0" wrapText="false" indent="0" shrinkToFit="false"/>
      <protection locked="true" hidden="false"/>
    </xf>
    <xf numFmtId="166" fontId="6" fillId="11" borderId="1" xfId="0" applyFont="true" applyBorder="true" applyAlignment="true" applyProtection="true">
      <alignment horizontal="right" vertical="center" textRotation="0" wrapText="false" indent="0" shrinkToFit="false"/>
      <protection locked="true" hidden="false"/>
    </xf>
    <xf numFmtId="166" fontId="6" fillId="10" borderId="1" xfId="0" applyFont="true" applyBorder="true" applyAlignment="true" applyProtection="true">
      <alignment horizontal="right" vertical="center" textRotation="0" wrapText="false" indent="0" shrinkToFit="false"/>
      <protection locked="true" hidden="false"/>
    </xf>
    <xf numFmtId="164" fontId="0" fillId="2" borderId="1" xfId="0" applyFont="true" applyBorder="true" applyAlignment="true" applyProtection="true">
      <alignment horizontal="left" vertical="bottom" textRotation="0" wrapText="false" indent="0" shrinkToFit="false"/>
      <protection locked="true" hidden="false"/>
    </xf>
    <xf numFmtId="166" fontId="6" fillId="12" borderId="1" xfId="0" applyFont="true" applyBorder="true" applyAlignment="true" applyProtection="true">
      <alignment horizontal="left" vertical="center" textRotation="0" wrapText="false" indent="0" shrinkToFit="false"/>
      <protection locked="true" hidden="false"/>
    </xf>
    <xf numFmtId="164" fontId="0" fillId="12"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6" fontId="6" fillId="11" borderId="1" xfId="0" applyFont="true" applyBorder="true" applyAlignment="true" applyProtection="true">
      <alignment horizontal="center" vertical="center" textRotation="0" wrapText="false" indent="0" shrinkToFit="false"/>
      <protection locked="true" hidden="false"/>
    </xf>
    <xf numFmtId="166" fontId="6" fillId="13" borderId="1" xfId="0" applyFont="true" applyBorder="true" applyAlignment="true" applyProtection="true">
      <alignment horizontal="left" vertical="center" textRotation="0" wrapText="false" indent="0" shrinkToFit="false"/>
      <protection locked="true" hidden="false"/>
    </xf>
    <xf numFmtId="164" fontId="0" fillId="13" borderId="1" xfId="0" applyFont="true" applyBorder="true" applyAlignment="true" applyProtection="true">
      <alignment horizontal="general" vertical="bottom" textRotation="0" wrapText="false" indent="0" shrinkToFit="false"/>
      <protection locked="true" hidden="false"/>
    </xf>
    <xf numFmtId="164" fontId="0" fillId="13" borderId="1" xfId="0" applyFont="true" applyBorder="true" applyAlignment="true" applyProtection="true">
      <alignment horizontal="center" vertical="bottom" textRotation="0" wrapText="false" indent="0" shrinkToFit="false"/>
      <protection locked="true" hidden="false"/>
    </xf>
    <xf numFmtId="166" fontId="6" fillId="14" borderId="1" xfId="0" applyFont="true" applyBorder="true" applyAlignment="true" applyProtection="true">
      <alignment horizontal="left" vertical="center" textRotation="0" wrapText="false" indent="0" shrinkToFit="false"/>
      <protection locked="true" hidden="false"/>
    </xf>
    <xf numFmtId="164" fontId="0" fillId="14" borderId="1" xfId="0" applyFont="true" applyBorder="true" applyAlignment="true" applyProtection="true">
      <alignment horizontal="general" vertical="bottom" textRotation="0" wrapText="false" indent="0" shrinkToFit="false"/>
      <protection locked="true" hidden="false"/>
    </xf>
    <xf numFmtId="164" fontId="0" fillId="14" borderId="1" xfId="0" applyFont="true" applyBorder="true" applyAlignment="true" applyProtection="true">
      <alignment horizontal="center" vertical="bottom" textRotation="0" wrapText="false" indent="0" shrinkToFit="false"/>
      <protection locked="true" hidden="false"/>
    </xf>
    <xf numFmtId="166" fontId="6" fillId="15" borderId="1" xfId="0" applyFont="true" applyBorder="true" applyAlignment="true" applyProtection="true">
      <alignment horizontal="left" vertical="center" textRotation="0" wrapText="false" indent="0" shrinkToFit="false"/>
      <protection locked="true" hidden="false"/>
    </xf>
    <xf numFmtId="164" fontId="0" fillId="15"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right" vertical="bottom" textRotation="0" wrapText="true" indent="1" shrinkToFit="false"/>
      <protection locked="true" hidden="false"/>
    </xf>
    <xf numFmtId="170" fontId="5" fillId="10" borderId="1" xfId="0" applyFont="true" applyBorder="true" applyAlignment="true" applyProtection="true">
      <alignment horizontal="right" vertical="center" textRotation="0" wrapText="true" indent="0" shrinkToFit="false"/>
      <protection locked="true" hidden="false"/>
    </xf>
    <xf numFmtId="168" fontId="0" fillId="0" borderId="1" xfId="0" applyFont="false" applyBorder="true" applyAlignment="true" applyProtection="true">
      <alignment horizontal="right" vertical="bottom" textRotation="0" wrapText="false" indent="1" shrinkToFit="false"/>
      <protection locked="true" hidden="false"/>
    </xf>
    <xf numFmtId="166" fontId="5" fillId="10" borderId="1" xfId="0" applyFont="true" applyBorder="true" applyAlignment="true" applyProtection="true">
      <alignment horizontal="right" vertical="bottom" textRotation="0" wrapText="false" indent="1" shrinkToFit="false"/>
      <protection locked="true" hidden="false"/>
    </xf>
    <xf numFmtId="166" fontId="5" fillId="11" borderId="1" xfId="0" applyFont="true" applyBorder="true" applyAlignment="true" applyProtection="true">
      <alignment horizontal="right" vertical="bottom" textRotation="0" wrapText="false" indent="1" shrinkToFit="false"/>
      <protection locked="true" hidden="false"/>
    </xf>
    <xf numFmtId="170" fontId="5" fillId="11" borderId="1" xfId="0" applyFont="true" applyBorder="true" applyAlignment="true" applyProtection="true">
      <alignment horizontal="right" vertical="center" textRotation="0" wrapText="true" indent="0" shrinkToFit="false"/>
      <protection locked="true" hidden="false"/>
    </xf>
    <xf numFmtId="166" fontId="6" fillId="10" borderId="1" xfId="0" applyFont="true" applyBorder="true" applyAlignment="true" applyProtection="true">
      <alignment horizontal="right" vertical="bottom" textRotation="0" wrapText="false" indent="1" shrinkToFit="false"/>
      <protection locked="true" hidden="false"/>
    </xf>
    <xf numFmtId="164" fontId="0" fillId="0" borderId="1" xfId="0" applyFont="false" applyBorder="true" applyAlignment="true" applyProtection="true">
      <alignment horizontal="general" vertical="center" textRotation="0" wrapText="true" indent="0" shrinkToFit="false"/>
      <protection locked="true" hidden="false"/>
    </xf>
    <xf numFmtId="166" fontId="6" fillId="11" borderId="1" xfId="0" applyFont="true" applyBorder="true" applyAlignment="true" applyProtection="true">
      <alignment horizontal="right" vertical="bottom" textRotation="0" wrapText="false" indent="1" shrinkToFit="false"/>
      <protection locked="true" hidden="false"/>
    </xf>
    <xf numFmtId="168" fontId="0" fillId="0" borderId="1" xfId="0" applyFont="false" applyBorder="true" applyAlignment="true" applyProtection="true">
      <alignment horizontal="general" vertical="center" textRotation="0" wrapText="true" indent="0" shrinkToFit="false"/>
      <protection locked="true" hidden="false"/>
    </xf>
    <xf numFmtId="166" fontId="6" fillId="2" borderId="0" xfId="0" applyFont="true" applyBorder="true" applyAlignment="true" applyProtection="true">
      <alignment horizontal="left" vertical="center" textRotation="0" wrapText="false" indent="0" shrinkToFit="false"/>
      <protection locked="true" hidden="false"/>
    </xf>
    <xf numFmtId="164" fontId="0" fillId="3" borderId="0" xfId="0" applyFont="fals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8" fontId="0" fillId="0" borderId="1" xfId="0" applyFont="false" applyBorder="true" applyAlignment="true" applyProtection="true">
      <alignment horizontal="general" vertical="bottom" textRotation="0" wrapText="false" indent="0" shrinkToFit="false"/>
      <protection locked="true" hidden="false"/>
    </xf>
    <xf numFmtId="169"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left"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6" fontId="5" fillId="3" borderId="15" xfId="0" applyFont="true" applyBorder="true" applyAlignment="true" applyProtection="true">
      <alignment horizontal="left" vertical="center"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8" fontId="0" fillId="0" borderId="1" xfId="0" applyFont="true" applyBorder="true" applyAlignment="true" applyProtection="true">
      <alignment horizontal="general" vertical="bottom" textRotation="0" wrapText="false" indent="0" shrinkToFit="false"/>
      <protection locked="true" hidden="false"/>
    </xf>
    <xf numFmtId="164" fontId="0" fillId="0" borderId="15" xfId="0" applyFont="true" applyBorder="true" applyAlignment="true" applyProtection="true">
      <alignment horizontal="general" vertical="bottom" textRotation="0" wrapText="false" indent="0" shrinkToFit="false"/>
      <protection locked="true" hidden="false"/>
    </xf>
    <xf numFmtId="166" fontId="6" fillId="11" borderId="1" xfId="21" applyFont="true" applyBorder="true" applyAlignment="true" applyProtection="true">
      <alignment horizontal="left" vertical="center" textRotation="0" wrapText="false" indent="0" shrinkToFit="false"/>
      <protection locked="true" hidden="false"/>
    </xf>
    <xf numFmtId="166" fontId="5" fillId="11" borderId="1" xfId="21" applyFont="true" applyBorder="true" applyAlignment="true" applyProtection="true">
      <alignment horizontal="left" vertical="center" textRotation="0" wrapText="false" indent="0" shrinkToFit="false"/>
      <protection locked="true" hidden="false"/>
    </xf>
    <xf numFmtId="166" fontId="5" fillId="2" borderId="1" xfId="21" applyFont="true" applyBorder="true" applyAlignment="true" applyProtection="true">
      <alignment horizontal="left" vertical="center" textRotation="0" wrapText="false" indent="0" shrinkToFit="false"/>
      <protection locked="true" hidden="false"/>
    </xf>
    <xf numFmtId="166" fontId="6" fillId="3" borderId="1" xfId="21" applyFont="true" applyBorder="true" applyAlignment="true" applyProtection="true">
      <alignment horizontal="left" vertical="center" textRotation="0" wrapText="false" indent="0" shrinkToFit="false"/>
      <protection locked="true" hidden="false"/>
    </xf>
    <xf numFmtId="164" fontId="4" fillId="0" borderId="0" xfId="21" applyFont="true" applyBorder="true" applyAlignment="true" applyProtection="true">
      <alignment horizontal="general" vertical="bottom" textRotation="0" wrapText="false" indent="0" shrinkToFit="false"/>
      <protection locked="true" hidden="false"/>
    </xf>
    <xf numFmtId="166" fontId="6" fillId="10" borderId="1" xfId="21" applyFont="true" applyBorder="true" applyAlignment="true" applyProtection="true">
      <alignment horizontal="left" vertical="center" textRotation="0" wrapText="false" indent="0" shrinkToFit="false"/>
      <protection locked="true" hidden="false"/>
    </xf>
    <xf numFmtId="166" fontId="5" fillId="3" borderId="1" xfId="21" applyFont="true" applyBorder="true" applyAlignment="true" applyProtection="true">
      <alignment horizontal="left" vertical="center" textRotation="0" wrapText="false" indent="0" shrinkToFit="false"/>
      <protection locked="true" hidden="false"/>
    </xf>
    <xf numFmtId="166" fontId="5" fillId="10" borderId="1" xfId="21" applyFont="true" applyBorder="true" applyAlignment="true" applyProtection="true">
      <alignment horizontal="left" vertical="center" textRotation="0" wrapText="false" indent="0" shrinkToFit="false"/>
      <protection locked="true" hidden="false"/>
    </xf>
    <xf numFmtId="168" fontId="4" fillId="0" borderId="0" xfId="21" applyFont="true" applyBorder="true" applyAlignment="true" applyProtection="true">
      <alignment horizontal="left" vertical="bottom" textRotation="0" wrapText="false" indent="0" shrinkToFit="false"/>
      <protection locked="true" hidden="false"/>
    </xf>
    <xf numFmtId="164" fontId="4" fillId="3" borderId="0" xfId="21" applyFont="true" applyBorder="true" applyAlignment="true" applyProtection="true">
      <alignment horizontal="general" vertical="bottom" textRotation="0" wrapText="false" indent="0" shrinkToFit="false"/>
      <protection locked="true" hidden="false"/>
    </xf>
    <xf numFmtId="166" fontId="5" fillId="3" borderId="15" xfId="21" applyFont="true" applyBorder="true" applyAlignment="true" applyProtection="true">
      <alignment horizontal="left" vertical="center" textRotation="0" wrapText="false" indent="0" shrinkToFit="false"/>
      <protection locked="true" hidden="false"/>
    </xf>
    <xf numFmtId="166" fontId="5" fillId="11" borderId="15" xfId="21" applyFont="true" applyBorder="true" applyAlignment="true" applyProtection="true">
      <alignment horizontal="left" vertical="center" textRotation="0" wrapText="false" indent="0" shrinkToFit="false"/>
      <protection locked="true" hidden="false"/>
    </xf>
    <xf numFmtId="164" fontId="4" fillId="0" borderId="1" xfId="21" applyFont="true" applyBorder="true" applyAlignment="true" applyProtection="true">
      <alignment horizontal="general" vertical="bottom" textRotation="0" wrapText="false" indent="0" shrinkToFit="false"/>
      <protection locked="true" hidden="false"/>
    </xf>
    <xf numFmtId="166" fontId="6" fillId="3" borderId="0" xfId="21" applyFont="true" applyBorder="true" applyAlignment="true" applyProtection="true">
      <alignment horizontal="left" vertical="center" textRotation="0" wrapText="false" indent="0" shrinkToFit="false"/>
      <protection locked="true" hidden="false"/>
    </xf>
    <xf numFmtId="166" fontId="6" fillId="11" borderId="0" xfId="21" applyFont="true" applyBorder="true" applyAlignment="true" applyProtection="true">
      <alignment horizontal="left" vertical="center" textRotation="0" wrapText="false" indent="0" shrinkToFit="false"/>
      <protection locked="true" hidden="false"/>
    </xf>
    <xf numFmtId="166" fontId="5" fillId="10" borderId="15" xfId="21" applyFont="true" applyBorder="true" applyAlignment="true" applyProtection="true">
      <alignment horizontal="left" vertical="center" textRotation="0" wrapText="false" indent="0" shrinkToFit="false"/>
      <protection locked="true" hidden="false"/>
    </xf>
    <xf numFmtId="164" fontId="0" fillId="0" borderId="1" xfId="21" applyFont="true" applyBorder="true" applyAlignment="true" applyProtection="true">
      <alignment horizontal="general" vertical="bottom" textRotation="0" wrapText="false" indent="0" shrinkToFit="false"/>
      <protection locked="true" hidden="false"/>
    </xf>
    <xf numFmtId="164" fontId="0" fillId="0" borderId="17" xfId="21" applyFont="true" applyBorder="true" applyAlignment="true" applyProtection="true">
      <alignment horizontal="general" vertical="bottom" textRotation="0" wrapText="false" indent="0" shrinkToFit="false"/>
      <protection locked="true" hidden="false"/>
    </xf>
    <xf numFmtId="164" fontId="4" fillId="2" borderId="1" xfId="21" applyFont="true" applyBorder="true" applyAlignment="true" applyProtection="true">
      <alignment horizontal="general" vertical="bottom" textRotation="0" wrapText="false" indent="0" shrinkToFit="false"/>
      <protection locked="true" hidden="false"/>
    </xf>
    <xf numFmtId="164" fontId="4" fillId="0" borderId="15" xfId="21" applyFont="true" applyBorder="true" applyAlignment="true" applyProtection="true">
      <alignment horizontal="general" vertical="bottom" textRotation="0" wrapText="false" indent="0" shrinkToFit="false"/>
      <protection locked="true" hidden="false"/>
    </xf>
    <xf numFmtId="166" fontId="6" fillId="11" borderId="15" xfId="21" applyFont="true" applyBorder="true" applyAlignment="true" applyProtection="true">
      <alignment horizontal="left" vertical="center" textRotation="0" wrapText="false" indent="0" shrinkToFit="false"/>
      <protection locked="true" hidden="false"/>
    </xf>
    <xf numFmtId="164" fontId="0" fillId="0" borderId="15" xfId="21" applyFont="true" applyBorder="true" applyAlignment="true" applyProtection="true">
      <alignment horizontal="general" vertical="bottom" textRotation="0" wrapText="false" indent="0" shrinkToFit="false"/>
      <protection locked="true" hidden="false"/>
    </xf>
    <xf numFmtId="168" fontId="4" fillId="0" borderId="0" xfId="20" applyFont="true" applyBorder="true" applyAlignment="true" applyProtection="true">
      <alignment horizontal="left" vertical="bottom" textRotation="0" wrapText="false" indent="0" shrinkToFit="false"/>
      <protection locked="true" hidden="false"/>
    </xf>
    <xf numFmtId="164" fontId="4" fillId="0" borderId="17" xfId="21" applyFont="true" applyBorder="true" applyAlignment="true" applyProtection="true">
      <alignment horizontal="general" vertical="bottom" textRotation="0" wrapText="false" indent="0" shrinkToFit="false"/>
      <protection locked="true" hidden="false"/>
    </xf>
    <xf numFmtId="166" fontId="6" fillId="3" borderId="15" xfId="21" applyFont="true" applyBorder="true" applyAlignment="true" applyProtection="true">
      <alignment horizontal="left" vertical="center" textRotation="0" wrapText="false" indent="0" shrinkToFit="false"/>
      <protection locked="true" hidden="false"/>
    </xf>
    <xf numFmtId="166" fontId="6" fillId="0" borderId="18" xfId="0" applyFont="true" applyBorder="true" applyAlignment="true" applyProtection="true">
      <alignment horizontal="left" vertical="center" textRotation="0" wrapText="false" indent="0" shrinkToFit="false"/>
      <protection locked="true" hidden="false"/>
    </xf>
    <xf numFmtId="166" fontId="6" fillId="2" borderId="18" xfId="0" applyFont="true" applyBorder="true" applyAlignment="true" applyProtection="true">
      <alignment horizontal="left" vertical="center" textRotation="0" wrapText="false" indent="0" shrinkToFit="false"/>
      <protection locked="true" hidden="false"/>
    </xf>
    <xf numFmtId="166" fontId="6" fillId="3" borderId="18" xfId="0" applyFont="true" applyBorder="true" applyAlignment="true" applyProtection="true">
      <alignment horizontal="left" vertical="center" textRotation="0" wrapText="false" indent="0" shrinkToFit="false"/>
      <protection locked="true" hidden="false"/>
    </xf>
    <xf numFmtId="170" fontId="6" fillId="0" borderId="18" xfId="0" applyFont="true" applyBorder="true" applyAlignment="true" applyProtection="true">
      <alignment horizontal="right" vertical="center" textRotation="0" wrapText="false" indent="0" shrinkToFit="false"/>
      <protection locked="true" hidden="false"/>
    </xf>
    <xf numFmtId="170" fontId="6" fillId="0" borderId="18" xfId="0" applyFont="true" applyBorder="true" applyAlignment="true" applyProtection="true">
      <alignment horizontal="right" vertical="center" textRotation="0" wrapText="true" indent="0" shrinkToFit="false"/>
      <protection locked="true" hidden="false"/>
    </xf>
    <xf numFmtId="166" fontId="6" fillId="11" borderId="18" xfId="0" applyFont="true" applyBorder="true" applyAlignment="true" applyProtection="true">
      <alignment horizontal="left" vertical="center" textRotation="0" wrapText="false" indent="0" shrinkToFit="false"/>
      <protection locked="true" hidden="false"/>
    </xf>
    <xf numFmtId="170" fontId="6" fillId="11" borderId="18" xfId="0" applyFont="true" applyBorder="true" applyAlignment="true" applyProtection="true">
      <alignment horizontal="right" vertical="center" textRotation="0" wrapText="false" indent="0" shrinkToFit="false"/>
      <protection locked="true" hidden="false"/>
    </xf>
    <xf numFmtId="170" fontId="6" fillId="11" borderId="18" xfId="0" applyFont="true" applyBorder="true" applyAlignment="true" applyProtection="true">
      <alignment horizontal="right" vertical="center" textRotation="0" wrapText="true" indent="0" shrinkToFit="false"/>
      <protection locked="true" hidden="false"/>
    </xf>
    <xf numFmtId="166" fontId="6" fillId="10" borderId="18" xfId="0" applyFont="true" applyBorder="true" applyAlignment="true" applyProtection="true">
      <alignment horizontal="left" vertical="center" textRotation="0" wrapText="false" indent="0" shrinkToFit="false"/>
      <protection locked="true" hidden="false"/>
    </xf>
    <xf numFmtId="170" fontId="6" fillId="10" borderId="18" xfId="0" applyFont="true" applyBorder="true" applyAlignment="true" applyProtection="true">
      <alignment horizontal="right" vertical="center" textRotation="0" wrapText="false" indent="0" shrinkToFit="false"/>
      <protection locked="true" hidden="false"/>
    </xf>
    <xf numFmtId="170" fontId="6" fillId="10" borderId="18" xfId="0" applyFont="true" applyBorder="true" applyAlignment="true" applyProtection="true">
      <alignment horizontal="righ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9" xfId="0" applyFont="true" applyBorder="true" applyAlignment="true" applyProtection="true">
      <alignment horizontal="general" vertical="bottom" textRotation="0" wrapText="false" indent="0" shrinkToFit="false"/>
      <protection locked="true" hidden="false"/>
    </xf>
    <xf numFmtId="164" fontId="0" fillId="0" borderId="20" xfId="0" applyFont="true" applyBorder="true" applyAlignment="true" applyProtection="true">
      <alignment horizontal="general" vertical="bottom" textRotation="0" wrapText="false" indent="0" shrinkToFit="false"/>
      <protection locked="true" hidden="false"/>
    </xf>
    <xf numFmtId="164" fontId="0" fillId="0" borderId="2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0" fillId="9" borderId="5" xfId="0" applyFont="tru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9" borderId="1" xfId="0" applyFont="tru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0" borderId="16" xfId="0" applyFont="true" applyBorder="true" applyAlignment="true" applyProtection="true">
      <alignment horizontal="general" vertical="bottom" textRotation="0" wrapText="false" indent="0" shrinkToFit="false"/>
      <protection locked="true" hidden="false"/>
    </xf>
    <xf numFmtId="164" fontId="0" fillId="9" borderId="16" xfId="0" applyFont="true" applyBorder="true" applyAlignment="true" applyProtection="true">
      <alignment horizontal="general" vertical="bottom" textRotation="0" wrapText="false" indent="0" shrinkToFit="false"/>
      <protection locked="true" hidden="false"/>
    </xf>
    <xf numFmtId="164" fontId="0" fillId="10" borderId="16" xfId="0" applyFont="true" applyBorder="true" applyAlignment="true" applyProtection="true">
      <alignment horizontal="general" vertical="bottom" textRotation="0" wrapText="false" indent="0" shrinkToFit="false"/>
      <protection locked="true" hidden="false"/>
    </xf>
    <xf numFmtId="164" fontId="0" fillId="9" borderId="15"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s>
  <dxfs count="11">
    <dxf>
      <fill>
        <patternFill patternType="solid">
          <fgColor rgb="FFD0CECE"/>
          <bgColor rgb="FF000000"/>
        </patternFill>
      </fill>
    </dxf>
    <dxf>
      <fill>
        <patternFill patternType="solid">
          <fgColor rgb="FFD9D9D9"/>
          <bgColor rgb="FF000000"/>
        </patternFill>
      </fill>
    </dxf>
    <dxf>
      <fill>
        <patternFill patternType="solid">
          <fgColor rgb="FFEDEDED"/>
          <bgColor rgb="FF000000"/>
        </patternFill>
      </fill>
    </dxf>
    <dxf>
      <fill>
        <patternFill patternType="solid">
          <fgColor rgb="FFF6FBFF"/>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D966"/>
          <bgColor rgb="FF000000"/>
        </patternFill>
      </fill>
    </dxf>
    <dxf>
      <fill>
        <patternFill patternType="solid">
          <fgColor rgb="FF2E75B6"/>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D0CECE"/>
      <rgbColor rgb="FF808080"/>
      <rgbColor rgb="FF9999FF"/>
      <rgbColor rgb="FF993366"/>
      <rgbColor rgb="FFF2F2F2"/>
      <rgbColor rgb="FFF6FBFF"/>
      <rgbColor rgb="FF660066"/>
      <rgbColor rgb="FFFF8080"/>
      <rgbColor rgb="FF0066CC"/>
      <rgbColor rgb="FFD1E1F5"/>
      <rgbColor rgb="FF000080"/>
      <rgbColor rgb="FFFF00FF"/>
      <rgbColor rgb="FFFFFF00"/>
      <rgbColor rgb="FF00FFFF"/>
      <rgbColor rgb="FF800080"/>
      <rgbColor rgb="FF800000"/>
      <rgbColor rgb="FF008080"/>
      <rgbColor rgb="FF0000FF"/>
      <rgbColor rgb="FF00B0F0"/>
      <rgbColor rgb="FFEDEDED"/>
      <rgbColor rgb="FFC5E0B4"/>
      <rgbColor rgb="FFFFFF99"/>
      <rgbColor rgb="FFD9D9D9"/>
      <rgbColor rgb="FFFF99CC"/>
      <rgbColor rgb="FFCC99FF"/>
      <rgbColor rgb="FFFFD966"/>
      <rgbColor rgb="FF2E75B6"/>
      <rgbColor rgb="FF33CCCC"/>
      <rgbColor rgb="FF99CC00"/>
      <rgbColor rgb="FFFFC000"/>
      <rgbColor rgb="FFFF9900"/>
      <rgbColor rgb="FFC55A1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bmhwmaqrplpoiffniwbx.supabase.co/storage/v1/object/sign/KirakaClothing/Product%20Images/Goddess/GODDESS_YEWTEE_UW_MOULDED_UNDERWIRE_BRA_GD6750_1.png?token=eyJraWQiOiJzdG9yYWdlLXVybC1zaWduaW5nLWtleV9hOWYwOTQyOS1kZWUzLTQ5NzUtYWRiZi1kNWM3Yzk5ZWE1ZmIi" TargetMode="External"/><Relationship Id="rId2" Type="http://schemas.openxmlformats.org/officeDocument/2006/relationships/hyperlink" Target="https://bmhwmaqrplpoiffniwbx.supabase.co/storage/v1/object/sign/KirakaClothing/Product%20Images/Goddess/GODDESS_VERITY_NONWIRE_BRA_VERITY_GD6750.png?token=eyJraWQiOiJzdG9yYWdlLXVybC1zaWduaW5nLWtleV9hOWYwOTQyOS1kZWUzLTQ5NzUtYWRiZi1kNWM3Yzk5ZWE1ZmIiLCJhbGci" TargetMode="External"/><Relationship Id="rId3" Type="http://schemas.openxmlformats.org/officeDocument/2006/relationships/hyperlink" Target="https://bmhwmaqrplpoiffniwbx.supabase.co/storage/v1/object/sign/KirakaClothing/Product%20Images/Goddess/GODDESS_VERITY_NONWIRE_BRA_VERITY_GD6750.png?token=eyJraWQiOiJzdG9yYWdlLXVybC1zaWduaW5nLWtleV9hOWYwOTQyOS1kZWUzLTQ5NzUtYWRiZi1kNWM3Yzk5ZWE1ZmIiLCJhbGci" TargetMode="External"/><Relationship Id="rId4" Type="http://schemas.openxmlformats.org/officeDocument/2006/relationships/hyperlink" Target="https://bmhwmaqrplpoiffniwbx.supabase.co/storage/v1/object/sign/KirakaClothing/Product%20Images/Elomi/ELOMI_MALTINDA_UNDERWIRE_EL8900_1.png?token=eyJraWQiOiJzdG9yYWdlLXVybC1zaWduaW5nLWtleV9hOWYwOTQyOS1kZWUzLTQ5NzUtYWRiZi1kNWM3Yzk5ZWE1ZmIiLCJhbGciOiJIUzI1N" TargetMode="External"/><Relationship Id="rId5" Type="http://schemas.openxmlformats.org/officeDocument/2006/relationships/hyperlink" Target="https://bmhwmaqrplpoiffniwbx.supabase.co/storage/v1/object/sign/KirakaClothing/Product%20Images/Elomi/ELOMI_MALTINDA_UDERWIRE_EL8900_2.png?token=eyJraWQiOiJzdG9yYWdlLXVybC1zaWduaW5nLWtleV9hOWYwOTQyOS1kZWUzLTQ5NzUtYWRiZi1kNWM3Yzk5ZWE1ZmIiLCJhbGciOiJIUzI1Ni" TargetMode="External"/><Relationship Id="rId6" Type="http://schemas.openxmlformats.org/officeDocument/2006/relationships/hyperlink" Target="https://bmhwmaqrplpoiffniwbx.supabase.co/storage/v1/object/sign/KirakaClothing/Product%20Images/Elomi/ELOMI_BRIANNA_UNDERWIRE_EL8080_1.png?token=eyJraWQiOiJzdG9yYWdlLXVybC1zaWduaW5nLWtleV9hOWYwOTQyOS1kZWUzLTQ5NzUtYWRiZi1kNWM3Yzk5ZWE1ZmIiLCJhbGciOiJIUzI1Ni" TargetMode="External"/><Relationship Id="rId7" Type="http://schemas.openxmlformats.org/officeDocument/2006/relationships/hyperlink" Target="https://bmhwmaqrplpoiffniwbx.supabase.co/storage/v1/object/sign/KirakaClothing/Product%20Images/Elomi/ELOMI_ENERGISE_UNDERWIRE_SPORTS_BRA_EL8041_1.png?token=eyJraWQiOiJzdG9yYWdlLXVybC1zaWduaW5nLWtleV9hOWYwOTQyOS1kZWUzLTQ5NzUtYWRiZi1kNWM3Yzk5ZWE1ZmIiLCJhbG" TargetMode="External"/><Relationship Id="rId8" Type="http://schemas.openxmlformats.org/officeDocument/2006/relationships/hyperlink" Target="https://bmhwmaqrplpoiffniwbx.supabase.co/storage/v1/object/sign/KirakaClothing/Product%20Images/Freya/FREYA_SONIC_UNDERWIRE_AC4892_1.png?token=eyJraWQiOiJzdG9yYWdlLXVybC1zaWduaW5nLWtleV9hOWYwOTQyOS1kZWUzLTQ5NzUtYWRiZi1kNWM3Yzk5ZWE1ZmIiLCJhbGciOiJIUzI1NiJ9" TargetMode="External"/><Relationship Id="rId9" Type="http://schemas.openxmlformats.org/officeDocument/2006/relationships/hyperlink" Target="https://bmhwmaqrplpoiffniwbx.supabase.co/storage/v1/object/sign/KirakaClothing/Product%20Images/Freya/FREYA_SONIC_UNDERWIRE_AC4892_2.png?token=eyJraWQiOiJzdG9yYWdlLXVybC1zaWduaW5nLWtleV9hOWYwOTQyOS1kZWUzLTQ5NzUtYWRiZi1kNWM3Yzk5ZWE1ZmIiLCJhbGciOiJIUzI1NiJ9" TargetMode="External"/><Relationship Id="rId10" Type="http://schemas.openxmlformats.org/officeDocument/2006/relationships/hyperlink" Target="https://bmhwmaqrplpoiffniwbx.supabase.co/storage/v1/object/sign/KirakaClothing/Product%20Images/%20Fantasie/FANTASIE_MOLDED_STRAPLESS_BRA_4530_1.png?token=eyJraWQiOiJzdG9yYWdlLXVybC1zaWduaW5nLWtleV9hOWYwOTQyOS1kZWUzLTQ5NzUtYWRiZi1kNWM3Yzk5ZWE1ZmIiLCJhbGci" TargetMode="External"/><Relationship Id="rId11" Type="http://schemas.openxmlformats.org/officeDocument/2006/relationships/hyperlink" Target="https://bmhwmaqrplpoiffniwbx.supabase.co/storage/v1/object/sign/KirakaClothing/Product%20Images/%20Fantasie/FANTASIE_MOLDED%20STRAPLESS_BRA_4530_2.png?token=eyJraWQiOiJzdG9yYWdlLXVybC1zaWduaW5nLWtleV9hOWYwOTQyOS1kZWUzLTQ5NzUtYWRiZi1kNWM3Yzk5ZWE1ZmIiLCJhbG" TargetMode="External"/><Relationship Id="rId12" Type="http://schemas.openxmlformats.org/officeDocument/2006/relationships/hyperlink" Target="https://bmhwmaqrplpoiffniwbx.supabase.co/storage/v1/object/sign/KirakaClothing/Product%20Images/Freya/FREYA_SONIC_UNDERWIRE_AC4892_1.png?token=eyJraWQiOiJzdG9yYWdlLXVybC1zaWduaW5nLWtleV9hOWYwOTQyOS1kZWUzLTQ5NzUtYWRiZi1kNWM3Yzk5ZWE1ZmIiLCJhbGciOiJIUzI1NiJ9" TargetMode="External"/><Relationship Id="rId13" Type="http://schemas.openxmlformats.org/officeDocument/2006/relationships/hyperlink" Target="https://bmhwmaqrplpoiffniwbx.supabase.co/storage/v1/object/sign/KirakaClothing/Product%20Images/Freya/FREYA_SONIC_UNDERWIRE_AC4892_2.png?token=eyJraWQiOiJzdG9yYWdlLXVybC1zaWduaW5nLWtleV9hOWYwOTQyOS1kZWUzLTQ5NzUtYWRiZi1kNWM3Yzk5ZWE1ZmIiLCJhbGciOiJIUzI1NiJ9" TargetMode="External"/><Relationship Id="rId14" Type="http://schemas.openxmlformats.org/officeDocument/2006/relationships/hyperlink" Target="https://bmhwmaqrplpoiffniwbx/" TargetMode="External"/><Relationship Id="rId15" Type="http://schemas.openxmlformats.org/officeDocument/2006/relationships/hyperlink" Target="https://bmhwmaqrplpoiffniwbx.supabase.co/storage/v1/object/sign/KirakaClothing/Product%20Images/%20Fantasie/FANTASIE_UW_SPORTS_BRA_FL102829_2.png?token=eyJraWQiOiJzdG9yYWdlLXVybC1zaWduaW5nLWtleV9hOWYwOTQyOS1kZWUzLTQ5NzUtYWRiZi1kNWM3Yzk5ZWE1ZmIiLCJhbGciOiJ" TargetMode="External"/><Relationship Id="rId16" Type="http://schemas.openxmlformats.org/officeDocument/2006/relationships/hyperlink" Target="https://bmhwmaqrplpoiffniwbx.supabase.co/storage/v1/object/sign/KirakaClothing/Product%20Images/Freya/FREYA_UW_MOULDED_BALCONY_T-SHIRT_BRA_AA1030_1.png?token=eyJraWQiOiJzdG9yYWdlLXVybC1zaWduaW5nLWtleV9hOWYwOTQyOS1kZWUzLTQ5NzUtYWRiZi1kNWM3Yzk5ZWE1ZmIiLCJhb" TargetMode="External"/><Relationship Id="rId17" Type="http://schemas.openxmlformats.org/officeDocument/2006/relationships/hyperlink" Target="https://bmhwmaqrplpoiffniwbx.supabase.co/storage/v1/object/sign/KirakaClothing/Product%20Images/%20Fantasie/FANTASIE_UW_MOULDED_SPACER_BRA_FL6912%20_1.png?token=eyJraWQiOiJzdG9yYWdlLXVybC1zaWduaW5nLWtleV9hOWYwOTQyOS1kZWUzLTQ5NzUtYWRiZi1kNWM3Yzk5ZWE1ZmIiLC" TargetMode="External"/><Relationship Id="rId18" Type="http://schemas.openxmlformats.org/officeDocument/2006/relationships/hyperlink" Target="https://bmhwmaqrplpoiffniwbx.supabase.co/storage/v1/object/sign/KirakaClothing/Product%20Images/%20Fantasie/FANTASIE_UW_FULL_CUP_SIDE_SUPPORT_BRA_FL6911_1.png?token=eyJraWQiOiJzdG9yYWdlLXVybC1zaWduaW5nLWtleV9hOWYwOTQyOS1kZWUzLTQ5NzUtYWRiZi1kNWM3Yzk5ZWE1Zm" TargetMode="External"/><Relationship Id="rId19" Type="http://schemas.openxmlformats.org/officeDocument/2006/relationships/hyperlink" Target="https://bmhwmaqrplpoiffniwbx.supabase.co/storage/v1/object/sign/KirakaClothing/Product%20Images/%20Fantasie/FANTASIE_UW_FULL_CUP_SIDE_SUPPORT_BRA_FL6911_1.png?token=eyJraWQiOiJzdG9yYWdlLXVybC1zaWduaW5nLWtleV9hOWYwOTQyOS1kZWUzLTQ5NzUtYWRiZi1kNWM3Yzk5ZWE1Zm" TargetMode="External"/><Relationship Id="rId20" Type="http://schemas.openxmlformats.org/officeDocument/2006/relationships/hyperlink" Target="https://bmhwmaqrplpoiffniwbx.supabase.co/storage/v1/object/sign/KirakaClothing/Product%20Images/Elomi/ELOMI_CATE_UW_BRA_EL4030.png?token=eyJraWQiOiJzdG9yYWdlLXVybC1zaWduaW5nLWtleV9hOWYwOTQyOS1kZWUzLTQ5NzUtYWRiZi1kNWM3Yzk5ZWE1ZmIiLCJhbGciOiJIUzI1NiJ9.eyJ1c" TargetMode="External"/><Relationship Id="rId21" Type="http://schemas.openxmlformats.org/officeDocument/2006/relationships/hyperlink" Target="https://bmhwmaqrplpoiffniwbx.supabase.co/storage/v1/object/sign/KirakaClothing/Product%20Images/Triumph/TRIUMPH_%20MINIMISER_UNDERWIRE_Bra_Black_21W_1.webp?token=eyJraWQiOiJzdG9yYWdlLXVybC1zaWduaW5nLWtleV9hOWYwOTQyOS1kZWUzLTQ5NzUtYWRiZi1kNWM3Yzk5ZWE1ZmIiL" TargetMode="External"/><Relationship Id="rId22" Type="http://schemas.openxmlformats.org/officeDocument/2006/relationships/hyperlink" Target="https://bmhwmaqrplpoiffniwbx.supabase.co/storage/v1/object/sign/KirakaClothing/Product%20Images/Triumph/TRIUMPH_%20MINIMISER_UNDERWIRE_BRA_SKIN_112W_1.webp?token=eyJraWQiOiJzdG9yYWdlLXVybC1zaWduaW5nLWtleV9hOWYwOTQyOS1kZWUzLTQ5NzUtYWRiZi1kNWM3Yzk5ZWE1ZmIi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A1749"/>
  <sheetViews>
    <sheetView showFormulas="false" showGridLines="true" showRowColHeaders="true" showZeros="true" rightToLeft="false" tabSelected="false" showOutlineSymbols="true" defaultGridColor="true" view="normal" topLeftCell="F231" colorId="64" zoomScale="71" zoomScaleNormal="71" zoomScalePageLayoutView="100" workbookViewId="0">
      <selection pane="topLeft" activeCell="B183" activeCellId="0" sqref="B183"/>
    </sheetView>
  </sheetViews>
  <sheetFormatPr defaultColWidth="9.14453125" defaultRowHeight="15" zeroHeight="false" outlineLevelRow="0" outlineLevelCol="0"/>
  <cols>
    <col collapsed="false" customWidth="false" hidden="false" outlineLevel="0" max="1" min="1" style="1" width="9.14"/>
    <col collapsed="false" customWidth="true" hidden="false" outlineLevel="0" max="2" min="2" style="1" width="16.86"/>
    <col collapsed="false" customWidth="true" hidden="false" outlineLevel="0" max="3" min="3" style="1" width="17"/>
    <col collapsed="false" customWidth="true" hidden="false" outlineLevel="0" max="4" min="4" style="1" width="12.86"/>
    <col collapsed="false" customWidth="true" hidden="false" outlineLevel="0" max="5" min="5" style="2" width="14"/>
    <col collapsed="false" customWidth="true" hidden="false" outlineLevel="0" max="6" min="6" style="3" width="11"/>
    <col collapsed="false" customWidth="true" hidden="false" outlineLevel="0" max="7" min="7" style="3" width="13.43"/>
    <col collapsed="false" customWidth="true" hidden="false" outlineLevel="0" max="8" min="8" style="3" width="14.14"/>
    <col collapsed="false" customWidth="true" hidden="false" outlineLevel="0" max="9" min="9" style="3" width="12.29"/>
    <col collapsed="false" customWidth="true" hidden="true" outlineLevel="0" max="10" min="10" style="3" width="10"/>
    <col collapsed="false" customWidth="true" hidden="true" outlineLevel="0" max="11" min="11" style="4" width="20.72"/>
    <col collapsed="false" customWidth="true" hidden="true" outlineLevel="0" max="12" min="12" style="4" width="8.86"/>
    <col collapsed="false" customWidth="true" hidden="false" outlineLevel="0" max="13" min="13" style="1" width="16.29"/>
    <col collapsed="false" customWidth="true" hidden="false" outlineLevel="0" max="14" min="14" style="1" width="11.15"/>
    <col collapsed="false" customWidth="true" hidden="false" outlineLevel="0" max="15" min="15" style="1" width="10.43"/>
    <col collapsed="false" customWidth="true" hidden="false" outlineLevel="0" max="16" min="16" style="1" width="12.86"/>
    <col collapsed="false" customWidth="true" hidden="false" outlineLevel="0" max="17" min="17" style="1" width="10.57"/>
    <col collapsed="false" customWidth="true" hidden="false" outlineLevel="0" max="18" min="18" style="1" width="14.29"/>
    <col collapsed="false" customWidth="true" hidden="false" outlineLevel="0" max="19" min="19" style="1" width="11.15"/>
    <col collapsed="false" customWidth="true" hidden="false" outlineLevel="0" max="20" min="20" style="1" width="3.15"/>
    <col collapsed="false" customWidth="true" hidden="false" outlineLevel="0" max="21" min="21" style="1" width="42.29"/>
    <col collapsed="false" customWidth="true" hidden="false" outlineLevel="0" max="22" min="22" style="1" width="6.29"/>
    <col collapsed="false" customWidth="false" hidden="false" outlineLevel="0" max="25" min="23" style="1" width="9.14"/>
    <col collapsed="false" customWidth="true" hidden="false" outlineLevel="0" max="26" min="26" style="1" width="15.72"/>
    <col collapsed="false" customWidth="false" hidden="false" outlineLevel="0" max="16384" min="27" style="1" width="9.14"/>
  </cols>
  <sheetData>
    <row r="1" customFormat="false" ht="15" hidden="false" customHeight="false" outlineLevel="0" collapsed="false">
      <c r="D1" s="5"/>
      <c r="M1" s="5"/>
      <c r="O1" s="5"/>
      <c r="P1" s="5"/>
      <c r="Q1" s="5"/>
    </row>
    <row r="2" customFormat="false" ht="15" hidden="false" customHeight="false" outlineLevel="0" collapsed="false">
      <c r="E2" s="2" t="s">
        <v>0</v>
      </c>
      <c r="F2" s="3" t="s">
        <v>1</v>
      </c>
      <c r="G2" s="3" t="s">
        <v>2</v>
      </c>
      <c r="H2" s="3" t="s">
        <v>3</v>
      </c>
      <c r="I2" s="3" t="s">
        <v>4</v>
      </c>
      <c r="M2" s="1" t="s">
        <v>5</v>
      </c>
      <c r="P2" s="1" t="s">
        <v>6</v>
      </c>
      <c r="Q2" s="1" t="s">
        <v>7</v>
      </c>
    </row>
    <row r="3" customFormat="false" ht="15" hidden="false" customHeight="false" outlineLevel="0" collapsed="false">
      <c r="B3" s="6"/>
      <c r="C3" s="6" t="s">
        <v>8</v>
      </c>
      <c r="D3" s="6" t="n">
        <v>1</v>
      </c>
      <c r="E3" s="7" t="n">
        <v>2</v>
      </c>
      <c r="F3" s="3" t="n">
        <v>3</v>
      </c>
      <c r="G3" s="3" t="n">
        <v>4</v>
      </c>
      <c r="H3" s="3" t="n">
        <v>5</v>
      </c>
      <c r="I3" s="3" t="n">
        <v>6</v>
      </c>
      <c r="M3" s="6" t="n">
        <v>8</v>
      </c>
      <c r="N3" s="6"/>
      <c r="O3" s="6" t="n">
        <v>9</v>
      </c>
      <c r="P3" s="6" t="n">
        <v>10</v>
      </c>
      <c r="Q3" s="6" t="n">
        <v>11</v>
      </c>
      <c r="R3" s="6"/>
      <c r="S3" s="6" t="n">
        <v>12</v>
      </c>
      <c r="T3" s="6" t="n">
        <v>13</v>
      </c>
    </row>
    <row r="4" customFormat="false" ht="15" hidden="false" customHeight="false" outlineLevel="0" collapsed="false">
      <c r="B4" s="8"/>
      <c r="C4" s="8"/>
      <c r="D4" s="8"/>
      <c r="E4" s="9"/>
      <c r="M4" s="8" t="n">
        <v>3</v>
      </c>
      <c r="N4" s="8"/>
      <c r="O4" s="8" t="n">
        <v>4</v>
      </c>
      <c r="P4" s="8" t="n">
        <v>5</v>
      </c>
      <c r="Q4" s="8" t="n">
        <v>6</v>
      </c>
      <c r="R4" s="8"/>
      <c r="S4" s="8"/>
      <c r="T4" s="8"/>
      <c r="U4" s="10"/>
      <c r="V4" s="10"/>
      <c r="W4" s="10"/>
      <c r="X4" s="10"/>
      <c r="Y4" s="10"/>
      <c r="Z4" s="10"/>
    </row>
    <row r="5" customFormat="false" ht="15" hidden="false" customHeight="false" outlineLevel="0" collapsed="false">
      <c r="C5" s="1" t="s">
        <v>9</v>
      </c>
      <c r="D5" s="1" t="s">
        <v>10</v>
      </c>
      <c r="E5" s="2" t="s">
        <v>10</v>
      </c>
      <c r="M5" s="1" t="s">
        <v>10</v>
      </c>
      <c r="P5" s="1" t="s">
        <v>10</v>
      </c>
      <c r="Q5" s="1" t="s">
        <v>10</v>
      </c>
      <c r="S5" s="11" t="s">
        <v>11</v>
      </c>
      <c r="W5" s="1" t="s">
        <v>12</v>
      </c>
      <c r="X5" s="1" t="s">
        <v>13</v>
      </c>
      <c r="Y5" s="1" t="s">
        <v>14</v>
      </c>
      <c r="Z5" s="1" t="s">
        <v>15</v>
      </c>
      <c r="AA5" s="1" t="s">
        <v>16</v>
      </c>
    </row>
    <row r="6" customFormat="false" ht="15" hidden="false" customHeight="false" outlineLevel="0" collapsed="false">
      <c r="B6" s="12" t="s">
        <v>17</v>
      </c>
      <c r="C6" s="12" t="s">
        <v>18</v>
      </c>
      <c r="D6" s="12" t="s">
        <v>19</v>
      </c>
      <c r="E6" s="13" t="s">
        <v>20</v>
      </c>
      <c r="F6" s="14" t="s">
        <v>21</v>
      </c>
      <c r="G6" s="14" t="s">
        <v>22</v>
      </c>
      <c r="H6" s="14" t="s">
        <v>23</v>
      </c>
      <c r="I6" s="14" t="s">
        <v>24</v>
      </c>
      <c r="J6" s="14"/>
      <c r="K6" s="15" t="s">
        <v>25</v>
      </c>
      <c r="L6" s="15" t="s">
        <v>26</v>
      </c>
      <c r="M6" s="13" t="s">
        <v>27</v>
      </c>
      <c r="N6" s="12" t="s">
        <v>28</v>
      </c>
      <c r="O6" s="12" t="s">
        <v>29</v>
      </c>
      <c r="P6" s="12" t="s">
        <v>7</v>
      </c>
      <c r="Q6" s="12" t="s">
        <v>30</v>
      </c>
      <c r="R6" s="12" t="s">
        <v>31</v>
      </c>
      <c r="S6" s="12" t="s">
        <v>32</v>
      </c>
      <c r="T6" s="12" t="s">
        <v>33</v>
      </c>
      <c r="U6" s="16" t="s">
        <v>34</v>
      </c>
      <c r="V6" s="16" t="s">
        <v>35</v>
      </c>
      <c r="W6" s="16"/>
      <c r="X6" s="16"/>
      <c r="Y6" s="16"/>
      <c r="Z6" s="16"/>
      <c r="AA6" s="16"/>
    </row>
    <row r="7" customFormat="false" ht="15" hidden="true" customHeight="false" outlineLevel="0" collapsed="false">
      <c r="B7" s="17" t="s">
        <v>36</v>
      </c>
      <c r="C7" s="17" t="s">
        <v>37</v>
      </c>
      <c r="D7" s="17" t="s">
        <v>38</v>
      </c>
      <c r="E7" s="17" t="s">
        <v>39</v>
      </c>
      <c r="F7" s="14" t="s">
        <v>40</v>
      </c>
      <c r="G7" s="3" t="s">
        <v>41</v>
      </c>
      <c r="H7" s="3" t="s">
        <v>42</v>
      </c>
      <c r="I7" s="14" t="s">
        <v>43</v>
      </c>
      <c r="J7" s="18" t="str">
        <f aca="false">F7&amp;"-"&amp;G7&amp;"-"&amp;H7&amp;"-"&amp;I7</f>
        <v>TSHIRT-UNDER WIRE-PADDED-BRA</v>
      </c>
      <c r="K7" s="19" t="s">
        <v>44</v>
      </c>
      <c r="L7" s="19" t="s">
        <v>45</v>
      </c>
      <c r="M7" s="17" t="s">
        <v>46</v>
      </c>
      <c r="N7" s="20" t="s">
        <v>47</v>
      </c>
      <c r="O7" s="17" t="s">
        <v>48</v>
      </c>
      <c r="P7" s="17" t="s">
        <v>49</v>
      </c>
      <c r="Q7" s="17" t="s">
        <v>50</v>
      </c>
      <c r="R7" s="21" t="n">
        <v>2413.8</v>
      </c>
      <c r="S7" s="21" t="n">
        <v>4700</v>
      </c>
      <c r="T7" s="21" t="n">
        <v>1</v>
      </c>
      <c r="U7" s="1" t="str">
        <f aca="false">D7&amp;"-"&amp;E7&amp;"-"&amp;M7&amp;"-"&amp;O7&amp;"-"&amp;P7&amp;"-"&amp;Q7</f>
        <v>FREYA-TEMPTRESS-AA400131-Blue-28-F</v>
      </c>
      <c r="V7" s="1" t="str">
        <f aca="false">J7</f>
        <v>TSHIRT-UNDER WIRE-PADDED-BRA</v>
      </c>
    </row>
    <row r="8" customFormat="false" ht="15" hidden="true" customHeight="false" outlineLevel="0" collapsed="false">
      <c r="B8" s="17" t="s">
        <v>51</v>
      </c>
      <c r="C8" s="17" t="s">
        <v>37</v>
      </c>
      <c r="D8" s="17" t="s">
        <v>38</v>
      </c>
      <c r="E8" s="17" t="s">
        <v>39</v>
      </c>
      <c r="F8" s="14" t="s">
        <v>40</v>
      </c>
      <c r="G8" s="3" t="s">
        <v>41</v>
      </c>
      <c r="H8" s="3" t="s">
        <v>42</v>
      </c>
      <c r="I8" s="14" t="s">
        <v>43</v>
      </c>
      <c r="J8" s="18" t="str">
        <f aca="false">F8&amp;"-"&amp;G8&amp;"-"&amp;H8&amp;"-"&amp;I8</f>
        <v>TSHIRT-UNDER WIRE-PADDED-BRA</v>
      </c>
      <c r="K8" s="19" t="s">
        <v>52</v>
      </c>
      <c r="L8" s="19" t="s">
        <v>45</v>
      </c>
      <c r="M8" s="17" t="s">
        <v>46</v>
      </c>
      <c r="N8" s="17" t="s">
        <v>53</v>
      </c>
      <c r="O8" s="17" t="s">
        <v>54</v>
      </c>
      <c r="P8" s="17" t="s">
        <v>55</v>
      </c>
      <c r="Q8" s="17" t="s">
        <v>56</v>
      </c>
      <c r="R8" s="21" t="n">
        <v>2413.8</v>
      </c>
      <c r="S8" s="21" t="n">
        <v>4700</v>
      </c>
      <c r="T8" s="21" t="n">
        <v>1</v>
      </c>
      <c r="U8" s="1" t="str">
        <f aca="false">D8&amp;"-"&amp;E8&amp;"-"&amp;M8&amp;"-"&amp;O8&amp;"-"&amp;P8&amp;"-"&amp;Q8</f>
        <v>FREYA-TEMPTRESS-AA400131-Red-30-DD</v>
      </c>
      <c r="V8" s="1" t="s">
        <v>57</v>
      </c>
    </row>
    <row r="9" customFormat="false" ht="15" hidden="true" customHeight="false" outlineLevel="0" collapsed="false">
      <c r="B9" s="17" t="s">
        <v>58</v>
      </c>
      <c r="C9" s="17" t="s">
        <v>37</v>
      </c>
      <c r="D9" s="17" t="s">
        <v>38</v>
      </c>
      <c r="E9" s="17" t="s">
        <v>39</v>
      </c>
      <c r="F9" s="14" t="s">
        <v>40</v>
      </c>
      <c r="G9" s="3" t="s">
        <v>41</v>
      </c>
      <c r="H9" s="3" t="s">
        <v>42</v>
      </c>
      <c r="I9" s="14" t="s">
        <v>43</v>
      </c>
      <c r="J9" s="18" t="str">
        <f aca="false">F9&amp;"-"&amp;G9&amp;"-"&amp;H9&amp;"-"&amp;I9</f>
        <v>TSHIRT-UNDER WIRE-PADDED-BRA</v>
      </c>
      <c r="K9" s="19" t="s">
        <v>59</v>
      </c>
      <c r="L9" s="19" t="s">
        <v>45</v>
      </c>
      <c r="M9" s="17" t="s">
        <v>46</v>
      </c>
      <c r="N9" s="17" t="s">
        <v>47</v>
      </c>
      <c r="O9" s="17" t="s">
        <v>48</v>
      </c>
      <c r="P9" s="17" t="s">
        <v>55</v>
      </c>
      <c r="Q9" s="17" t="s">
        <v>56</v>
      </c>
      <c r="R9" s="21" t="n">
        <v>2413.8</v>
      </c>
      <c r="S9" s="21" t="n">
        <v>4700</v>
      </c>
      <c r="T9" s="21" t="n">
        <v>1</v>
      </c>
      <c r="U9" s="1" t="str">
        <f aca="false">D9&amp;"-"&amp;E9&amp;"-"&amp;M9&amp;"-"&amp;O9&amp;"-"&amp;P9&amp;"-"&amp;Q9</f>
        <v>FREYA-TEMPTRESS-AA400131-Blue-30-DD</v>
      </c>
    </row>
    <row r="10" customFormat="false" ht="15" hidden="true" customHeight="false" outlineLevel="0" collapsed="false">
      <c r="B10" s="17" t="s">
        <v>60</v>
      </c>
      <c r="C10" s="17" t="s">
        <v>37</v>
      </c>
      <c r="D10" s="17" t="s">
        <v>38</v>
      </c>
      <c r="E10" s="17" t="s">
        <v>39</v>
      </c>
      <c r="F10" s="14" t="s">
        <v>40</v>
      </c>
      <c r="G10" s="3" t="s">
        <v>41</v>
      </c>
      <c r="H10" s="3" t="s">
        <v>42</v>
      </c>
      <c r="I10" s="14" t="s">
        <v>43</v>
      </c>
      <c r="J10" s="18" t="str">
        <f aca="false">F10&amp;"-"&amp;G10&amp;"-"&amp;H10&amp;"-"&amp;I10</f>
        <v>TSHIRT-UNDER WIRE-PADDED-BRA</v>
      </c>
      <c r="K10" s="19" t="s">
        <v>61</v>
      </c>
      <c r="L10" s="19" t="s">
        <v>45</v>
      </c>
      <c r="M10" s="17" t="s">
        <v>46</v>
      </c>
      <c r="N10" s="17" t="s">
        <v>47</v>
      </c>
      <c r="O10" s="17" t="s">
        <v>48</v>
      </c>
      <c r="P10" s="17" t="s">
        <v>55</v>
      </c>
      <c r="Q10" s="17" t="s">
        <v>62</v>
      </c>
      <c r="R10" s="21" t="n">
        <v>2413.8</v>
      </c>
      <c r="S10" s="21" t="n">
        <v>4700</v>
      </c>
      <c r="T10" s="21" t="n">
        <v>1</v>
      </c>
      <c r="U10" s="1" t="str">
        <f aca="false">D10&amp;"-"&amp;E10&amp;"-"&amp;M10&amp;"-"&amp;O10&amp;"-"&amp;P10&amp;"-"&amp;Q10</f>
        <v>FREYA-TEMPTRESS-AA400131-Blue-30-FF</v>
      </c>
    </row>
    <row r="11" customFormat="false" ht="15" hidden="true" customHeight="false" outlineLevel="0" collapsed="false">
      <c r="B11" s="17" t="s">
        <v>63</v>
      </c>
      <c r="C11" s="17" t="s">
        <v>37</v>
      </c>
      <c r="D11" s="17" t="s">
        <v>38</v>
      </c>
      <c r="E11" s="17" t="s">
        <v>39</v>
      </c>
      <c r="F11" s="14" t="s">
        <v>40</v>
      </c>
      <c r="G11" s="3" t="s">
        <v>41</v>
      </c>
      <c r="H11" s="3" t="s">
        <v>42</v>
      </c>
      <c r="I11" s="14" t="s">
        <v>43</v>
      </c>
      <c r="J11" s="18" t="str">
        <f aca="false">F11&amp;"-"&amp;G11&amp;"-"&amp;H11&amp;"-"&amp;I11</f>
        <v>TSHIRT-UNDER WIRE-PADDED-BRA</v>
      </c>
      <c r="K11" s="19" t="s">
        <v>64</v>
      </c>
      <c r="L11" s="19" t="s">
        <v>45</v>
      </c>
      <c r="M11" s="17" t="s">
        <v>46</v>
      </c>
      <c r="N11" s="17" t="s">
        <v>47</v>
      </c>
      <c r="O11" s="17" t="s">
        <v>48</v>
      </c>
      <c r="P11" s="17" t="s">
        <v>65</v>
      </c>
      <c r="Q11" s="17" t="s">
        <v>66</v>
      </c>
      <c r="R11" s="21" t="n">
        <v>2413.8</v>
      </c>
      <c r="S11" s="21" t="n">
        <v>4700</v>
      </c>
      <c r="T11" s="21" t="n">
        <v>1</v>
      </c>
      <c r="U11" s="1" t="str">
        <f aca="false">D11&amp;"-"&amp;E11&amp;"-"&amp;M11&amp;"-"&amp;O11&amp;"-"&amp;P11&amp;"-"&amp;Q11</f>
        <v>FREYA-TEMPTRESS-AA400131-Blue-36-E</v>
      </c>
    </row>
    <row r="12" customFormat="false" ht="15" hidden="true" customHeight="false" outlineLevel="0" collapsed="false">
      <c r="B12" s="17" t="s">
        <v>67</v>
      </c>
      <c r="C12" s="17" t="s">
        <v>37</v>
      </c>
      <c r="D12" s="17" t="s">
        <v>38</v>
      </c>
      <c r="E12" s="17" t="s">
        <v>68</v>
      </c>
      <c r="F12" s="14" t="s">
        <v>69</v>
      </c>
      <c r="G12" s="3" t="s">
        <v>41</v>
      </c>
      <c r="H12" s="14" t="s">
        <v>70</v>
      </c>
      <c r="I12" s="14" t="s">
        <v>43</v>
      </c>
      <c r="J12" s="18" t="str">
        <f aca="false">F12&amp;"-"&amp;G12&amp;"-"&amp;H12&amp;"-"&amp;I12</f>
        <v>BRALATTE-UNDER WIRE-NON PADDED-BRA</v>
      </c>
      <c r="K12" s="19" t="s">
        <v>71</v>
      </c>
      <c r="L12" s="19"/>
      <c r="M12" s="17" t="s">
        <v>71</v>
      </c>
      <c r="N12" s="17" t="s">
        <v>72</v>
      </c>
      <c r="O12" s="17" t="s">
        <v>73</v>
      </c>
      <c r="P12" s="17" t="s">
        <v>55</v>
      </c>
      <c r="Q12" s="17" t="s">
        <v>62</v>
      </c>
      <c r="R12" s="21" t="n">
        <v>1789</v>
      </c>
      <c r="S12" s="21" t="n">
        <v>3000</v>
      </c>
      <c r="T12" s="21" t="n">
        <v>1</v>
      </c>
      <c r="U12" s="1" t="str">
        <f aca="false">D12&amp;"-"&amp;E12&amp;"-"&amp;M12&amp;"-"&amp;O12&amp;"-"&amp;P12&amp;"-"&amp;Q12</f>
        <v>FREYA-SOIREE-AA5014-White-30-FF</v>
      </c>
    </row>
    <row r="13" customFormat="false" ht="15" hidden="true" customHeight="false" outlineLevel="0" collapsed="false">
      <c r="B13" s="17" t="s">
        <v>74</v>
      </c>
      <c r="C13" s="17" t="s">
        <v>37</v>
      </c>
      <c r="D13" s="17" t="s">
        <v>38</v>
      </c>
      <c r="E13" s="17" t="s">
        <v>68</v>
      </c>
      <c r="F13" s="14" t="s">
        <v>69</v>
      </c>
      <c r="G13" s="3" t="s">
        <v>41</v>
      </c>
      <c r="H13" s="14" t="s">
        <v>70</v>
      </c>
      <c r="I13" s="14" t="s">
        <v>43</v>
      </c>
      <c r="J13" s="18" t="str">
        <f aca="false">F13&amp;"-"&amp;G13&amp;"-"&amp;H13&amp;"-"&amp;I13</f>
        <v>BRALATTE-UNDER WIRE-NON PADDED-BRA</v>
      </c>
      <c r="K13" s="19" t="s">
        <v>71</v>
      </c>
      <c r="L13" s="19"/>
      <c r="M13" s="17" t="s">
        <v>71</v>
      </c>
      <c r="N13" s="17" t="s">
        <v>72</v>
      </c>
      <c r="O13" s="17" t="s">
        <v>73</v>
      </c>
      <c r="P13" s="17" t="s">
        <v>55</v>
      </c>
      <c r="Q13" s="17" t="s">
        <v>50</v>
      </c>
      <c r="R13" s="21" t="n">
        <v>1789</v>
      </c>
      <c r="S13" s="21" t="n">
        <v>3000</v>
      </c>
      <c r="T13" s="21" t="n">
        <v>1</v>
      </c>
      <c r="U13" s="1" t="str">
        <f aca="false">D13&amp;"-"&amp;E13&amp;"-"&amp;M13&amp;"-"&amp;O13&amp;"-"&amp;P13&amp;"-"&amp;Q13</f>
        <v>FREYA-SOIREE-AA5014-White-30-F</v>
      </c>
    </row>
    <row r="14" customFormat="false" ht="15" hidden="true" customHeight="false" outlineLevel="0" collapsed="false">
      <c r="B14" s="17" t="s">
        <v>75</v>
      </c>
      <c r="C14" s="17" t="s">
        <v>37</v>
      </c>
      <c r="D14" s="17" t="s">
        <v>38</v>
      </c>
      <c r="E14" s="17" t="s">
        <v>68</v>
      </c>
      <c r="F14" s="14" t="s">
        <v>69</v>
      </c>
      <c r="G14" s="3" t="s">
        <v>41</v>
      </c>
      <c r="H14" s="14" t="s">
        <v>70</v>
      </c>
      <c r="I14" s="14" t="s">
        <v>43</v>
      </c>
      <c r="J14" s="18" t="str">
        <f aca="false">F14&amp;"-"&amp;G14&amp;"-"&amp;H14&amp;"-"&amp;I14</f>
        <v>BRALATTE-UNDER WIRE-NON PADDED-BRA</v>
      </c>
      <c r="K14" s="19" t="s">
        <v>71</v>
      </c>
      <c r="L14" s="19"/>
      <c r="M14" s="17" t="s">
        <v>71</v>
      </c>
      <c r="N14" s="17" t="s">
        <v>76</v>
      </c>
      <c r="O14" s="17" t="s">
        <v>77</v>
      </c>
      <c r="P14" s="17" t="s">
        <v>55</v>
      </c>
      <c r="Q14" s="17" t="s">
        <v>50</v>
      </c>
      <c r="R14" s="21" t="n">
        <v>1789</v>
      </c>
      <c r="S14" s="21" t="n">
        <v>3000</v>
      </c>
      <c r="T14" s="21" t="n">
        <v>0</v>
      </c>
      <c r="U14" s="1" t="str">
        <f aca="false">D14&amp;"-"&amp;E14&amp;"-"&amp;M14&amp;"-"&amp;O14&amp;"-"&amp;P14&amp;"-"&amp;Q14</f>
        <v>FREYA-SOIREE-AA5014-BLACK-30-F</v>
      </c>
    </row>
    <row r="15" customFormat="false" ht="15" hidden="true" customHeight="false" outlineLevel="0" collapsed="false">
      <c r="B15" s="17" t="s">
        <v>78</v>
      </c>
      <c r="C15" s="17" t="s">
        <v>37</v>
      </c>
      <c r="D15" s="17" t="s">
        <v>38</v>
      </c>
      <c r="E15" s="17" t="s">
        <v>79</v>
      </c>
      <c r="F15" s="14" t="s">
        <v>80</v>
      </c>
      <c r="G15" s="3" t="s">
        <v>41</v>
      </c>
      <c r="H15" s="14" t="s">
        <v>70</v>
      </c>
      <c r="I15" s="14" t="s">
        <v>43</v>
      </c>
      <c r="J15" s="14"/>
      <c r="K15" s="19" t="s">
        <v>81</v>
      </c>
      <c r="L15" s="19" t="s">
        <v>45</v>
      </c>
      <c r="M15" s="17" t="s">
        <v>82</v>
      </c>
      <c r="N15" s="17" t="s">
        <v>83</v>
      </c>
      <c r="O15" s="17" t="s">
        <v>77</v>
      </c>
      <c r="P15" s="17" t="s">
        <v>55</v>
      </c>
      <c r="Q15" s="17" t="s">
        <v>56</v>
      </c>
      <c r="R15" s="21" t="n">
        <v>2011.5</v>
      </c>
      <c r="S15" s="21" t="n">
        <v>4500</v>
      </c>
      <c r="T15" s="21" t="n">
        <v>2</v>
      </c>
      <c r="U15" s="1" t="str">
        <f aca="false">D15&amp;"-"&amp;E15&amp;"-"&amp;M15&amp;"-"&amp;O15&amp;"-"&amp;P15&amp;"-"&amp;Q15</f>
        <v>FREYA-VIVA-AA5642-BLACK-30-DD</v>
      </c>
    </row>
    <row r="16" customFormat="false" ht="15" hidden="true" customHeight="false" outlineLevel="0" collapsed="false">
      <c r="B16" s="17" t="s">
        <v>84</v>
      </c>
      <c r="C16" s="17" t="s">
        <v>37</v>
      </c>
      <c r="D16" s="17" t="s">
        <v>38</v>
      </c>
      <c r="E16" s="17" t="s">
        <v>79</v>
      </c>
      <c r="F16" s="14" t="s">
        <v>80</v>
      </c>
      <c r="G16" s="3" t="s">
        <v>41</v>
      </c>
      <c r="H16" s="14" t="s">
        <v>70</v>
      </c>
      <c r="I16" s="14" t="s">
        <v>43</v>
      </c>
      <c r="J16" s="14"/>
      <c r="K16" s="19" t="s">
        <v>85</v>
      </c>
      <c r="L16" s="19" t="s">
        <v>45</v>
      </c>
      <c r="M16" s="17" t="s">
        <v>82</v>
      </c>
      <c r="N16" s="17" t="s">
        <v>83</v>
      </c>
      <c r="O16" s="17" t="s">
        <v>77</v>
      </c>
      <c r="P16" s="17" t="s">
        <v>55</v>
      </c>
      <c r="Q16" s="17" t="s">
        <v>66</v>
      </c>
      <c r="R16" s="21" t="n">
        <v>2011.5</v>
      </c>
      <c r="S16" s="21" t="n">
        <v>4500</v>
      </c>
      <c r="T16" s="21" t="n">
        <v>2</v>
      </c>
      <c r="U16" s="1" t="str">
        <f aca="false">D16&amp;"-"&amp;E16&amp;"-"&amp;M16&amp;"-"&amp;O16&amp;"-"&amp;P16&amp;"-"&amp;Q16</f>
        <v>FREYA-VIVA-AA5642-BLACK-30-E</v>
      </c>
    </row>
    <row r="17" customFormat="false" ht="15" hidden="true" customHeight="false" outlineLevel="0" collapsed="false">
      <c r="B17" s="17" t="s">
        <v>86</v>
      </c>
      <c r="C17" s="17" t="s">
        <v>37</v>
      </c>
      <c r="D17" s="17" t="s">
        <v>38</v>
      </c>
      <c r="E17" s="17" t="s">
        <v>79</v>
      </c>
      <c r="F17" s="14" t="s">
        <v>80</v>
      </c>
      <c r="G17" s="3" t="s">
        <v>41</v>
      </c>
      <c r="H17" s="14" t="s">
        <v>70</v>
      </c>
      <c r="I17" s="14" t="s">
        <v>43</v>
      </c>
      <c r="J17" s="14"/>
      <c r="K17" s="19" t="s">
        <v>87</v>
      </c>
      <c r="L17" s="19" t="s">
        <v>45</v>
      </c>
      <c r="M17" s="17" t="s">
        <v>82</v>
      </c>
      <c r="N17" s="17" t="s">
        <v>88</v>
      </c>
      <c r="O17" s="17" t="s">
        <v>89</v>
      </c>
      <c r="P17" s="17" t="s">
        <v>55</v>
      </c>
      <c r="Q17" s="17" t="s">
        <v>66</v>
      </c>
      <c r="R17" s="21" t="n">
        <v>2011.5</v>
      </c>
      <c r="S17" s="21" t="n">
        <v>4500</v>
      </c>
      <c r="T17" s="21" t="n">
        <v>1</v>
      </c>
      <c r="U17" s="1" t="str">
        <f aca="false">D17&amp;"-"&amp;E17&amp;"-"&amp;M17&amp;"-"&amp;O17&amp;"-"&amp;P17&amp;"-"&amp;Q17</f>
        <v>FREYA-VIVA-AA5642-BLUE-30-E</v>
      </c>
    </row>
    <row r="18" customFormat="false" ht="15" hidden="true" customHeight="false" outlineLevel="0" collapsed="false">
      <c r="B18" s="17" t="s">
        <v>90</v>
      </c>
      <c r="C18" s="17" t="s">
        <v>37</v>
      </c>
      <c r="D18" s="17" t="s">
        <v>38</v>
      </c>
      <c r="E18" s="17" t="s">
        <v>79</v>
      </c>
      <c r="F18" s="14" t="s">
        <v>80</v>
      </c>
      <c r="G18" s="3" t="s">
        <v>41</v>
      </c>
      <c r="H18" s="14" t="s">
        <v>70</v>
      </c>
      <c r="I18" s="14" t="s">
        <v>43</v>
      </c>
      <c r="J18" s="14"/>
      <c r="K18" s="19" t="s">
        <v>91</v>
      </c>
      <c r="L18" s="19" t="s">
        <v>45</v>
      </c>
      <c r="M18" s="17" t="s">
        <v>82</v>
      </c>
      <c r="N18" s="17" t="s">
        <v>83</v>
      </c>
      <c r="O18" s="17" t="s">
        <v>77</v>
      </c>
      <c r="P18" s="17" t="s">
        <v>92</v>
      </c>
      <c r="Q18" s="17" t="s">
        <v>56</v>
      </c>
      <c r="R18" s="21" t="n">
        <v>2011.5</v>
      </c>
      <c r="S18" s="21" t="n">
        <v>4500</v>
      </c>
      <c r="T18" s="21" t="n">
        <v>1</v>
      </c>
      <c r="U18" s="1" t="str">
        <f aca="false">D18&amp;"-"&amp;E18&amp;"-"&amp;M18&amp;"-"&amp;O18&amp;"-"&amp;P18&amp;"-"&amp;Q18</f>
        <v>FREYA-VIVA-AA5642-BLACK-32-DD</v>
      </c>
    </row>
    <row r="19" customFormat="false" ht="15" hidden="true" customHeight="false" outlineLevel="0" collapsed="false">
      <c r="B19" s="17" t="s">
        <v>93</v>
      </c>
      <c r="C19" s="17" t="s">
        <v>37</v>
      </c>
      <c r="D19" s="17" t="s">
        <v>38</v>
      </c>
      <c r="E19" s="17" t="s">
        <v>79</v>
      </c>
      <c r="F19" s="14" t="s">
        <v>80</v>
      </c>
      <c r="G19" s="3" t="s">
        <v>41</v>
      </c>
      <c r="H19" s="14" t="s">
        <v>70</v>
      </c>
      <c r="I19" s="14" t="s">
        <v>43</v>
      </c>
      <c r="J19" s="14"/>
      <c r="K19" s="19" t="s">
        <v>94</v>
      </c>
      <c r="L19" s="19" t="s">
        <v>45</v>
      </c>
      <c r="M19" s="17" t="s">
        <v>82</v>
      </c>
      <c r="N19" s="17" t="s">
        <v>83</v>
      </c>
      <c r="O19" s="17" t="s">
        <v>77</v>
      </c>
      <c r="P19" s="17" t="s">
        <v>92</v>
      </c>
      <c r="Q19" s="17" t="s">
        <v>66</v>
      </c>
      <c r="R19" s="21" t="n">
        <v>2011.5</v>
      </c>
      <c r="S19" s="21" t="n">
        <v>4500</v>
      </c>
      <c r="T19" s="21" t="n">
        <v>1</v>
      </c>
      <c r="U19" s="1" t="str">
        <f aca="false">D19&amp;"-"&amp;E19&amp;"-"&amp;M19&amp;"-"&amp;O19&amp;"-"&amp;P19&amp;"-"&amp;Q19</f>
        <v>FREYA-VIVA-AA5642-BLACK-32-E</v>
      </c>
    </row>
    <row r="20" customFormat="false" ht="15" hidden="true" customHeight="false" outlineLevel="0" collapsed="false">
      <c r="B20" s="17" t="s">
        <v>95</v>
      </c>
      <c r="C20" s="17" t="s">
        <v>37</v>
      </c>
      <c r="D20" s="17" t="s">
        <v>38</v>
      </c>
      <c r="E20" s="17" t="s">
        <v>79</v>
      </c>
      <c r="F20" s="14" t="s">
        <v>80</v>
      </c>
      <c r="G20" s="3" t="s">
        <v>41</v>
      </c>
      <c r="H20" s="14" t="s">
        <v>70</v>
      </c>
      <c r="I20" s="14" t="s">
        <v>43</v>
      </c>
      <c r="J20" s="14"/>
      <c r="K20" s="19" t="s">
        <v>96</v>
      </c>
      <c r="L20" s="19" t="s">
        <v>45</v>
      </c>
      <c r="M20" s="17" t="s">
        <v>82</v>
      </c>
      <c r="N20" s="17" t="s">
        <v>83</v>
      </c>
      <c r="O20" s="17" t="s">
        <v>77</v>
      </c>
      <c r="P20" s="17" t="s">
        <v>65</v>
      </c>
      <c r="Q20" s="17" t="s">
        <v>97</v>
      </c>
      <c r="R20" s="21" t="n">
        <v>2011.5</v>
      </c>
      <c r="S20" s="21" t="n">
        <v>4500</v>
      </c>
      <c r="T20" s="21" t="n">
        <v>1</v>
      </c>
      <c r="U20" s="1" t="str">
        <f aca="false">D20&amp;"-"&amp;E20&amp;"-"&amp;M20&amp;"-"&amp;O20&amp;"-"&amp;P20&amp;"-"&amp;Q20</f>
        <v>FREYA-VIVA-AA5642-BLACK-36-D</v>
      </c>
    </row>
    <row r="21" customFormat="false" ht="15" hidden="true" customHeight="false" outlineLevel="0" collapsed="false">
      <c r="B21" s="17" t="s">
        <v>98</v>
      </c>
      <c r="C21" s="17" t="s">
        <v>37</v>
      </c>
      <c r="D21" s="17" t="s">
        <v>38</v>
      </c>
      <c r="E21" s="17" t="s">
        <v>79</v>
      </c>
      <c r="F21" s="14" t="s">
        <v>80</v>
      </c>
      <c r="G21" s="3" t="s">
        <v>41</v>
      </c>
      <c r="H21" s="14" t="s">
        <v>70</v>
      </c>
      <c r="I21" s="14" t="s">
        <v>43</v>
      </c>
      <c r="J21" s="14"/>
      <c r="K21" s="19" t="s">
        <v>99</v>
      </c>
      <c r="L21" s="19" t="s">
        <v>45</v>
      </c>
      <c r="M21" s="17" t="s">
        <v>100</v>
      </c>
      <c r="N21" s="17" t="s">
        <v>88</v>
      </c>
      <c r="O21" s="17" t="s">
        <v>89</v>
      </c>
      <c r="P21" s="17" t="s">
        <v>65</v>
      </c>
      <c r="Q21" s="17" t="s">
        <v>97</v>
      </c>
      <c r="R21" s="21" t="n">
        <v>2011.5</v>
      </c>
      <c r="S21" s="21" t="n">
        <v>4500</v>
      </c>
      <c r="T21" s="21" t="n">
        <v>1</v>
      </c>
      <c r="U21" s="1" t="str">
        <f aca="false">D21&amp;"-"&amp;E21&amp;"-"&amp;M21&amp;"-"&amp;O21&amp;"-"&amp;P21&amp;"-"&amp;Q21</f>
        <v>FREYA-VIVA-AA5641-BLUE-36-D</v>
      </c>
    </row>
    <row r="22" customFormat="false" ht="15" hidden="true" customHeight="false" outlineLevel="0" collapsed="false">
      <c r="B22" s="17" t="s">
        <v>101</v>
      </c>
      <c r="C22" s="17" t="s">
        <v>37</v>
      </c>
      <c r="D22" s="17" t="s">
        <v>38</v>
      </c>
      <c r="E22" s="17" t="s">
        <v>102</v>
      </c>
      <c r="F22" s="14" t="s">
        <v>80</v>
      </c>
      <c r="G22" s="3" t="s">
        <v>41</v>
      </c>
      <c r="H22" s="14" t="s">
        <v>70</v>
      </c>
      <c r="I22" s="14" t="s">
        <v>43</v>
      </c>
      <c r="J22" s="14"/>
      <c r="K22" s="19" t="s">
        <v>99</v>
      </c>
      <c r="L22" s="19" t="s">
        <v>45</v>
      </c>
      <c r="M22" s="17" t="s">
        <v>100</v>
      </c>
      <c r="N22" s="17" t="s">
        <v>103</v>
      </c>
      <c r="O22" s="17" t="s">
        <v>104</v>
      </c>
      <c r="P22" s="17" t="s">
        <v>55</v>
      </c>
      <c r="Q22" s="17" t="s">
        <v>105</v>
      </c>
      <c r="R22" s="21" t="n">
        <v>2011.5</v>
      </c>
      <c r="S22" s="21" t="n">
        <v>4500</v>
      </c>
      <c r="T22" s="21" t="n">
        <v>1</v>
      </c>
      <c r="U22" s="1" t="str">
        <f aca="false">D22&amp;"-"&amp;E22&amp;"-"&amp;M22&amp;"-"&amp;O22&amp;"-"&amp;P22&amp;"-"&amp;Q22</f>
        <v>FREYA-TAILORED-AA5641-Light Pink-30-G</v>
      </c>
    </row>
    <row r="23" customFormat="false" ht="15" hidden="true" customHeight="false" outlineLevel="0" collapsed="false">
      <c r="B23" s="17" t="s">
        <v>106</v>
      </c>
      <c r="C23" s="17" t="s">
        <v>37</v>
      </c>
      <c r="D23" s="17" t="s">
        <v>38</v>
      </c>
      <c r="E23" s="17" t="s">
        <v>107</v>
      </c>
      <c r="F23" s="14" t="s">
        <v>40</v>
      </c>
      <c r="G23" s="3" t="s">
        <v>41</v>
      </c>
      <c r="H23" s="3" t="s">
        <v>42</v>
      </c>
      <c r="I23" s="14" t="s">
        <v>43</v>
      </c>
      <c r="J23" s="14"/>
      <c r="K23" s="19" t="s">
        <v>108</v>
      </c>
      <c r="L23" s="19"/>
      <c r="M23" s="17" t="s">
        <v>109</v>
      </c>
      <c r="N23" s="17" t="s">
        <v>110</v>
      </c>
      <c r="O23" s="17" t="s">
        <v>111</v>
      </c>
      <c r="P23" s="17" t="s">
        <v>49</v>
      </c>
      <c r="Q23" s="17" t="s">
        <v>50</v>
      </c>
      <c r="R23" s="21" t="n">
        <v>2574</v>
      </c>
      <c r="S23" s="21" t="n">
        <v>5700</v>
      </c>
      <c r="T23" s="22" t="s">
        <v>112</v>
      </c>
      <c r="U23" s="1" t="str">
        <f aca="false">D23&amp;"-"&amp;E23&amp;"-"&amp;M23&amp;"-"&amp;O23&amp;"-"&amp;P23&amp;"-"&amp;Q23</f>
        <v>FREYA-FREYA FANCIES-AA1030-Pink-28-F</v>
      </c>
      <c r="W23" s="1" t="s">
        <v>113</v>
      </c>
    </row>
    <row r="24" customFormat="false" ht="15" hidden="true" customHeight="false" outlineLevel="0" collapsed="false">
      <c r="B24" s="17" t="s">
        <v>114</v>
      </c>
      <c r="C24" s="17" t="s">
        <v>37</v>
      </c>
      <c r="D24" s="17" t="s">
        <v>38</v>
      </c>
      <c r="E24" s="17" t="s">
        <v>107</v>
      </c>
      <c r="F24" s="14" t="s">
        <v>40</v>
      </c>
      <c r="G24" s="3" t="s">
        <v>41</v>
      </c>
      <c r="H24" s="3" t="s">
        <v>42</v>
      </c>
      <c r="I24" s="14" t="s">
        <v>43</v>
      </c>
      <c r="J24" s="14"/>
      <c r="K24" s="19" t="s">
        <v>108</v>
      </c>
      <c r="L24" s="19"/>
      <c r="M24" s="17" t="s">
        <v>115</v>
      </c>
      <c r="N24" s="17" t="s">
        <v>110</v>
      </c>
      <c r="O24" s="17" t="s">
        <v>111</v>
      </c>
      <c r="P24" s="17" t="s">
        <v>55</v>
      </c>
      <c r="Q24" s="17" t="s">
        <v>66</v>
      </c>
      <c r="R24" s="21" t="n">
        <v>2574</v>
      </c>
      <c r="S24" s="21" t="n">
        <v>5700</v>
      </c>
      <c r="T24" s="22" t="s">
        <v>112</v>
      </c>
      <c r="U24" s="1" t="str">
        <f aca="false">D24&amp;"-"&amp;E24&amp;"-"&amp;M24&amp;"-"&amp;O24&amp;"-"&amp;P24&amp;"-"&amp;Q24</f>
        <v>FREYA-FREYA FANCIES-AA1027-Pink-30-E</v>
      </c>
      <c r="W24" s="1" t="s">
        <v>113</v>
      </c>
    </row>
    <row r="25" customFormat="false" ht="15" hidden="true" customHeight="false" outlineLevel="0" collapsed="false">
      <c r="B25" s="17" t="s">
        <v>116</v>
      </c>
      <c r="C25" s="17" t="s">
        <v>37</v>
      </c>
      <c r="D25" s="17" t="s">
        <v>38</v>
      </c>
      <c r="E25" s="17" t="s">
        <v>107</v>
      </c>
      <c r="F25" s="14" t="s">
        <v>40</v>
      </c>
      <c r="G25" s="3" t="s">
        <v>41</v>
      </c>
      <c r="H25" s="3" t="s">
        <v>42</v>
      </c>
      <c r="I25" s="14" t="s">
        <v>43</v>
      </c>
      <c r="J25" s="14"/>
      <c r="K25" s="19" t="s">
        <v>117</v>
      </c>
      <c r="L25" s="19"/>
      <c r="M25" s="17" t="s">
        <v>118</v>
      </c>
      <c r="N25" s="17" t="s">
        <v>119</v>
      </c>
      <c r="O25" s="17" t="s">
        <v>120</v>
      </c>
      <c r="P25" s="17" t="s">
        <v>55</v>
      </c>
      <c r="Q25" s="17" t="s">
        <v>66</v>
      </c>
      <c r="R25" s="21" t="n">
        <v>3250</v>
      </c>
      <c r="S25" s="21" t="n">
        <v>5700</v>
      </c>
      <c r="T25" s="22" t="s">
        <v>121</v>
      </c>
      <c r="U25" s="1" t="str">
        <f aca="false">D25&amp;"-"&amp;E25&amp;"-"&amp;M25&amp;"-"&amp;O25&amp;"-"&amp;P25&amp;"-"&amp;Q25</f>
        <v>FREYA-FREYA FANCIES-AA1028-Skin-30-E</v>
      </c>
      <c r="W25" s="1" t="s">
        <v>113</v>
      </c>
    </row>
    <row r="26" customFormat="false" ht="15" hidden="true" customHeight="false" outlineLevel="0" collapsed="false">
      <c r="B26" s="17" t="s">
        <v>122</v>
      </c>
      <c r="C26" s="17" t="s">
        <v>37</v>
      </c>
      <c r="D26" s="17" t="s">
        <v>38</v>
      </c>
      <c r="E26" s="17" t="s">
        <v>107</v>
      </c>
      <c r="F26" s="14" t="s">
        <v>40</v>
      </c>
      <c r="G26" s="3" t="s">
        <v>41</v>
      </c>
      <c r="H26" s="3" t="s">
        <v>42</v>
      </c>
      <c r="I26" s="14" t="s">
        <v>43</v>
      </c>
      <c r="J26" s="14"/>
      <c r="K26" s="19" t="s">
        <v>117</v>
      </c>
      <c r="L26" s="19"/>
      <c r="M26" s="17" t="s">
        <v>123</v>
      </c>
      <c r="N26" s="17" t="s">
        <v>110</v>
      </c>
      <c r="O26" s="17" t="s">
        <v>111</v>
      </c>
      <c r="P26" s="17" t="s">
        <v>55</v>
      </c>
      <c r="Q26" s="17" t="s">
        <v>50</v>
      </c>
      <c r="R26" s="21" t="n">
        <v>2574</v>
      </c>
      <c r="S26" s="21" t="n">
        <v>5700</v>
      </c>
      <c r="T26" s="22" t="s">
        <v>112</v>
      </c>
      <c r="U26" s="1" t="str">
        <f aca="false">D26&amp;"-"&amp;E26&amp;"-"&amp;M26&amp;"-"&amp;O26&amp;"-"&amp;P26&amp;"-"&amp;Q26</f>
        <v>FREYA-FREYA FANCIES-AA1029-Pink-30-F</v>
      </c>
      <c r="W26" s="1" t="s">
        <v>113</v>
      </c>
    </row>
    <row r="27" customFormat="false" ht="15" hidden="true" customHeight="false" outlineLevel="0" collapsed="false">
      <c r="B27" s="17" t="s">
        <v>124</v>
      </c>
      <c r="C27" s="17" t="s">
        <v>37</v>
      </c>
      <c r="D27" s="17" t="s">
        <v>38</v>
      </c>
      <c r="E27" s="17" t="s">
        <v>107</v>
      </c>
      <c r="F27" s="14" t="s">
        <v>40</v>
      </c>
      <c r="G27" s="3" t="s">
        <v>41</v>
      </c>
      <c r="H27" s="3" t="s">
        <v>42</v>
      </c>
      <c r="I27" s="14" t="s">
        <v>43</v>
      </c>
      <c r="J27" s="14"/>
      <c r="K27" s="19"/>
      <c r="L27" s="19"/>
      <c r="M27" s="17" t="s">
        <v>109</v>
      </c>
      <c r="N27" s="17" t="s">
        <v>119</v>
      </c>
      <c r="O27" s="17" t="s">
        <v>120</v>
      </c>
      <c r="P27" s="17" t="s">
        <v>55</v>
      </c>
      <c r="Q27" s="17" t="s">
        <v>105</v>
      </c>
      <c r="R27" s="21" t="n">
        <v>3250</v>
      </c>
      <c r="S27" s="21" t="n">
        <v>5700</v>
      </c>
      <c r="T27" s="23" t="n">
        <v>1</v>
      </c>
      <c r="U27" s="1" t="str">
        <f aca="false">D27&amp;"-"&amp;E27&amp;"-"&amp;M27&amp;"-"&amp;O27&amp;"-"&amp;P27&amp;"-"&amp;Q27</f>
        <v>FREYA-FREYA FANCIES-AA1030-Skin-30-G</v>
      </c>
      <c r="W27" s="1" t="s">
        <v>113</v>
      </c>
    </row>
    <row r="28" customFormat="false" ht="15" hidden="true" customHeight="false" outlineLevel="0" collapsed="false">
      <c r="B28" s="17" t="s">
        <v>116</v>
      </c>
      <c r="C28" s="17" t="s">
        <v>37</v>
      </c>
      <c r="D28" s="17" t="s">
        <v>38</v>
      </c>
      <c r="E28" s="17" t="s">
        <v>107</v>
      </c>
      <c r="F28" s="14" t="s">
        <v>40</v>
      </c>
      <c r="G28" s="3" t="s">
        <v>41</v>
      </c>
      <c r="H28" s="3" t="s">
        <v>42</v>
      </c>
      <c r="I28" s="14" t="s">
        <v>43</v>
      </c>
      <c r="J28" s="14"/>
      <c r="K28" s="19"/>
      <c r="L28" s="19"/>
      <c r="M28" s="17" t="s">
        <v>109</v>
      </c>
      <c r="N28" s="17" t="s">
        <v>119</v>
      </c>
      <c r="O28" s="17" t="s">
        <v>120</v>
      </c>
      <c r="P28" s="17" t="s">
        <v>92</v>
      </c>
      <c r="Q28" s="17" t="s">
        <v>66</v>
      </c>
      <c r="R28" s="21" t="n">
        <v>3250</v>
      </c>
      <c r="S28" s="21" t="n">
        <v>5700</v>
      </c>
      <c r="T28" s="23" t="n">
        <v>2</v>
      </c>
      <c r="U28" s="1" t="str">
        <f aca="false">D28&amp;"-"&amp;E28&amp;"-"&amp;M28&amp;"-"&amp;O28&amp;"-"&amp;P28&amp;"-"&amp;Q28</f>
        <v>FREYA-FREYA FANCIES-AA1030-Skin-32-E</v>
      </c>
      <c r="W28" s="1" t="s">
        <v>113</v>
      </c>
    </row>
    <row r="29" customFormat="false" ht="15" hidden="true" customHeight="false" outlineLevel="0" collapsed="false">
      <c r="B29" s="17" t="s">
        <v>125</v>
      </c>
      <c r="C29" s="17" t="s">
        <v>37</v>
      </c>
      <c r="D29" s="17" t="s">
        <v>38</v>
      </c>
      <c r="E29" s="17" t="s">
        <v>107</v>
      </c>
      <c r="F29" s="14" t="s">
        <v>40</v>
      </c>
      <c r="G29" s="3" t="s">
        <v>41</v>
      </c>
      <c r="H29" s="3" t="s">
        <v>42</v>
      </c>
      <c r="I29" s="14" t="s">
        <v>43</v>
      </c>
      <c r="J29" s="14"/>
      <c r="K29" s="19"/>
      <c r="L29" s="19"/>
      <c r="M29" s="17" t="s">
        <v>109</v>
      </c>
      <c r="N29" s="17" t="s">
        <v>119</v>
      </c>
      <c r="O29" s="17" t="s">
        <v>120</v>
      </c>
      <c r="P29" s="17" t="s">
        <v>92</v>
      </c>
      <c r="Q29" s="17" t="s">
        <v>50</v>
      </c>
      <c r="R29" s="21" t="n">
        <v>3250</v>
      </c>
      <c r="S29" s="21" t="n">
        <v>5700</v>
      </c>
      <c r="T29" s="23" t="n">
        <v>0</v>
      </c>
      <c r="U29" s="1" t="str">
        <f aca="false">D29&amp;"-"&amp;E29&amp;"-"&amp;M29&amp;"-"&amp;O29&amp;"-"&amp;P29&amp;"-"&amp;Q29</f>
        <v>FREYA-FREYA FANCIES-AA1030-Skin-32-F</v>
      </c>
      <c r="W29" s="1" t="s">
        <v>113</v>
      </c>
    </row>
    <row r="30" customFormat="false" ht="15" hidden="true" customHeight="false" outlineLevel="0" collapsed="false">
      <c r="B30" s="17" t="s">
        <v>126</v>
      </c>
      <c r="C30" s="17" t="s">
        <v>37</v>
      </c>
      <c r="D30" s="17" t="s">
        <v>38</v>
      </c>
      <c r="E30" s="17" t="s">
        <v>107</v>
      </c>
      <c r="F30" s="14" t="s">
        <v>40</v>
      </c>
      <c r="G30" s="3" t="s">
        <v>41</v>
      </c>
      <c r="H30" s="3" t="s">
        <v>42</v>
      </c>
      <c r="I30" s="14" t="s">
        <v>43</v>
      </c>
      <c r="J30" s="14"/>
      <c r="K30" s="19"/>
      <c r="L30" s="19"/>
      <c r="M30" s="17" t="s">
        <v>109</v>
      </c>
      <c r="N30" s="17" t="s">
        <v>119</v>
      </c>
      <c r="O30" s="17" t="s">
        <v>120</v>
      </c>
      <c r="P30" s="17" t="s">
        <v>92</v>
      </c>
      <c r="Q30" s="17" t="s">
        <v>62</v>
      </c>
      <c r="R30" s="21" t="n">
        <v>3250</v>
      </c>
      <c r="S30" s="21" t="n">
        <v>5700</v>
      </c>
      <c r="T30" s="23" t="n">
        <v>3</v>
      </c>
      <c r="U30" s="1" t="str">
        <f aca="false">D30&amp;"-"&amp;E30&amp;"-"&amp;M30&amp;"-"&amp;O30&amp;"-"&amp;P30&amp;"-"&amp;Q30</f>
        <v>FREYA-FREYA FANCIES-AA1030-Skin-32-FF</v>
      </c>
      <c r="W30" s="1" t="s">
        <v>113</v>
      </c>
    </row>
    <row r="31" customFormat="false" ht="15" hidden="true" customHeight="false" outlineLevel="0" collapsed="false">
      <c r="B31" s="17" t="s">
        <v>127</v>
      </c>
      <c r="C31" s="17" t="s">
        <v>37</v>
      </c>
      <c r="D31" s="17" t="s">
        <v>38</v>
      </c>
      <c r="E31" s="17" t="s">
        <v>107</v>
      </c>
      <c r="F31" s="14" t="s">
        <v>40</v>
      </c>
      <c r="G31" s="3" t="s">
        <v>41</v>
      </c>
      <c r="H31" s="3" t="s">
        <v>42</v>
      </c>
      <c r="I31" s="14" t="s">
        <v>43</v>
      </c>
      <c r="J31" s="14"/>
      <c r="K31" s="19"/>
      <c r="L31" s="19"/>
      <c r="M31" s="17" t="s">
        <v>109</v>
      </c>
      <c r="N31" s="17" t="s">
        <v>119</v>
      </c>
      <c r="O31" s="17" t="s">
        <v>120</v>
      </c>
      <c r="P31" s="17" t="s">
        <v>92</v>
      </c>
      <c r="Q31" s="17" t="s">
        <v>105</v>
      </c>
      <c r="R31" s="21" t="n">
        <v>3250</v>
      </c>
      <c r="S31" s="21" t="n">
        <v>5700</v>
      </c>
      <c r="T31" s="23" t="n">
        <v>2</v>
      </c>
      <c r="U31" s="1" t="str">
        <f aca="false">D31&amp;"-"&amp;E31&amp;"-"&amp;M31&amp;"-"&amp;O31&amp;"-"&amp;P31&amp;"-"&amp;Q31</f>
        <v>FREYA-FREYA FANCIES-AA1030-Skin-32-G</v>
      </c>
      <c r="W31" s="1" t="s">
        <v>113</v>
      </c>
    </row>
    <row r="32" customFormat="false" ht="15" hidden="true" customHeight="false" outlineLevel="0" collapsed="false">
      <c r="B32" s="17" t="s">
        <v>128</v>
      </c>
      <c r="C32" s="17" t="s">
        <v>37</v>
      </c>
      <c r="D32" s="17" t="s">
        <v>38</v>
      </c>
      <c r="E32" s="17" t="s">
        <v>107</v>
      </c>
      <c r="F32" s="14" t="s">
        <v>40</v>
      </c>
      <c r="G32" s="3" t="s">
        <v>41</v>
      </c>
      <c r="H32" s="3" t="s">
        <v>42</v>
      </c>
      <c r="I32" s="14" t="s">
        <v>43</v>
      </c>
      <c r="J32" s="14"/>
      <c r="K32" s="19"/>
      <c r="L32" s="19"/>
      <c r="M32" s="17" t="s">
        <v>109</v>
      </c>
      <c r="N32" s="17" t="s">
        <v>119</v>
      </c>
      <c r="O32" s="17" t="s">
        <v>120</v>
      </c>
      <c r="P32" s="17" t="s">
        <v>92</v>
      </c>
      <c r="Q32" s="17" t="s">
        <v>129</v>
      </c>
      <c r="R32" s="21" t="n">
        <v>3250</v>
      </c>
      <c r="S32" s="21" t="n">
        <v>5700</v>
      </c>
      <c r="T32" s="23" t="n">
        <v>1</v>
      </c>
      <c r="U32" s="1" t="str">
        <f aca="false">D32&amp;"-"&amp;E32&amp;"-"&amp;M32&amp;"-"&amp;O32&amp;"-"&amp;P32&amp;"-"&amp;Q32</f>
        <v>FREYA-FREYA FANCIES-AA1030-Skin-32-GG</v>
      </c>
      <c r="W32" s="1" t="s">
        <v>113</v>
      </c>
    </row>
    <row r="33" customFormat="false" ht="15" hidden="true" customHeight="false" outlineLevel="0" collapsed="false">
      <c r="B33" s="17" t="s">
        <v>130</v>
      </c>
      <c r="C33" s="17" t="s">
        <v>37</v>
      </c>
      <c r="D33" s="17" t="s">
        <v>38</v>
      </c>
      <c r="E33" s="17" t="s">
        <v>107</v>
      </c>
      <c r="F33" s="14" t="s">
        <v>40</v>
      </c>
      <c r="G33" s="3" t="s">
        <v>41</v>
      </c>
      <c r="H33" s="3" t="s">
        <v>42</v>
      </c>
      <c r="I33" s="14" t="s">
        <v>43</v>
      </c>
      <c r="J33" s="14"/>
      <c r="K33" s="19"/>
      <c r="L33" s="19"/>
      <c r="M33" s="17" t="s">
        <v>109</v>
      </c>
      <c r="N33" s="17" t="s">
        <v>110</v>
      </c>
      <c r="O33" s="17" t="s">
        <v>111</v>
      </c>
      <c r="P33" s="17" t="s">
        <v>92</v>
      </c>
      <c r="Q33" s="17" t="s">
        <v>131</v>
      </c>
      <c r="R33" s="21" t="n">
        <v>2574</v>
      </c>
      <c r="S33" s="21" t="n">
        <v>5700</v>
      </c>
      <c r="T33" s="23" t="n">
        <v>1</v>
      </c>
      <c r="U33" s="1" t="str">
        <f aca="false">D33&amp;"-"&amp;E33&amp;"-"&amp;M33&amp;"-"&amp;O33&amp;"-"&amp;P33&amp;"-"&amp;Q33</f>
        <v>FREYA-FREYA FANCIES-AA1030-Pink-32-HH</v>
      </c>
      <c r="W33" s="1" t="s">
        <v>113</v>
      </c>
    </row>
    <row r="34" customFormat="false" ht="15" hidden="true" customHeight="false" outlineLevel="0" collapsed="false">
      <c r="B34" s="17" t="s">
        <v>132</v>
      </c>
      <c r="C34" s="17" t="s">
        <v>37</v>
      </c>
      <c r="D34" s="17" t="s">
        <v>38</v>
      </c>
      <c r="E34" s="17" t="s">
        <v>107</v>
      </c>
      <c r="F34" s="14" t="s">
        <v>40</v>
      </c>
      <c r="G34" s="3" t="s">
        <v>41</v>
      </c>
      <c r="H34" s="3" t="s">
        <v>42</v>
      </c>
      <c r="I34" s="14" t="s">
        <v>43</v>
      </c>
      <c r="J34" s="14"/>
      <c r="K34" s="19"/>
      <c r="L34" s="19"/>
      <c r="M34" s="17" t="s">
        <v>133</v>
      </c>
      <c r="N34" s="17" t="s">
        <v>119</v>
      </c>
      <c r="O34" s="17" t="s">
        <v>120</v>
      </c>
      <c r="P34" s="17" t="s">
        <v>134</v>
      </c>
      <c r="Q34" s="17" t="s">
        <v>56</v>
      </c>
      <c r="R34" s="21" t="n">
        <v>3250</v>
      </c>
      <c r="S34" s="21" t="n">
        <v>5700</v>
      </c>
      <c r="T34" s="23" t="n">
        <v>1</v>
      </c>
      <c r="U34" s="1" t="str">
        <f aca="false">D34&amp;"-"&amp;E34&amp;"-"&amp;M34&amp;"-"&amp;O34&amp;"-"&amp;P34&amp;"-"&amp;Q34</f>
        <v>FREYA-FREYA FANCIES-AA1031-Skin-34-DD</v>
      </c>
      <c r="W34" s="1" t="s">
        <v>113</v>
      </c>
    </row>
    <row r="35" customFormat="false" ht="15" hidden="true" customHeight="false" outlineLevel="0" collapsed="false">
      <c r="B35" s="17" t="s">
        <v>135</v>
      </c>
      <c r="C35" s="17" t="s">
        <v>37</v>
      </c>
      <c r="D35" s="17" t="s">
        <v>38</v>
      </c>
      <c r="E35" s="17" t="s">
        <v>107</v>
      </c>
      <c r="F35" s="14" t="s">
        <v>40</v>
      </c>
      <c r="G35" s="3" t="s">
        <v>41</v>
      </c>
      <c r="H35" s="3" t="s">
        <v>42</v>
      </c>
      <c r="I35" s="14" t="s">
        <v>43</v>
      </c>
      <c r="J35" s="14"/>
      <c r="K35" s="19"/>
      <c r="L35" s="19"/>
      <c r="M35" s="17" t="s">
        <v>109</v>
      </c>
      <c r="N35" s="17" t="s">
        <v>119</v>
      </c>
      <c r="O35" s="17" t="s">
        <v>120</v>
      </c>
      <c r="P35" s="17" t="s">
        <v>134</v>
      </c>
      <c r="Q35" s="17" t="s">
        <v>66</v>
      </c>
      <c r="R35" s="21" t="n">
        <v>3250</v>
      </c>
      <c r="S35" s="21" t="n">
        <v>5700</v>
      </c>
      <c r="T35" s="23" t="n">
        <v>1</v>
      </c>
      <c r="U35" s="1" t="str">
        <f aca="false">D35&amp;"-"&amp;E35&amp;"-"&amp;M35&amp;"-"&amp;O35&amp;"-"&amp;P35&amp;"-"&amp;Q35</f>
        <v>FREYA-FREYA FANCIES-AA1030-Skin-34-E</v>
      </c>
      <c r="W35" s="1" t="s">
        <v>113</v>
      </c>
    </row>
    <row r="36" customFormat="false" ht="15" hidden="true" customHeight="false" outlineLevel="0" collapsed="false">
      <c r="B36" s="17" t="s">
        <v>136</v>
      </c>
      <c r="C36" s="17" t="s">
        <v>37</v>
      </c>
      <c r="D36" s="17" t="s">
        <v>38</v>
      </c>
      <c r="E36" s="17" t="s">
        <v>107</v>
      </c>
      <c r="F36" s="14" t="s">
        <v>40</v>
      </c>
      <c r="G36" s="3" t="s">
        <v>41</v>
      </c>
      <c r="H36" s="3" t="s">
        <v>42</v>
      </c>
      <c r="I36" s="14" t="s">
        <v>43</v>
      </c>
      <c r="J36" s="14"/>
      <c r="K36" s="19"/>
      <c r="L36" s="19"/>
      <c r="M36" s="17" t="s">
        <v>109</v>
      </c>
      <c r="N36" s="17" t="s">
        <v>137</v>
      </c>
      <c r="O36" s="17" t="s">
        <v>138</v>
      </c>
      <c r="P36" s="17" t="s">
        <v>134</v>
      </c>
      <c r="Q36" s="17" t="s">
        <v>66</v>
      </c>
      <c r="R36" s="21" t="n">
        <v>2574</v>
      </c>
      <c r="S36" s="21" t="n">
        <v>5700</v>
      </c>
      <c r="T36" s="23" t="n">
        <v>1</v>
      </c>
      <c r="U36" s="1" t="str">
        <f aca="false">D36&amp;"-"&amp;E36&amp;"-"&amp;M36&amp;"-"&amp;O36&amp;"-"&amp;P36&amp;"-"&amp;Q36</f>
        <v>FREYA-FREYA FANCIES-AA1030-Light Purple-34-E</v>
      </c>
      <c r="W36" s="1" t="s">
        <v>113</v>
      </c>
    </row>
    <row r="37" customFormat="false" ht="15" hidden="true" customHeight="false" outlineLevel="0" collapsed="false">
      <c r="B37" s="17" t="s">
        <v>135</v>
      </c>
      <c r="C37" s="17" t="s">
        <v>37</v>
      </c>
      <c r="D37" s="17" t="s">
        <v>38</v>
      </c>
      <c r="E37" s="17" t="s">
        <v>107</v>
      </c>
      <c r="F37" s="14" t="s">
        <v>40</v>
      </c>
      <c r="G37" s="3" t="s">
        <v>41</v>
      </c>
      <c r="H37" s="3" t="s">
        <v>42</v>
      </c>
      <c r="I37" s="14" t="s">
        <v>43</v>
      </c>
      <c r="J37" s="14"/>
      <c r="K37" s="19"/>
      <c r="L37" s="19"/>
      <c r="M37" s="17" t="s">
        <v>109</v>
      </c>
      <c r="N37" s="17" t="s">
        <v>119</v>
      </c>
      <c r="O37" s="17" t="s">
        <v>120</v>
      </c>
      <c r="P37" s="17" t="s">
        <v>134</v>
      </c>
      <c r="Q37" s="17" t="s">
        <v>50</v>
      </c>
      <c r="R37" s="21" t="n">
        <v>3250</v>
      </c>
      <c r="S37" s="21" t="n">
        <v>5700</v>
      </c>
      <c r="T37" s="23" t="n">
        <v>1</v>
      </c>
      <c r="U37" s="1" t="str">
        <f aca="false">D37&amp;"-"&amp;E37&amp;"-"&amp;M37&amp;"-"&amp;O37&amp;"-"&amp;P37&amp;"-"&amp;Q37</f>
        <v>FREYA-FREYA FANCIES-AA1030-Skin-34-F</v>
      </c>
      <c r="W37" s="1" t="s">
        <v>113</v>
      </c>
    </row>
    <row r="38" customFormat="false" ht="15" hidden="true" customHeight="false" outlineLevel="0" collapsed="false">
      <c r="B38" s="17" t="s">
        <v>139</v>
      </c>
      <c r="C38" s="17" t="s">
        <v>37</v>
      </c>
      <c r="D38" s="17" t="s">
        <v>38</v>
      </c>
      <c r="E38" s="17" t="s">
        <v>107</v>
      </c>
      <c r="F38" s="14" t="s">
        <v>40</v>
      </c>
      <c r="G38" s="3" t="s">
        <v>41</v>
      </c>
      <c r="H38" s="3" t="s">
        <v>42</v>
      </c>
      <c r="I38" s="14" t="s">
        <v>43</v>
      </c>
      <c r="J38" s="14"/>
      <c r="K38" s="19"/>
      <c r="L38" s="19"/>
      <c r="M38" s="17" t="s">
        <v>109</v>
      </c>
      <c r="N38" s="17" t="s">
        <v>119</v>
      </c>
      <c r="O38" s="17" t="s">
        <v>120</v>
      </c>
      <c r="P38" s="17" t="s">
        <v>134</v>
      </c>
      <c r="Q38" s="17" t="s">
        <v>62</v>
      </c>
      <c r="R38" s="21" t="n">
        <v>3250</v>
      </c>
      <c r="S38" s="21" t="n">
        <v>5700</v>
      </c>
      <c r="T38" s="23" t="n">
        <v>1</v>
      </c>
      <c r="U38" s="1" t="str">
        <f aca="false">D38&amp;"-"&amp;E38&amp;"-"&amp;M38&amp;"-"&amp;O38&amp;"-"&amp;P38&amp;"-"&amp;Q38</f>
        <v>FREYA-FREYA FANCIES-AA1030-Skin-34-FF</v>
      </c>
      <c r="W38" s="1" t="s">
        <v>113</v>
      </c>
    </row>
    <row r="39" customFormat="false" ht="15" hidden="true" customHeight="false" outlineLevel="0" collapsed="false">
      <c r="B39" s="17" t="s">
        <v>140</v>
      </c>
      <c r="C39" s="17" t="s">
        <v>37</v>
      </c>
      <c r="D39" s="17" t="s">
        <v>38</v>
      </c>
      <c r="E39" s="17" t="s">
        <v>107</v>
      </c>
      <c r="F39" s="14" t="s">
        <v>40</v>
      </c>
      <c r="G39" s="3" t="s">
        <v>41</v>
      </c>
      <c r="H39" s="3" t="s">
        <v>42</v>
      </c>
      <c r="I39" s="14" t="s">
        <v>43</v>
      </c>
      <c r="J39" s="14"/>
      <c r="K39" s="19"/>
      <c r="L39" s="19"/>
      <c r="M39" s="17" t="s">
        <v>109</v>
      </c>
      <c r="N39" s="17" t="s">
        <v>119</v>
      </c>
      <c r="O39" s="17" t="s">
        <v>120</v>
      </c>
      <c r="P39" s="17" t="s">
        <v>134</v>
      </c>
      <c r="Q39" s="17" t="s">
        <v>105</v>
      </c>
      <c r="R39" s="21" t="n">
        <v>3250</v>
      </c>
      <c r="S39" s="21" t="n">
        <v>5700</v>
      </c>
      <c r="T39" s="23" t="n">
        <v>2</v>
      </c>
      <c r="U39" s="1" t="str">
        <f aca="false">D39&amp;"-"&amp;E39&amp;"-"&amp;M39&amp;"-"&amp;O39&amp;"-"&amp;P39&amp;"-"&amp;Q39</f>
        <v>FREYA-FREYA FANCIES-AA1030-Skin-34-G</v>
      </c>
      <c r="W39" s="1" t="s">
        <v>113</v>
      </c>
    </row>
    <row r="40" customFormat="false" ht="15" hidden="true" customHeight="false" outlineLevel="0" collapsed="false">
      <c r="B40" s="17" t="s">
        <v>141</v>
      </c>
      <c r="C40" s="17" t="s">
        <v>37</v>
      </c>
      <c r="D40" s="17" t="s">
        <v>38</v>
      </c>
      <c r="E40" s="17" t="s">
        <v>107</v>
      </c>
      <c r="F40" s="14" t="s">
        <v>40</v>
      </c>
      <c r="G40" s="3" t="s">
        <v>41</v>
      </c>
      <c r="H40" s="3" t="s">
        <v>42</v>
      </c>
      <c r="I40" s="14" t="s">
        <v>43</v>
      </c>
      <c r="J40" s="14"/>
      <c r="K40" s="19"/>
      <c r="L40" s="19"/>
      <c r="M40" s="17" t="s">
        <v>109</v>
      </c>
      <c r="N40" s="17" t="s">
        <v>119</v>
      </c>
      <c r="O40" s="17" t="s">
        <v>120</v>
      </c>
      <c r="P40" s="17" t="s">
        <v>134</v>
      </c>
      <c r="Q40" s="17" t="s">
        <v>129</v>
      </c>
      <c r="R40" s="21" t="n">
        <v>3250</v>
      </c>
      <c r="S40" s="21" t="n">
        <v>5700</v>
      </c>
      <c r="T40" s="23" t="n">
        <v>0</v>
      </c>
      <c r="U40" s="1" t="str">
        <f aca="false">D40&amp;"-"&amp;E40&amp;"-"&amp;M40&amp;"-"&amp;O40&amp;"-"&amp;P40&amp;"-"&amp;Q40</f>
        <v>FREYA-FREYA FANCIES-AA1030-Skin-34-GG</v>
      </c>
      <c r="W40" s="1" t="s">
        <v>113</v>
      </c>
    </row>
    <row r="41" customFormat="false" ht="15" hidden="true" customHeight="false" outlineLevel="0" collapsed="false">
      <c r="B41" s="17" t="s">
        <v>142</v>
      </c>
      <c r="C41" s="17" t="s">
        <v>37</v>
      </c>
      <c r="D41" s="17" t="s">
        <v>38</v>
      </c>
      <c r="E41" s="17" t="s">
        <v>107</v>
      </c>
      <c r="F41" s="14" t="s">
        <v>40</v>
      </c>
      <c r="G41" s="3" t="s">
        <v>41</v>
      </c>
      <c r="H41" s="3" t="s">
        <v>42</v>
      </c>
      <c r="I41" s="14" t="s">
        <v>43</v>
      </c>
      <c r="J41" s="14"/>
      <c r="K41" s="19"/>
      <c r="L41" s="19"/>
      <c r="M41" s="17" t="s">
        <v>109</v>
      </c>
      <c r="N41" s="17" t="s">
        <v>119</v>
      </c>
      <c r="O41" s="17" t="s">
        <v>120</v>
      </c>
      <c r="P41" s="17" t="s">
        <v>134</v>
      </c>
      <c r="Q41" s="17" t="s">
        <v>143</v>
      </c>
      <c r="R41" s="21" t="n">
        <v>3250</v>
      </c>
      <c r="S41" s="21" t="n">
        <v>5700</v>
      </c>
      <c r="T41" s="23" t="n">
        <v>0</v>
      </c>
      <c r="U41" s="1" t="str">
        <f aca="false">D41&amp;"-"&amp;E41&amp;"-"&amp;M41&amp;"-"&amp;O41&amp;"-"&amp;P41&amp;"-"&amp;Q41</f>
        <v>FREYA-FREYA FANCIES-AA1030-Skin-34-H</v>
      </c>
      <c r="W41" s="1" t="s">
        <v>113</v>
      </c>
    </row>
    <row r="42" customFormat="false" ht="15" hidden="true" customHeight="false" outlineLevel="0" collapsed="false">
      <c r="B42" s="17" t="s">
        <v>144</v>
      </c>
      <c r="C42" s="17" t="s">
        <v>37</v>
      </c>
      <c r="D42" s="17" t="s">
        <v>38</v>
      </c>
      <c r="E42" s="17" t="s">
        <v>107</v>
      </c>
      <c r="F42" s="14" t="s">
        <v>40</v>
      </c>
      <c r="G42" s="3" t="s">
        <v>41</v>
      </c>
      <c r="H42" s="3" t="s">
        <v>42</v>
      </c>
      <c r="I42" s="14" t="s">
        <v>43</v>
      </c>
      <c r="J42" s="14"/>
      <c r="K42" s="19"/>
      <c r="L42" s="19"/>
      <c r="M42" s="17" t="s">
        <v>109</v>
      </c>
      <c r="N42" s="17" t="s">
        <v>119</v>
      </c>
      <c r="O42" s="17" t="s">
        <v>120</v>
      </c>
      <c r="P42" s="17" t="s">
        <v>65</v>
      </c>
      <c r="Q42" s="17" t="s">
        <v>97</v>
      </c>
      <c r="R42" s="21" t="n">
        <v>3250</v>
      </c>
      <c r="S42" s="21" t="n">
        <v>5700</v>
      </c>
      <c r="T42" s="23" t="n">
        <v>1</v>
      </c>
      <c r="U42" s="1" t="str">
        <f aca="false">D42&amp;"-"&amp;E42&amp;"-"&amp;M42&amp;"-"&amp;O42&amp;"-"&amp;P42&amp;"-"&amp;Q42</f>
        <v>FREYA-FREYA FANCIES-AA1030-Skin-36-D</v>
      </c>
      <c r="W42" s="1" t="s">
        <v>113</v>
      </c>
    </row>
    <row r="43" customFormat="false" ht="15" hidden="true" customHeight="false" outlineLevel="0" collapsed="false">
      <c r="B43" s="17" t="s">
        <v>145</v>
      </c>
      <c r="C43" s="17" t="s">
        <v>37</v>
      </c>
      <c r="D43" s="17" t="s">
        <v>38</v>
      </c>
      <c r="E43" s="17" t="s">
        <v>107</v>
      </c>
      <c r="F43" s="14" t="s">
        <v>40</v>
      </c>
      <c r="G43" s="3" t="s">
        <v>41</v>
      </c>
      <c r="H43" s="3" t="s">
        <v>42</v>
      </c>
      <c r="I43" s="14" t="s">
        <v>43</v>
      </c>
      <c r="J43" s="14"/>
      <c r="K43" s="19"/>
      <c r="L43" s="19"/>
      <c r="M43" s="17" t="s">
        <v>109</v>
      </c>
      <c r="N43" s="17" t="s">
        <v>119</v>
      </c>
      <c r="O43" s="17" t="s">
        <v>120</v>
      </c>
      <c r="P43" s="17" t="s">
        <v>65</v>
      </c>
      <c r="Q43" s="17" t="s">
        <v>56</v>
      </c>
      <c r="R43" s="21" t="n">
        <v>3250</v>
      </c>
      <c r="S43" s="21" t="n">
        <v>5700</v>
      </c>
      <c r="T43" s="23" t="n">
        <v>2</v>
      </c>
      <c r="U43" s="1" t="str">
        <f aca="false">D43&amp;"-"&amp;E43&amp;"-"&amp;M43&amp;"-"&amp;O43&amp;"-"&amp;P43&amp;"-"&amp;Q43</f>
        <v>FREYA-FREYA FANCIES-AA1030-Skin-36-DD</v>
      </c>
      <c r="W43" s="1" t="s">
        <v>113</v>
      </c>
    </row>
    <row r="44" customFormat="false" ht="15" hidden="true" customHeight="false" outlineLevel="0" collapsed="false">
      <c r="B44" s="17" t="s">
        <v>146</v>
      </c>
      <c r="C44" s="17" t="s">
        <v>37</v>
      </c>
      <c r="D44" s="17" t="s">
        <v>38</v>
      </c>
      <c r="E44" s="17" t="s">
        <v>107</v>
      </c>
      <c r="F44" s="14" t="s">
        <v>40</v>
      </c>
      <c r="G44" s="3" t="s">
        <v>41</v>
      </c>
      <c r="H44" s="3" t="s">
        <v>42</v>
      </c>
      <c r="I44" s="14" t="s">
        <v>43</v>
      </c>
      <c r="J44" s="14"/>
      <c r="K44" s="19"/>
      <c r="L44" s="19"/>
      <c r="M44" s="17" t="s">
        <v>109</v>
      </c>
      <c r="N44" s="17" t="s">
        <v>119</v>
      </c>
      <c r="O44" s="17" t="s">
        <v>120</v>
      </c>
      <c r="P44" s="17" t="s">
        <v>65</v>
      </c>
      <c r="Q44" s="17" t="s">
        <v>66</v>
      </c>
      <c r="R44" s="21" t="n">
        <v>3250</v>
      </c>
      <c r="S44" s="21" t="n">
        <v>5700</v>
      </c>
      <c r="T44" s="23" t="n">
        <v>1</v>
      </c>
      <c r="U44" s="1" t="str">
        <f aca="false">D44&amp;"-"&amp;E44&amp;"-"&amp;M44&amp;"-"&amp;O44&amp;"-"&amp;P44&amp;"-"&amp;Q44</f>
        <v>FREYA-FREYA FANCIES-AA1030-Skin-36-E</v>
      </c>
      <c r="W44" s="1" t="s">
        <v>113</v>
      </c>
    </row>
    <row r="45" customFormat="false" ht="15" hidden="true" customHeight="false" outlineLevel="0" collapsed="false">
      <c r="B45" s="17" t="s">
        <v>147</v>
      </c>
      <c r="C45" s="17" t="s">
        <v>37</v>
      </c>
      <c r="D45" s="17" t="s">
        <v>38</v>
      </c>
      <c r="E45" s="17" t="s">
        <v>107</v>
      </c>
      <c r="F45" s="14" t="s">
        <v>40</v>
      </c>
      <c r="G45" s="3" t="s">
        <v>41</v>
      </c>
      <c r="H45" s="3" t="s">
        <v>42</v>
      </c>
      <c r="I45" s="14" t="s">
        <v>43</v>
      </c>
      <c r="J45" s="14"/>
      <c r="K45" s="19"/>
      <c r="L45" s="19"/>
      <c r="M45" s="17" t="s">
        <v>109</v>
      </c>
      <c r="N45" s="17" t="s">
        <v>119</v>
      </c>
      <c r="O45" s="17" t="s">
        <v>120</v>
      </c>
      <c r="P45" s="17" t="s">
        <v>65</v>
      </c>
      <c r="Q45" s="17" t="s">
        <v>50</v>
      </c>
      <c r="R45" s="21" t="n">
        <v>3250</v>
      </c>
      <c r="S45" s="21" t="n">
        <v>5700</v>
      </c>
      <c r="T45" s="23" t="n">
        <v>0</v>
      </c>
      <c r="U45" s="1" t="str">
        <f aca="false">D45&amp;"-"&amp;E45&amp;"-"&amp;M45&amp;"-"&amp;O45&amp;"-"&amp;P45&amp;"-"&amp;Q45</f>
        <v>FREYA-FREYA FANCIES-AA1030-Skin-36-F</v>
      </c>
      <c r="W45" s="1" t="s">
        <v>113</v>
      </c>
    </row>
    <row r="46" customFormat="false" ht="15" hidden="true" customHeight="false" outlineLevel="0" collapsed="false">
      <c r="B46" s="17" t="s">
        <v>148</v>
      </c>
      <c r="C46" s="17" t="s">
        <v>37</v>
      </c>
      <c r="D46" s="17" t="s">
        <v>38</v>
      </c>
      <c r="E46" s="17" t="s">
        <v>107</v>
      </c>
      <c r="F46" s="14" t="s">
        <v>40</v>
      </c>
      <c r="G46" s="3" t="s">
        <v>41</v>
      </c>
      <c r="H46" s="3" t="s">
        <v>42</v>
      </c>
      <c r="I46" s="14" t="s">
        <v>43</v>
      </c>
      <c r="J46" s="14"/>
      <c r="K46" s="19"/>
      <c r="L46" s="19"/>
      <c r="M46" s="17" t="s">
        <v>109</v>
      </c>
      <c r="N46" s="17" t="s">
        <v>119</v>
      </c>
      <c r="O46" s="17" t="s">
        <v>120</v>
      </c>
      <c r="P46" s="17" t="s">
        <v>65</v>
      </c>
      <c r="Q46" s="17" t="s">
        <v>62</v>
      </c>
      <c r="R46" s="21" t="n">
        <v>3250</v>
      </c>
      <c r="S46" s="21" t="n">
        <v>5700</v>
      </c>
      <c r="T46" s="23" t="n">
        <v>0</v>
      </c>
      <c r="U46" s="1" t="str">
        <f aca="false">D46&amp;"-"&amp;E46&amp;"-"&amp;M46&amp;"-"&amp;O46&amp;"-"&amp;P46&amp;"-"&amp;Q46</f>
        <v>FREYA-FREYA FANCIES-AA1030-Skin-36-FF</v>
      </c>
      <c r="W46" s="1" t="s">
        <v>113</v>
      </c>
    </row>
    <row r="47" customFormat="false" ht="15" hidden="true" customHeight="false" outlineLevel="0" collapsed="false">
      <c r="B47" s="17" t="s">
        <v>149</v>
      </c>
      <c r="C47" s="17" t="s">
        <v>37</v>
      </c>
      <c r="D47" s="17" t="s">
        <v>38</v>
      </c>
      <c r="E47" s="17" t="s">
        <v>107</v>
      </c>
      <c r="F47" s="14" t="s">
        <v>40</v>
      </c>
      <c r="G47" s="3" t="s">
        <v>41</v>
      </c>
      <c r="H47" s="3" t="s">
        <v>42</v>
      </c>
      <c r="I47" s="14" t="s">
        <v>43</v>
      </c>
      <c r="J47" s="14"/>
      <c r="K47" s="19"/>
      <c r="L47" s="19"/>
      <c r="M47" s="17" t="s">
        <v>109</v>
      </c>
      <c r="N47" s="17" t="s">
        <v>119</v>
      </c>
      <c r="O47" s="17" t="s">
        <v>120</v>
      </c>
      <c r="P47" s="17" t="s">
        <v>65</v>
      </c>
      <c r="Q47" s="17" t="s">
        <v>105</v>
      </c>
      <c r="R47" s="21" t="n">
        <v>3250</v>
      </c>
      <c r="S47" s="21" t="n">
        <v>5700</v>
      </c>
      <c r="T47" s="23" t="n">
        <v>0</v>
      </c>
      <c r="U47" s="1" t="str">
        <f aca="false">D47&amp;"-"&amp;E47&amp;"-"&amp;M47&amp;"-"&amp;O47&amp;"-"&amp;P47&amp;"-"&amp;Q47</f>
        <v>FREYA-FREYA FANCIES-AA1030-Skin-36-G</v>
      </c>
      <c r="W47" s="1" t="s">
        <v>113</v>
      </c>
    </row>
    <row r="48" customFormat="false" ht="15" hidden="true" customHeight="false" outlineLevel="0" collapsed="false">
      <c r="B48" s="17" t="s">
        <v>150</v>
      </c>
      <c r="C48" s="17" t="s">
        <v>37</v>
      </c>
      <c r="D48" s="17" t="s">
        <v>38</v>
      </c>
      <c r="E48" s="17" t="s">
        <v>107</v>
      </c>
      <c r="F48" s="14" t="s">
        <v>40</v>
      </c>
      <c r="G48" s="3" t="s">
        <v>41</v>
      </c>
      <c r="H48" s="3" t="s">
        <v>42</v>
      </c>
      <c r="I48" s="14" t="s">
        <v>43</v>
      </c>
      <c r="J48" s="14"/>
      <c r="K48" s="19"/>
      <c r="L48" s="19"/>
      <c r="M48" s="17" t="s">
        <v>109</v>
      </c>
      <c r="N48" s="17" t="s">
        <v>119</v>
      </c>
      <c r="O48" s="17" t="s">
        <v>120</v>
      </c>
      <c r="P48" s="17" t="s">
        <v>65</v>
      </c>
      <c r="Q48" s="17" t="s">
        <v>129</v>
      </c>
      <c r="R48" s="21" t="n">
        <v>3250</v>
      </c>
      <c r="S48" s="21" t="n">
        <v>5700</v>
      </c>
      <c r="T48" s="23" t="n">
        <v>0</v>
      </c>
      <c r="U48" s="1" t="str">
        <f aca="false">D48&amp;"-"&amp;E48&amp;"-"&amp;M48&amp;"-"&amp;O48&amp;"-"&amp;P48&amp;"-"&amp;Q48</f>
        <v>FREYA-FREYA FANCIES-AA1030-Skin-36-GG</v>
      </c>
      <c r="W48" s="1" t="s">
        <v>113</v>
      </c>
    </row>
    <row r="49" customFormat="false" ht="15" hidden="true" customHeight="false" outlineLevel="0" collapsed="false">
      <c r="B49" s="17" t="s">
        <v>151</v>
      </c>
      <c r="C49" s="17" t="s">
        <v>37</v>
      </c>
      <c r="D49" s="17" t="s">
        <v>38</v>
      </c>
      <c r="E49" s="17" t="s">
        <v>107</v>
      </c>
      <c r="F49" s="14" t="s">
        <v>40</v>
      </c>
      <c r="G49" s="3" t="s">
        <v>41</v>
      </c>
      <c r="H49" s="3" t="s">
        <v>42</v>
      </c>
      <c r="I49" s="14" t="s">
        <v>43</v>
      </c>
      <c r="J49" s="14"/>
      <c r="K49" s="19"/>
      <c r="L49" s="19"/>
      <c r="M49" s="17" t="s">
        <v>133</v>
      </c>
      <c r="N49" s="17" t="s">
        <v>119</v>
      </c>
      <c r="O49" s="17" t="s">
        <v>120</v>
      </c>
      <c r="P49" s="17" t="s">
        <v>65</v>
      </c>
      <c r="Q49" s="17" t="s">
        <v>152</v>
      </c>
      <c r="R49" s="21" t="n">
        <v>3250</v>
      </c>
      <c r="S49" s="21" t="n">
        <v>5700</v>
      </c>
      <c r="T49" s="23" t="n">
        <v>1</v>
      </c>
      <c r="U49" s="1" t="str">
        <f aca="false">D49&amp;"-"&amp;E49&amp;"-"&amp;M49&amp;"-"&amp;O49&amp;"-"&amp;P49&amp;"-"&amp;Q49</f>
        <v>FREYA-FREYA FANCIES-AA1031-Skin-36-h</v>
      </c>
      <c r="W49" s="1" t="s">
        <v>113</v>
      </c>
    </row>
    <row r="50" customFormat="false" ht="15" hidden="true" customHeight="false" outlineLevel="0" collapsed="false">
      <c r="B50" s="17" t="s">
        <v>153</v>
      </c>
      <c r="C50" s="17" t="s">
        <v>37</v>
      </c>
      <c r="D50" s="17" t="s">
        <v>38</v>
      </c>
      <c r="E50" s="17" t="s">
        <v>107</v>
      </c>
      <c r="F50" s="14" t="s">
        <v>40</v>
      </c>
      <c r="G50" s="3" t="s">
        <v>41</v>
      </c>
      <c r="H50" s="3" t="s">
        <v>42</v>
      </c>
      <c r="I50" s="14" t="s">
        <v>43</v>
      </c>
      <c r="J50" s="14"/>
      <c r="K50" s="19"/>
      <c r="L50" s="19"/>
      <c r="M50" s="17" t="s">
        <v>109</v>
      </c>
      <c r="N50" s="17" t="s">
        <v>119</v>
      </c>
      <c r="O50" s="17" t="s">
        <v>120</v>
      </c>
      <c r="P50" s="17" t="s">
        <v>154</v>
      </c>
      <c r="Q50" s="17" t="s">
        <v>50</v>
      </c>
      <c r="R50" s="21" t="n">
        <v>3250</v>
      </c>
      <c r="S50" s="21" t="n">
        <v>5700</v>
      </c>
      <c r="T50" s="23" t="n">
        <v>0</v>
      </c>
      <c r="U50" s="1" t="str">
        <f aca="false">D50&amp;"-"&amp;E50&amp;"-"&amp;M50&amp;"-"&amp;O50&amp;"-"&amp;P50&amp;"-"&amp;Q50</f>
        <v>FREYA-FREYA FANCIES-AA1030-Skin-38-F</v>
      </c>
      <c r="W50" s="1" t="s">
        <v>113</v>
      </c>
    </row>
    <row r="51" customFormat="false" ht="15" hidden="true" customHeight="false" outlineLevel="0" collapsed="false">
      <c r="B51" s="17" t="s">
        <v>155</v>
      </c>
      <c r="C51" s="17" t="s">
        <v>37</v>
      </c>
      <c r="D51" s="17" t="s">
        <v>38</v>
      </c>
      <c r="E51" s="17" t="s">
        <v>107</v>
      </c>
      <c r="F51" s="14" t="s">
        <v>40</v>
      </c>
      <c r="G51" s="3" t="s">
        <v>41</v>
      </c>
      <c r="H51" s="3" t="s">
        <v>42</v>
      </c>
      <c r="I51" s="14" t="s">
        <v>43</v>
      </c>
      <c r="J51" s="14"/>
      <c r="K51" s="19"/>
      <c r="L51" s="19"/>
      <c r="M51" s="17" t="s">
        <v>109</v>
      </c>
      <c r="N51" s="17" t="s">
        <v>119</v>
      </c>
      <c r="O51" s="17" t="s">
        <v>120</v>
      </c>
      <c r="P51" s="17" t="s">
        <v>154</v>
      </c>
      <c r="Q51" s="17" t="s">
        <v>62</v>
      </c>
      <c r="R51" s="21" t="n">
        <v>3250</v>
      </c>
      <c r="S51" s="21" t="n">
        <v>5700</v>
      </c>
      <c r="T51" s="23" t="n">
        <v>0</v>
      </c>
      <c r="U51" s="1" t="str">
        <f aca="false">D51&amp;"-"&amp;E51&amp;"-"&amp;M51&amp;"-"&amp;O51&amp;"-"&amp;P51&amp;"-"&amp;Q51</f>
        <v>FREYA-FREYA FANCIES-AA1030-Skin-38-FF</v>
      </c>
      <c r="W51" s="1" t="s">
        <v>113</v>
      </c>
    </row>
    <row r="52" customFormat="false" ht="15" hidden="true" customHeight="false" outlineLevel="0" collapsed="false">
      <c r="B52" s="17" t="s">
        <v>156</v>
      </c>
      <c r="C52" s="17" t="s">
        <v>37</v>
      </c>
      <c r="D52" s="17" t="s">
        <v>38</v>
      </c>
      <c r="E52" s="17" t="s">
        <v>107</v>
      </c>
      <c r="F52" s="14" t="s">
        <v>40</v>
      </c>
      <c r="G52" s="3" t="s">
        <v>41</v>
      </c>
      <c r="H52" s="3" t="s">
        <v>42</v>
      </c>
      <c r="I52" s="14" t="s">
        <v>43</v>
      </c>
      <c r="J52" s="14"/>
      <c r="K52" s="19"/>
      <c r="L52" s="19"/>
      <c r="M52" s="17" t="s">
        <v>109</v>
      </c>
      <c r="N52" s="17" t="s">
        <v>119</v>
      </c>
      <c r="O52" s="17" t="s">
        <v>120</v>
      </c>
      <c r="P52" s="17" t="s">
        <v>154</v>
      </c>
      <c r="Q52" s="17" t="s">
        <v>105</v>
      </c>
      <c r="R52" s="21" t="n">
        <v>3250</v>
      </c>
      <c r="S52" s="21" t="n">
        <v>5700</v>
      </c>
      <c r="T52" s="23" t="n">
        <v>2</v>
      </c>
      <c r="U52" s="1" t="str">
        <f aca="false">D52&amp;"-"&amp;E52&amp;"-"&amp;M52&amp;"-"&amp;O52&amp;"-"&amp;P52&amp;"-"&amp;Q52</f>
        <v>FREYA-FREYA FANCIES-AA1030-Skin-38-G</v>
      </c>
      <c r="W52" s="1" t="s">
        <v>113</v>
      </c>
    </row>
    <row r="53" customFormat="false" ht="15" hidden="true" customHeight="false" outlineLevel="0" collapsed="false">
      <c r="B53" s="17" t="s">
        <v>157</v>
      </c>
      <c r="C53" s="17" t="s">
        <v>37</v>
      </c>
      <c r="D53" s="17" t="s">
        <v>38</v>
      </c>
      <c r="E53" s="17" t="s">
        <v>107</v>
      </c>
      <c r="F53" s="14" t="s">
        <v>40</v>
      </c>
      <c r="G53" s="3" t="s">
        <v>41</v>
      </c>
      <c r="H53" s="3" t="s">
        <v>42</v>
      </c>
      <c r="I53" s="14" t="s">
        <v>43</v>
      </c>
      <c r="J53" s="14"/>
      <c r="K53" s="19"/>
      <c r="L53" s="19"/>
      <c r="M53" s="17" t="s">
        <v>109</v>
      </c>
      <c r="N53" s="17" t="s">
        <v>137</v>
      </c>
      <c r="O53" s="17" t="s">
        <v>138</v>
      </c>
      <c r="P53" s="17" t="s">
        <v>92</v>
      </c>
      <c r="Q53" s="17" t="s">
        <v>62</v>
      </c>
      <c r="R53" s="21" t="n">
        <v>2574</v>
      </c>
      <c r="S53" s="21" t="n">
        <v>5700</v>
      </c>
      <c r="T53" s="23" t="n">
        <v>0</v>
      </c>
      <c r="U53" s="1" t="str">
        <f aca="false">D53&amp;"-"&amp;E53&amp;"-"&amp;M53&amp;"-"&amp;O53&amp;"-"&amp;P53&amp;"-"&amp;Q53</f>
        <v>FREYA-FREYA FANCIES-AA1030-Light Purple-32-FF</v>
      </c>
      <c r="W53" s="1" t="s">
        <v>113</v>
      </c>
    </row>
    <row r="54" customFormat="false" ht="15" hidden="true" customHeight="false" outlineLevel="0" collapsed="false">
      <c r="B54" s="17" t="s">
        <v>158</v>
      </c>
      <c r="C54" s="17" t="s">
        <v>37</v>
      </c>
      <c r="D54" s="17" t="s">
        <v>38</v>
      </c>
      <c r="E54" s="17" t="s">
        <v>107</v>
      </c>
      <c r="F54" s="14" t="s">
        <v>40</v>
      </c>
      <c r="G54" s="3" t="s">
        <v>41</v>
      </c>
      <c r="H54" s="3" t="s">
        <v>42</v>
      </c>
      <c r="I54" s="14" t="s">
        <v>43</v>
      </c>
      <c r="J54" s="14"/>
      <c r="K54" s="19"/>
      <c r="L54" s="19"/>
      <c r="M54" s="17" t="s">
        <v>109</v>
      </c>
      <c r="N54" s="17" t="s">
        <v>137</v>
      </c>
      <c r="O54" s="17" t="s">
        <v>138</v>
      </c>
      <c r="P54" s="17" t="s">
        <v>134</v>
      </c>
      <c r="Q54" s="17" t="s">
        <v>105</v>
      </c>
      <c r="R54" s="21" t="n">
        <v>2574</v>
      </c>
      <c r="S54" s="21" t="n">
        <v>5700</v>
      </c>
      <c r="T54" s="23" t="n">
        <v>0</v>
      </c>
      <c r="U54" s="1" t="str">
        <f aca="false">D54&amp;"-"&amp;E54&amp;"-"&amp;M54&amp;"-"&amp;O54&amp;"-"&amp;P54&amp;"-"&amp;Q54</f>
        <v>FREYA-FREYA FANCIES-AA1030-Light Purple-34-G</v>
      </c>
      <c r="W54" s="1" t="s">
        <v>113</v>
      </c>
    </row>
    <row r="55" customFormat="false" ht="15" hidden="true" customHeight="false" outlineLevel="0" collapsed="false">
      <c r="B55" s="17" t="s">
        <v>159</v>
      </c>
      <c r="C55" s="17" t="s">
        <v>37</v>
      </c>
      <c r="D55" s="17" t="s">
        <v>38</v>
      </c>
      <c r="E55" s="17" t="s">
        <v>107</v>
      </c>
      <c r="F55" s="14" t="s">
        <v>40</v>
      </c>
      <c r="G55" s="3" t="s">
        <v>41</v>
      </c>
      <c r="H55" s="3" t="s">
        <v>42</v>
      </c>
      <c r="I55" s="14" t="s">
        <v>43</v>
      </c>
      <c r="J55" s="14"/>
      <c r="K55" s="19"/>
      <c r="L55" s="19"/>
      <c r="M55" s="17" t="s">
        <v>109</v>
      </c>
      <c r="N55" s="17" t="s">
        <v>137</v>
      </c>
      <c r="O55" s="17" t="s">
        <v>138</v>
      </c>
      <c r="P55" s="17" t="s">
        <v>65</v>
      </c>
      <c r="Q55" s="17" t="s">
        <v>66</v>
      </c>
      <c r="R55" s="21" t="n">
        <v>2574</v>
      </c>
      <c r="S55" s="21" t="n">
        <v>5700</v>
      </c>
      <c r="T55" s="23" t="n">
        <v>0</v>
      </c>
      <c r="U55" s="1" t="str">
        <f aca="false">D55&amp;"-"&amp;E55&amp;"-"&amp;M55&amp;"-"&amp;O55&amp;"-"&amp;P55&amp;"-"&amp;Q55</f>
        <v>FREYA-FREYA FANCIES-AA1030-Light Purple-36-E</v>
      </c>
      <c r="W55" s="1" t="s">
        <v>113</v>
      </c>
    </row>
    <row r="56" customFormat="false" ht="15" hidden="true" customHeight="false" outlineLevel="0" collapsed="false">
      <c r="B56" s="17" t="s">
        <v>160</v>
      </c>
      <c r="C56" s="17" t="s">
        <v>37</v>
      </c>
      <c r="D56" s="17" t="s">
        <v>38</v>
      </c>
      <c r="E56" s="17" t="s">
        <v>107</v>
      </c>
      <c r="F56" s="14" t="s">
        <v>40</v>
      </c>
      <c r="G56" s="3" t="s">
        <v>41</v>
      </c>
      <c r="H56" s="3" t="s">
        <v>42</v>
      </c>
      <c r="I56" s="14" t="s">
        <v>43</v>
      </c>
      <c r="J56" s="14"/>
      <c r="K56" s="19"/>
      <c r="L56" s="19"/>
      <c r="M56" s="17" t="s">
        <v>109</v>
      </c>
      <c r="N56" s="17" t="s">
        <v>137</v>
      </c>
      <c r="O56" s="17" t="s">
        <v>138</v>
      </c>
      <c r="P56" s="17" t="s">
        <v>65</v>
      </c>
      <c r="Q56" s="17" t="s">
        <v>50</v>
      </c>
      <c r="R56" s="21" t="n">
        <v>2574</v>
      </c>
      <c r="S56" s="21" t="n">
        <v>5700</v>
      </c>
      <c r="T56" s="23" t="n">
        <v>0</v>
      </c>
      <c r="U56" s="1" t="str">
        <f aca="false">D56&amp;"-"&amp;E56&amp;"-"&amp;M56&amp;"-"&amp;O56&amp;"-"&amp;P56&amp;"-"&amp;Q56</f>
        <v>FREYA-FREYA FANCIES-AA1030-Light Purple-36-F</v>
      </c>
      <c r="W56" s="1" t="s">
        <v>113</v>
      </c>
    </row>
    <row r="57" customFormat="false" ht="15" hidden="true" customHeight="false" outlineLevel="0" collapsed="false">
      <c r="B57" s="17" t="s">
        <v>161</v>
      </c>
      <c r="C57" s="17" t="s">
        <v>37</v>
      </c>
      <c r="D57" s="17" t="s">
        <v>38</v>
      </c>
      <c r="E57" s="17" t="s">
        <v>107</v>
      </c>
      <c r="F57" s="14" t="s">
        <v>40</v>
      </c>
      <c r="G57" s="3" t="s">
        <v>41</v>
      </c>
      <c r="H57" s="3" t="s">
        <v>42</v>
      </c>
      <c r="I57" s="14" t="s">
        <v>43</v>
      </c>
      <c r="J57" s="14"/>
      <c r="K57" s="19"/>
      <c r="L57" s="19"/>
      <c r="M57" s="17" t="s">
        <v>109</v>
      </c>
      <c r="N57" s="17" t="s">
        <v>137</v>
      </c>
      <c r="O57" s="17" t="s">
        <v>138</v>
      </c>
      <c r="P57" s="17" t="s">
        <v>65</v>
      </c>
      <c r="Q57" s="17" t="s">
        <v>62</v>
      </c>
      <c r="R57" s="21" t="n">
        <v>2574</v>
      </c>
      <c r="S57" s="21" t="n">
        <v>5700</v>
      </c>
      <c r="T57" s="23" t="n">
        <v>0</v>
      </c>
      <c r="U57" s="1" t="str">
        <f aca="false">D57&amp;"-"&amp;E57&amp;"-"&amp;M57&amp;"-"&amp;O57&amp;"-"&amp;P57&amp;"-"&amp;Q57</f>
        <v>FREYA-FREYA FANCIES-AA1030-Light Purple-36-FF</v>
      </c>
      <c r="W57" s="1" t="s">
        <v>113</v>
      </c>
    </row>
    <row r="58" customFormat="false" ht="15" hidden="true" customHeight="false" outlineLevel="0" collapsed="false">
      <c r="B58" s="17" t="s">
        <v>162</v>
      </c>
      <c r="C58" s="17" t="s">
        <v>37</v>
      </c>
      <c r="D58" s="17" t="s">
        <v>38</v>
      </c>
      <c r="E58" s="17" t="s">
        <v>107</v>
      </c>
      <c r="F58" s="14" t="s">
        <v>40</v>
      </c>
      <c r="G58" s="3" t="s">
        <v>41</v>
      </c>
      <c r="H58" s="3" t="s">
        <v>42</v>
      </c>
      <c r="I58" s="14" t="s">
        <v>43</v>
      </c>
      <c r="J58" s="14"/>
      <c r="K58" s="19"/>
      <c r="L58" s="19"/>
      <c r="M58" s="17" t="s">
        <v>109</v>
      </c>
      <c r="N58" s="17" t="s">
        <v>137</v>
      </c>
      <c r="O58" s="17" t="s">
        <v>138</v>
      </c>
      <c r="P58" s="17" t="s">
        <v>154</v>
      </c>
      <c r="Q58" s="17" t="s">
        <v>50</v>
      </c>
      <c r="R58" s="21" t="n">
        <v>2574</v>
      </c>
      <c r="S58" s="21" t="n">
        <v>5700</v>
      </c>
      <c r="T58" s="23" t="n">
        <v>0</v>
      </c>
      <c r="U58" s="1" t="str">
        <f aca="false">D58&amp;"-"&amp;E58&amp;"-"&amp;M58&amp;"-"&amp;O58&amp;"-"&amp;P58&amp;"-"&amp;Q58</f>
        <v>FREYA-FREYA FANCIES-AA1030-Light Purple-38-F</v>
      </c>
      <c r="W58" s="1" t="s">
        <v>113</v>
      </c>
    </row>
    <row r="59" customFormat="false" ht="15" hidden="true" customHeight="false" outlineLevel="0" collapsed="false">
      <c r="B59" s="17" t="s">
        <v>163</v>
      </c>
      <c r="C59" s="17" t="s">
        <v>37</v>
      </c>
      <c r="D59" s="17" t="s">
        <v>38</v>
      </c>
      <c r="E59" s="17" t="s">
        <v>107</v>
      </c>
      <c r="F59" s="14" t="s">
        <v>40</v>
      </c>
      <c r="G59" s="3" t="s">
        <v>41</v>
      </c>
      <c r="H59" s="3" t="s">
        <v>42</v>
      </c>
      <c r="I59" s="14" t="s">
        <v>43</v>
      </c>
      <c r="J59" s="14"/>
      <c r="K59" s="19"/>
      <c r="L59" s="19"/>
      <c r="M59" s="17" t="s">
        <v>109</v>
      </c>
      <c r="N59" s="17" t="s">
        <v>137</v>
      </c>
      <c r="O59" s="17" t="s">
        <v>138</v>
      </c>
      <c r="P59" s="17" t="s">
        <v>154</v>
      </c>
      <c r="Q59" s="17" t="s">
        <v>62</v>
      </c>
      <c r="R59" s="21" t="n">
        <v>2574</v>
      </c>
      <c r="S59" s="21" t="n">
        <v>5700</v>
      </c>
      <c r="T59" s="23" t="n">
        <v>0</v>
      </c>
      <c r="U59" s="1" t="str">
        <f aca="false">D59&amp;"-"&amp;E59&amp;"-"&amp;M59&amp;"-"&amp;O59&amp;"-"&amp;P59&amp;"-"&amp;Q59</f>
        <v>FREYA-FREYA FANCIES-AA1030-Light Purple-38-FF</v>
      </c>
      <c r="W59" s="1" t="s">
        <v>113</v>
      </c>
    </row>
    <row r="60" customFormat="false" ht="15" hidden="true" customHeight="false" outlineLevel="0" collapsed="false">
      <c r="B60" s="17" t="s">
        <v>164</v>
      </c>
      <c r="C60" s="17" t="s">
        <v>37</v>
      </c>
      <c r="D60" s="17" t="s">
        <v>38</v>
      </c>
      <c r="E60" s="17" t="s">
        <v>107</v>
      </c>
      <c r="F60" s="14" t="s">
        <v>40</v>
      </c>
      <c r="G60" s="3" t="s">
        <v>41</v>
      </c>
      <c r="H60" s="3" t="s">
        <v>42</v>
      </c>
      <c r="I60" s="14" t="s">
        <v>43</v>
      </c>
      <c r="J60" s="14"/>
      <c r="K60" s="19"/>
      <c r="L60" s="19"/>
      <c r="M60" s="17" t="s">
        <v>109</v>
      </c>
      <c r="N60" s="17" t="s">
        <v>137</v>
      </c>
      <c r="O60" s="17" t="s">
        <v>138</v>
      </c>
      <c r="P60" s="17" t="s">
        <v>154</v>
      </c>
      <c r="Q60" s="17" t="s">
        <v>105</v>
      </c>
      <c r="R60" s="21" t="n">
        <v>2574</v>
      </c>
      <c r="S60" s="21" t="n">
        <v>5700</v>
      </c>
      <c r="T60" s="23" t="n">
        <v>0</v>
      </c>
      <c r="U60" s="1" t="str">
        <f aca="false">D60&amp;"-"&amp;E60&amp;"-"&amp;M60&amp;"-"&amp;O60&amp;"-"&amp;P60&amp;"-"&amp;Q60</f>
        <v>FREYA-FREYA FANCIES-AA1030-Light Purple-38-G</v>
      </c>
      <c r="W60" s="1" t="s">
        <v>113</v>
      </c>
    </row>
    <row r="61" customFormat="false" ht="15" hidden="true" customHeight="false" outlineLevel="0" collapsed="false">
      <c r="B61" s="17" t="s">
        <v>165</v>
      </c>
      <c r="C61" s="17" t="s">
        <v>37</v>
      </c>
      <c r="D61" s="17" t="s">
        <v>38</v>
      </c>
      <c r="E61" s="17" t="s">
        <v>107</v>
      </c>
      <c r="F61" s="14" t="s">
        <v>40</v>
      </c>
      <c r="G61" s="3" t="s">
        <v>41</v>
      </c>
      <c r="H61" s="3" t="s">
        <v>42</v>
      </c>
      <c r="I61" s="14" t="s">
        <v>43</v>
      </c>
      <c r="J61" s="14"/>
      <c r="K61" s="19"/>
      <c r="L61" s="19"/>
      <c r="M61" s="17" t="s">
        <v>109</v>
      </c>
      <c r="N61" s="17" t="s">
        <v>119</v>
      </c>
      <c r="O61" s="17" t="s">
        <v>120</v>
      </c>
      <c r="P61" s="17" t="s">
        <v>154</v>
      </c>
      <c r="Q61" s="17" t="s">
        <v>97</v>
      </c>
      <c r="R61" s="21" t="n">
        <v>3250</v>
      </c>
      <c r="S61" s="21" t="n">
        <v>5700</v>
      </c>
      <c r="T61" s="23" t="n">
        <v>1</v>
      </c>
      <c r="U61" s="1" t="str">
        <f aca="false">D61&amp;"-"&amp;E61&amp;"-"&amp;M61&amp;"-"&amp;O61&amp;"-"&amp;P61&amp;"-"&amp;Q61</f>
        <v>FREYA-FREYA FANCIES-AA1030-Skin-38-D</v>
      </c>
      <c r="W61" s="1" t="s">
        <v>113</v>
      </c>
    </row>
    <row r="62" customFormat="false" ht="15" hidden="true" customHeight="false" outlineLevel="0" collapsed="false">
      <c r="B62" s="17" t="s">
        <v>166</v>
      </c>
      <c r="C62" s="17" t="s">
        <v>37</v>
      </c>
      <c r="D62" s="17" t="s">
        <v>38</v>
      </c>
      <c r="E62" s="17" t="s">
        <v>107</v>
      </c>
      <c r="F62" s="14" t="s">
        <v>40</v>
      </c>
      <c r="G62" s="3" t="s">
        <v>41</v>
      </c>
      <c r="H62" s="3" t="s">
        <v>42</v>
      </c>
      <c r="I62" s="14" t="s">
        <v>43</v>
      </c>
      <c r="J62" s="14"/>
      <c r="K62" s="19"/>
      <c r="L62" s="19"/>
      <c r="M62" s="17" t="s">
        <v>109</v>
      </c>
      <c r="N62" s="17" t="s">
        <v>119</v>
      </c>
      <c r="O62" s="17" t="s">
        <v>120</v>
      </c>
      <c r="P62" s="17" t="s">
        <v>154</v>
      </c>
      <c r="Q62" s="17" t="s">
        <v>56</v>
      </c>
      <c r="R62" s="21" t="n">
        <v>3250</v>
      </c>
      <c r="S62" s="21" t="n">
        <v>5700</v>
      </c>
      <c r="T62" s="23" t="n">
        <v>1</v>
      </c>
      <c r="U62" s="1" t="str">
        <f aca="false">D62&amp;"-"&amp;E62&amp;"-"&amp;M62&amp;"-"&amp;O62&amp;"-"&amp;P62&amp;"-"&amp;Q62</f>
        <v>FREYA-FREYA FANCIES-AA1030-Skin-38-DD</v>
      </c>
      <c r="W62" s="1" t="s">
        <v>113</v>
      </c>
    </row>
    <row r="63" customFormat="false" ht="15" hidden="true" customHeight="false" outlineLevel="0" collapsed="false">
      <c r="B63" s="17" t="s">
        <v>167</v>
      </c>
      <c r="C63" s="17" t="s">
        <v>37</v>
      </c>
      <c r="D63" s="17" t="s">
        <v>38</v>
      </c>
      <c r="E63" s="17" t="s">
        <v>107</v>
      </c>
      <c r="F63" s="14" t="s">
        <v>40</v>
      </c>
      <c r="G63" s="3" t="s">
        <v>41</v>
      </c>
      <c r="H63" s="3" t="s">
        <v>42</v>
      </c>
      <c r="I63" s="14" t="s">
        <v>43</v>
      </c>
      <c r="J63" s="14"/>
      <c r="K63" s="19"/>
      <c r="L63" s="19"/>
      <c r="M63" s="17" t="s">
        <v>109</v>
      </c>
      <c r="N63" s="17" t="s">
        <v>137</v>
      </c>
      <c r="O63" s="17" t="s">
        <v>138</v>
      </c>
      <c r="P63" s="17" t="s">
        <v>154</v>
      </c>
      <c r="Q63" s="17" t="s">
        <v>66</v>
      </c>
      <c r="R63" s="21" t="n">
        <v>3250</v>
      </c>
      <c r="S63" s="21" t="n">
        <v>5700</v>
      </c>
      <c r="T63" s="23" t="n">
        <v>1</v>
      </c>
      <c r="U63" s="1" t="str">
        <f aca="false">D63&amp;"-"&amp;E63&amp;"-"&amp;M63&amp;"-"&amp;O63&amp;"-"&amp;P63&amp;"-"&amp;Q63</f>
        <v>FREYA-FREYA FANCIES-AA1030-Light Purple-38-E</v>
      </c>
      <c r="W63" s="1" t="s">
        <v>113</v>
      </c>
    </row>
    <row r="64" customFormat="false" ht="15" hidden="true" customHeight="false" outlineLevel="0" collapsed="false">
      <c r="B64" s="17" t="s">
        <v>168</v>
      </c>
      <c r="C64" s="17" t="s">
        <v>37</v>
      </c>
      <c r="D64" s="17" t="s">
        <v>38</v>
      </c>
      <c r="E64" s="17" t="s">
        <v>169</v>
      </c>
      <c r="F64" s="14" t="s">
        <v>80</v>
      </c>
      <c r="G64" s="3" t="s">
        <v>41</v>
      </c>
      <c r="H64" s="14" t="s">
        <v>70</v>
      </c>
      <c r="I64" s="14" t="s">
        <v>43</v>
      </c>
      <c r="J64" s="14"/>
      <c r="K64" s="19" t="s">
        <v>170</v>
      </c>
      <c r="L64" s="19"/>
      <c r="M64" s="17" t="s">
        <v>171</v>
      </c>
      <c r="N64" s="17" t="s">
        <v>172</v>
      </c>
      <c r="O64" s="17" t="s">
        <v>173</v>
      </c>
      <c r="P64" s="17" t="s">
        <v>154</v>
      </c>
      <c r="Q64" s="17" t="s">
        <v>143</v>
      </c>
      <c r="R64" s="21" t="n">
        <v>2520</v>
      </c>
      <c r="S64" s="21" t="n">
        <v>4500</v>
      </c>
      <c r="T64" s="23" t="n">
        <v>0</v>
      </c>
      <c r="U64" s="1" t="str">
        <f aca="false">D64&amp;"-"&amp;E64&amp;"-"&amp;M64&amp;"-"&amp;O64&amp;"-"&amp;P64&amp;"-"&amp;Q64</f>
        <v>FREYA-STARLIGHT-AA5202-Corn-38-H</v>
      </c>
    </row>
    <row r="65" customFormat="false" ht="15" hidden="true" customHeight="false" outlineLevel="0" collapsed="false">
      <c r="B65" s="17" t="s">
        <v>174</v>
      </c>
      <c r="C65" s="17" t="s">
        <v>37</v>
      </c>
      <c r="D65" s="17" t="s">
        <v>38</v>
      </c>
      <c r="E65" s="17" t="s">
        <v>169</v>
      </c>
      <c r="F65" s="14" t="s">
        <v>80</v>
      </c>
      <c r="G65" s="3" t="s">
        <v>41</v>
      </c>
      <c r="H65" s="14" t="s">
        <v>70</v>
      </c>
      <c r="I65" s="14" t="s">
        <v>43</v>
      </c>
      <c r="J65" s="14"/>
      <c r="K65" s="19" t="s">
        <v>175</v>
      </c>
      <c r="L65" s="19"/>
      <c r="M65" s="17" t="s">
        <v>171</v>
      </c>
      <c r="N65" s="17" t="s">
        <v>172</v>
      </c>
      <c r="O65" s="17" t="s">
        <v>173</v>
      </c>
      <c r="P65" s="17" t="s">
        <v>154</v>
      </c>
      <c r="Q65" s="17" t="s">
        <v>131</v>
      </c>
      <c r="R65" s="21" t="n">
        <v>2552</v>
      </c>
      <c r="S65" s="21" t="n">
        <v>4500</v>
      </c>
      <c r="T65" s="23" t="n">
        <v>0</v>
      </c>
      <c r="U65" s="1" t="str">
        <f aca="false">D65&amp;"-"&amp;E65&amp;"-"&amp;M65&amp;"-"&amp;O65&amp;"-"&amp;P65&amp;"-"&amp;Q65</f>
        <v>FREYA-STARLIGHT-AA5202-Corn-38-HH</v>
      </c>
    </row>
    <row r="66" customFormat="false" ht="15" hidden="true" customHeight="false" outlineLevel="0" collapsed="false">
      <c r="B66" s="17" t="s">
        <v>176</v>
      </c>
      <c r="C66" s="17" t="s">
        <v>37</v>
      </c>
      <c r="D66" s="17" t="s">
        <v>38</v>
      </c>
      <c r="E66" s="17" t="s">
        <v>169</v>
      </c>
      <c r="F66" s="14" t="s">
        <v>80</v>
      </c>
      <c r="G66" s="3" t="s">
        <v>41</v>
      </c>
      <c r="H66" s="14" t="s">
        <v>70</v>
      </c>
      <c r="I66" s="14" t="s">
        <v>43</v>
      </c>
      <c r="J66" s="14"/>
      <c r="K66" s="19" t="s">
        <v>177</v>
      </c>
      <c r="L66" s="19"/>
      <c r="M66" s="17" t="s">
        <v>171</v>
      </c>
      <c r="N66" s="17" t="s">
        <v>76</v>
      </c>
      <c r="O66" s="17" t="s">
        <v>77</v>
      </c>
      <c r="P66" s="17" t="s">
        <v>92</v>
      </c>
      <c r="Q66" s="17" t="s">
        <v>131</v>
      </c>
      <c r="R66" s="21" t="n">
        <v>2772</v>
      </c>
      <c r="S66" s="21" t="n">
        <v>4500</v>
      </c>
      <c r="T66" s="23" t="n">
        <v>0</v>
      </c>
      <c r="U66" s="1" t="str">
        <f aca="false">D66&amp;"-"&amp;E66&amp;"-"&amp;M66&amp;"-"&amp;O66&amp;"-"&amp;P66&amp;"-"&amp;Q66</f>
        <v>FREYA-STARLIGHT-AA5202-BLACK-32-HH</v>
      </c>
    </row>
    <row r="67" customFormat="false" ht="15" hidden="true" customHeight="false" outlineLevel="0" collapsed="false">
      <c r="B67" s="17" t="s">
        <v>178</v>
      </c>
      <c r="C67" s="17" t="s">
        <v>37</v>
      </c>
      <c r="D67" s="17" t="s">
        <v>38</v>
      </c>
      <c r="E67" s="17" t="s">
        <v>169</v>
      </c>
      <c r="F67" s="14" t="s">
        <v>80</v>
      </c>
      <c r="G67" s="3" t="s">
        <v>41</v>
      </c>
      <c r="H67" s="14" t="s">
        <v>70</v>
      </c>
      <c r="I67" s="14" t="s">
        <v>43</v>
      </c>
      <c r="J67" s="14"/>
      <c r="K67" s="19" t="s">
        <v>179</v>
      </c>
      <c r="L67" s="19"/>
      <c r="M67" s="17" t="s">
        <v>171</v>
      </c>
      <c r="N67" s="17" t="s">
        <v>76</v>
      </c>
      <c r="O67" s="17" t="s">
        <v>77</v>
      </c>
      <c r="P67" s="17" t="s">
        <v>55</v>
      </c>
      <c r="Q67" s="17" t="s">
        <v>105</v>
      </c>
      <c r="R67" s="21" t="n">
        <v>2520</v>
      </c>
      <c r="S67" s="21" t="n">
        <v>4500</v>
      </c>
      <c r="T67" s="23" t="n">
        <v>0</v>
      </c>
      <c r="U67" s="1" t="str">
        <f aca="false">D67&amp;"-"&amp;E67&amp;"-"&amp;M67&amp;"-"&amp;O67&amp;"-"&amp;P67&amp;"-"&amp;Q67</f>
        <v>FREYA-STARLIGHT-AA5202-BLACK-30-G</v>
      </c>
    </row>
    <row r="68" customFormat="false" ht="15" hidden="true" customHeight="false" outlineLevel="0" collapsed="false">
      <c r="B68" s="17" t="s">
        <v>180</v>
      </c>
      <c r="C68" s="17" t="s">
        <v>37</v>
      </c>
      <c r="D68" s="17" t="s">
        <v>38</v>
      </c>
      <c r="E68" s="17" t="s">
        <v>169</v>
      </c>
      <c r="F68" s="14" t="s">
        <v>80</v>
      </c>
      <c r="G68" s="3" t="s">
        <v>41</v>
      </c>
      <c r="H68" s="14" t="s">
        <v>70</v>
      </c>
      <c r="I68" s="14" t="s">
        <v>43</v>
      </c>
      <c r="J68" s="14"/>
      <c r="K68" s="19" t="s">
        <v>181</v>
      </c>
      <c r="L68" s="19"/>
      <c r="M68" s="17" t="s">
        <v>171</v>
      </c>
      <c r="N68" s="17" t="s">
        <v>76</v>
      </c>
      <c r="O68" s="17" t="s">
        <v>77</v>
      </c>
      <c r="P68" s="17" t="s">
        <v>134</v>
      </c>
      <c r="Q68" s="17" t="s">
        <v>105</v>
      </c>
      <c r="R68" s="21" t="n">
        <v>2294.5</v>
      </c>
      <c r="S68" s="21" t="n">
        <v>4500</v>
      </c>
      <c r="T68" s="23" t="n">
        <v>0</v>
      </c>
      <c r="U68" s="1" t="str">
        <f aca="false">D68&amp;"-"&amp;E68&amp;"-"&amp;M68&amp;"-"&amp;O68&amp;"-"&amp;P68&amp;"-"&amp;Q68</f>
        <v>FREYA-STARLIGHT-AA5202-BLACK-34-G</v>
      </c>
    </row>
    <row r="69" customFormat="false" ht="15" hidden="true" customHeight="false" outlineLevel="0" collapsed="false">
      <c r="B69" s="17" t="s">
        <v>182</v>
      </c>
      <c r="C69" s="17" t="s">
        <v>37</v>
      </c>
      <c r="D69" s="17" t="s">
        <v>38</v>
      </c>
      <c r="E69" s="17" t="s">
        <v>169</v>
      </c>
      <c r="F69" s="14" t="s">
        <v>80</v>
      </c>
      <c r="G69" s="3" t="s">
        <v>41</v>
      </c>
      <c r="H69" s="14" t="s">
        <v>70</v>
      </c>
      <c r="I69" s="14" t="s">
        <v>43</v>
      </c>
      <c r="J69" s="14"/>
      <c r="K69" s="19" t="s">
        <v>183</v>
      </c>
      <c r="L69" s="19"/>
      <c r="M69" s="17" t="s">
        <v>171</v>
      </c>
      <c r="N69" s="17" t="s">
        <v>76</v>
      </c>
      <c r="O69" s="17" t="s">
        <v>77</v>
      </c>
      <c r="P69" s="17" t="s">
        <v>65</v>
      </c>
      <c r="Q69" s="17" t="s">
        <v>105</v>
      </c>
      <c r="R69" s="21" t="n">
        <v>2294.5</v>
      </c>
      <c r="S69" s="21" t="n">
        <v>4500</v>
      </c>
      <c r="T69" s="23" t="n">
        <v>0</v>
      </c>
      <c r="U69" s="1" t="str">
        <f aca="false">D69&amp;"-"&amp;E69&amp;"-"&amp;M69&amp;"-"&amp;O69&amp;"-"&amp;P69&amp;"-"&amp;Q69</f>
        <v>FREYA-STARLIGHT-AA5202-BLACK-36-G</v>
      </c>
    </row>
    <row r="70" customFormat="false" ht="15" hidden="true" customHeight="false" outlineLevel="0" collapsed="false">
      <c r="B70" s="17" t="s">
        <v>184</v>
      </c>
      <c r="C70" s="17" t="s">
        <v>37</v>
      </c>
      <c r="D70" s="17" t="s">
        <v>38</v>
      </c>
      <c r="E70" s="17" t="s">
        <v>169</v>
      </c>
      <c r="F70" s="14" t="s">
        <v>80</v>
      </c>
      <c r="G70" s="3" t="s">
        <v>41</v>
      </c>
      <c r="H70" s="14" t="s">
        <v>70</v>
      </c>
      <c r="I70" s="14" t="s">
        <v>43</v>
      </c>
      <c r="J70" s="14"/>
      <c r="K70" s="19" t="s">
        <v>185</v>
      </c>
      <c r="L70" s="19"/>
      <c r="M70" s="17" t="s">
        <v>171</v>
      </c>
      <c r="N70" s="17" t="s">
        <v>76</v>
      </c>
      <c r="O70" s="17" t="s">
        <v>77</v>
      </c>
      <c r="P70" s="17" t="s">
        <v>154</v>
      </c>
      <c r="Q70" s="17" t="s">
        <v>66</v>
      </c>
      <c r="R70" s="21" t="n">
        <v>2294.5</v>
      </c>
      <c r="S70" s="21" t="n">
        <v>4500</v>
      </c>
      <c r="T70" s="23" t="n">
        <v>0</v>
      </c>
      <c r="U70" s="1" t="str">
        <f aca="false">D70&amp;"-"&amp;E70&amp;"-"&amp;M70&amp;"-"&amp;O70&amp;"-"&amp;P70&amp;"-"&amp;Q70</f>
        <v>FREYA-STARLIGHT-AA5202-BLACK-38-E</v>
      </c>
    </row>
    <row r="71" customFormat="false" ht="15" hidden="true" customHeight="false" outlineLevel="0" collapsed="false">
      <c r="B71" s="17" t="s">
        <v>186</v>
      </c>
      <c r="C71" s="17" t="s">
        <v>37</v>
      </c>
      <c r="D71" s="17" t="s">
        <v>38</v>
      </c>
      <c r="E71" s="17" t="s">
        <v>169</v>
      </c>
      <c r="F71" s="14" t="s">
        <v>80</v>
      </c>
      <c r="G71" s="3" t="s">
        <v>41</v>
      </c>
      <c r="H71" s="14" t="s">
        <v>70</v>
      </c>
      <c r="I71" s="14" t="s">
        <v>43</v>
      </c>
      <c r="J71" s="14"/>
      <c r="K71" s="19" t="s">
        <v>187</v>
      </c>
      <c r="L71" s="19"/>
      <c r="M71" s="17" t="s">
        <v>171</v>
      </c>
      <c r="N71" s="17" t="s">
        <v>76</v>
      </c>
      <c r="O71" s="17" t="s">
        <v>77</v>
      </c>
      <c r="P71" s="17" t="s">
        <v>154</v>
      </c>
      <c r="Q71" s="17" t="s">
        <v>105</v>
      </c>
      <c r="R71" s="21" t="n">
        <v>2294.5</v>
      </c>
      <c r="S71" s="21" t="n">
        <v>4500</v>
      </c>
      <c r="T71" s="23" t="n">
        <v>1</v>
      </c>
      <c r="U71" s="1" t="str">
        <f aca="false">D71&amp;"-"&amp;E71&amp;"-"&amp;M71&amp;"-"&amp;O71&amp;"-"&amp;P71&amp;"-"&amp;Q71</f>
        <v>FREYA-STARLIGHT-AA5202-BLACK-38-G</v>
      </c>
    </row>
    <row r="72" customFormat="false" ht="15" hidden="true" customHeight="false" outlineLevel="0" collapsed="false">
      <c r="B72" s="17" t="s">
        <v>188</v>
      </c>
      <c r="C72" s="17" t="s">
        <v>37</v>
      </c>
      <c r="D72" s="17" t="s">
        <v>38</v>
      </c>
      <c r="E72" s="17" t="s">
        <v>169</v>
      </c>
      <c r="F72" s="14" t="s">
        <v>80</v>
      </c>
      <c r="G72" s="3" t="s">
        <v>41</v>
      </c>
      <c r="H72" s="14" t="s">
        <v>70</v>
      </c>
      <c r="I72" s="14" t="s">
        <v>43</v>
      </c>
      <c r="J72" s="14"/>
      <c r="K72" s="19" t="s">
        <v>189</v>
      </c>
      <c r="L72" s="19"/>
      <c r="M72" s="17" t="s">
        <v>171</v>
      </c>
      <c r="N72" s="17" t="s">
        <v>76</v>
      </c>
      <c r="O72" s="17" t="s">
        <v>77</v>
      </c>
      <c r="P72" s="17" t="s">
        <v>154</v>
      </c>
      <c r="Q72" s="17" t="s">
        <v>131</v>
      </c>
      <c r="R72" s="21" t="n">
        <v>2294.5</v>
      </c>
      <c r="S72" s="21" t="n">
        <v>4500</v>
      </c>
      <c r="T72" s="23" t="n">
        <v>0</v>
      </c>
      <c r="U72" s="1" t="str">
        <f aca="false">D72&amp;"-"&amp;E72&amp;"-"&amp;M72&amp;"-"&amp;O72&amp;"-"&amp;P72&amp;"-"&amp;Q72</f>
        <v>FREYA-STARLIGHT-AA5202-BLACK-38-HH</v>
      </c>
    </row>
    <row r="73" customFormat="false" ht="15" hidden="true" customHeight="false" outlineLevel="0" collapsed="false">
      <c r="B73" s="17" t="s">
        <v>190</v>
      </c>
      <c r="C73" s="17" t="s">
        <v>37</v>
      </c>
      <c r="D73" s="17" t="s">
        <v>38</v>
      </c>
      <c r="E73" s="17" t="s">
        <v>169</v>
      </c>
      <c r="F73" s="14" t="s">
        <v>80</v>
      </c>
      <c r="G73" s="3" t="s">
        <v>41</v>
      </c>
      <c r="H73" s="14" t="s">
        <v>70</v>
      </c>
      <c r="I73" s="14" t="s">
        <v>43</v>
      </c>
      <c r="J73" s="14"/>
      <c r="K73" s="19" t="s">
        <v>191</v>
      </c>
      <c r="L73" s="19"/>
      <c r="M73" s="17" t="s">
        <v>171</v>
      </c>
      <c r="N73" s="17" t="s">
        <v>76</v>
      </c>
      <c r="O73" s="17" t="s">
        <v>77</v>
      </c>
      <c r="P73" s="17" t="s">
        <v>92</v>
      </c>
      <c r="Q73" s="17" t="s">
        <v>129</v>
      </c>
      <c r="R73" s="21" t="n">
        <v>2294.5</v>
      </c>
      <c r="S73" s="21" t="n">
        <v>4500</v>
      </c>
      <c r="T73" s="23" t="n">
        <v>0</v>
      </c>
      <c r="U73" s="1" t="str">
        <f aca="false">D73&amp;"-"&amp;E73&amp;"-"&amp;M73&amp;"-"&amp;O73&amp;"-"&amp;P73&amp;"-"&amp;Q73</f>
        <v>FREYA-STARLIGHT-AA5202-BLACK-32-GG</v>
      </c>
    </row>
    <row r="74" customFormat="false" ht="15" hidden="true" customHeight="false" outlineLevel="0" collapsed="false">
      <c r="B74" s="17" t="s">
        <v>192</v>
      </c>
      <c r="C74" s="17" t="s">
        <v>37</v>
      </c>
      <c r="D74" s="17" t="s">
        <v>38</v>
      </c>
      <c r="E74" s="17" t="s">
        <v>169</v>
      </c>
      <c r="F74" s="14" t="s">
        <v>80</v>
      </c>
      <c r="G74" s="3" t="s">
        <v>41</v>
      </c>
      <c r="H74" s="14" t="s">
        <v>70</v>
      </c>
      <c r="I74" s="14" t="s">
        <v>43</v>
      </c>
      <c r="J74" s="14"/>
      <c r="K74" s="19" t="s">
        <v>193</v>
      </c>
      <c r="L74" s="19"/>
      <c r="M74" s="17" t="s">
        <v>171</v>
      </c>
      <c r="N74" s="17" t="s">
        <v>76</v>
      </c>
      <c r="O74" s="17" t="s">
        <v>77</v>
      </c>
      <c r="P74" s="17" t="s">
        <v>134</v>
      </c>
      <c r="Q74" s="17" t="s">
        <v>129</v>
      </c>
      <c r="R74" s="21" t="n">
        <v>2294.5</v>
      </c>
      <c r="S74" s="21" t="n">
        <v>4500</v>
      </c>
      <c r="T74" s="23" t="n">
        <v>0</v>
      </c>
      <c r="U74" s="1" t="str">
        <f aca="false">D74&amp;"-"&amp;E74&amp;"-"&amp;M74&amp;"-"&amp;O74&amp;"-"&amp;P74&amp;"-"&amp;Q74</f>
        <v>FREYA-STARLIGHT-AA5202-BLACK-34-GG</v>
      </c>
    </row>
    <row r="75" customFormat="false" ht="15" hidden="true" customHeight="false" outlineLevel="0" collapsed="false">
      <c r="B75" s="17" t="s">
        <v>194</v>
      </c>
      <c r="C75" s="17" t="s">
        <v>37</v>
      </c>
      <c r="D75" s="17" t="s">
        <v>38</v>
      </c>
      <c r="E75" s="17" t="s">
        <v>169</v>
      </c>
      <c r="F75" s="14" t="s">
        <v>80</v>
      </c>
      <c r="G75" s="3" t="s">
        <v>41</v>
      </c>
      <c r="H75" s="14" t="s">
        <v>70</v>
      </c>
      <c r="I75" s="14" t="s">
        <v>43</v>
      </c>
      <c r="J75" s="14"/>
      <c r="K75" s="19" t="s">
        <v>195</v>
      </c>
      <c r="L75" s="19"/>
      <c r="M75" s="17" t="s">
        <v>171</v>
      </c>
      <c r="N75" s="17" t="s">
        <v>76</v>
      </c>
      <c r="O75" s="17" t="s">
        <v>77</v>
      </c>
      <c r="P75" s="17" t="s">
        <v>134</v>
      </c>
      <c r="Q75" s="17" t="s">
        <v>131</v>
      </c>
      <c r="R75" s="21" t="n">
        <v>2294.5</v>
      </c>
      <c r="S75" s="21" t="n">
        <v>4500</v>
      </c>
      <c r="T75" s="23" t="n">
        <v>0</v>
      </c>
      <c r="U75" s="1" t="str">
        <f aca="false">D75&amp;"-"&amp;E75&amp;"-"&amp;M75&amp;"-"&amp;O75&amp;"-"&amp;P75&amp;"-"&amp;Q75</f>
        <v>FREYA-STARLIGHT-AA5202-BLACK-34-HH</v>
      </c>
    </row>
    <row r="76" customFormat="false" ht="15" hidden="true" customHeight="false" outlineLevel="0" collapsed="false">
      <c r="B76" s="17" t="s">
        <v>196</v>
      </c>
      <c r="C76" s="17" t="s">
        <v>37</v>
      </c>
      <c r="D76" s="17" t="s">
        <v>38</v>
      </c>
      <c r="E76" s="17" t="s">
        <v>169</v>
      </c>
      <c r="F76" s="14" t="s">
        <v>80</v>
      </c>
      <c r="G76" s="3" t="s">
        <v>41</v>
      </c>
      <c r="H76" s="14" t="s">
        <v>70</v>
      </c>
      <c r="I76" s="14" t="s">
        <v>43</v>
      </c>
      <c r="J76" s="14"/>
      <c r="K76" s="19" t="s">
        <v>197</v>
      </c>
      <c r="L76" s="19"/>
      <c r="M76" s="17" t="s">
        <v>171</v>
      </c>
      <c r="N76" s="17" t="s">
        <v>76</v>
      </c>
      <c r="O76" s="17" t="s">
        <v>77</v>
      </c>
      <c r="P76" s="17" t="s">
        <v>65</v>
      </c>
      <c r="Q76" s="17" t="s">
        <v>129</v>
      </c>
      <c r="R76" s="21" t="n">
        <v>2294.5</v>
      </c>
      <c r="S76" s="21" t="n">
        <v>4500</v>
      </c>
      <c r="T76" s="23" t="n">
        <v>0</v>
      </c>
      <c r="U76" s="1" t="str">
        <f aca="false">D76&amp;"-"&amp;E76&amp;"-"&amp;M76&amp;"-"&amp;O76&amp;"-"&amp;P76&amp;"-"&amp;Q76</f>
        <v>FREYA-STARLIGHT-AA5202-BLACK-36-GG</v>
      </c>
    </row>
    <row r="77" customFormat="false" ht="15" hidden="true" customHeight="false" outlineLevel="0" collapsed="false">
      <c r="B77" s="17" t="s">
        <v>198</v>
      </c>
      <c r="C77" s="17" t="s">
        <v>37</v>
      </c>
      <c r="D77" s="17" t="s">
        <v>38</v>
      </c>
      <c r="E77" s="17" t="s">
        <v>169</v>
      </c>
      <c r="F77" s="14" t="s">
        <v>80</v>
      </c>
      <c r="G77" s="3" t="s">
        <v>41</v>
      </c>
      <c r="H77" s="14" t="s">
        <v>70</v>
      </c>
      <c r="I77" s="14" t="s">
        <v>43</v>
      </c>
      <c r="J77" s="14"/>
      <c r="K77" s="19" t="s">
        <v>199</v>
      </c>
      <c r="L77" s="19"/>
      <c r="M77" s="17" t="s">
        <v>171</v>
      </c>
      <c r="N77" s="17" t="s">
        <v>76</v>
      </c>
      <c r="O77" s="17" t="s">
        <v>77</v>
      </c>
      <c r="P77" s="17" t="s">
        <v>65</v>
      </c>
      <c r="Q77" s="17" t="s">
        <v>143</v>
      </c>
      <c r="R77" s="21" t="n">
        <v>2294.5</v>
      </c>
      <c r="S77" s="21" t="n">
        <v>4500</v>
      </c>
      <c r="T77" s="23" t="n">
        <v>0</v>
      </c>
      <c r="U77" s="1" t="str">
        <f aca="false">D77&amp;"-"&amp;E77&amp;"-"&amp;M77&amp;"-"&amp;O77&amp;"-"&amp;P77&amp;"-"&amp;Q77</f>
        <v>FREYA-STARLIGHT-AA5202-BLACK-36-H</v>
      </c>
    </row>
    <row r="78" customFormat="false" ht="15" hidden="true" customHeight="false" outlineLevel="0" collapsed="false">
      <c r="B78" s="17" t="s">
        <v>200</v>
      </c>
      <c r="C78" s="17" t="s">
        <v>37</v>
      </c>
      <c r="D78" s="17" t="s">
        <v>38</v>
      </c>
      <c r="E78" s="17" t="s">
        <v>169</v>
      </c>
      <c r="F78" s="14" t="s">
        <v>80</v>
      </c>
      <c r="G78" s="3" t="s">
        <v>41</v>
      </c>
      <c r="H78" s="14" t="s">
        <v>70</v>
      </c>
      <c r="I78" s="14" t="s">
        <v>43</v>
      </c>
      <c r="J78" s="14"/>
      <c r="K78" s="19" t="s">
        <v>201</v>
      </c>
      <c r="L78" s="19"/>
      <c r="M78" s="17" t="s">
        <v>171</v>
      </c>
      <c r="N78" s="17" t="s">
        <v>76</v>
      </c>
      <c r="O78" s="17" t="s">
        <v>77</v>
      </c>
      <c r="P78" s="17" t="s">
        <v>65</v>
      </c>
      <c r="Q78" s="17" t="s">
        <v>131</v>
      </c>
      <c r="R78" s="21" t="n">
        <v>2294.5</v>
      </c>
      <c r="S78" s="21" t="n">
        <v>4500</v>
      </c>
      <c r="T78" s="23" t="n">
        <v>0</v>
      </c>
      <c r="U78" s="1" t="str">
        <f aca="false">D78&amp;"-"&amp;E78&amp;"-"&amp;M78&amp;"-"&amp;O78&amp;"-"&amp;P78&amp;"-"&amp;Q78</f>
        <v>FREYA-STARLIGHT-AA5202-BLACK-36-HH</v>
      </c>
    </row>
    <row r="79" customFormat="false" ht="15" hidden="true" customHeight="false" outlineLevel="0" collapsed="false">
      <c r="B79" s="17" t="s">
        <v>202</v>
      </c>
      <c r="C79" s="17" t="s">
        <v>37</v>
      </c>
      <c r="D79" s="17" t="s">
        <v>38</v>
      </c>
      <c r="E79" s="17" t="s">
        <v>169</v>
      </c>
      <c r="F79" s="14" t="s">
        <v>80</v>
      </c>
      <c r="G79" s="3" t="s">
        <v>41</v>
      </c>
      <c r="H79" s="14" t="s">
        <v>70</v>
      </c>
      <c r="I79" s="14" t="s">
        <v>43</v>
      </c>
      <c r="J79" s="14"/>
      <c r="K79" s="19" t="s">
        <v>203</v>
      </c>
      <c r="L79" s="19"/>
      <c r="M79" s="17" t="s">
        <v>171</v>
      </c>
      <c r="N79" s="17" t="s">
        <v>204</v>
      </c>
      <c r="O79" s="17" t="s">
        <v>120</v>
      </c>
      <c r="P79" s="17" t="s">
        <v>55</v>
      </c>
      <c r="Q79" s="17" t="s">
        <v>66</v>
      </c>
      <c r="R79" s="21" t="n">
        <v>272</v>
      </c>
      <c r="S79" s="21" t="n">
        <v>4500</v>
      </c>
      <c r="T79" s="23" t="n">
        <v>1</v>
      </c>
      <c r="U79" s="1" t="str">
        <f aca="false">D79&amp;"-"&amp;E79&amp;"-"&amp;M79&amp;"-"&amp;O79&amp;"-"&amp;P79&amp;"-"&amp;Q79</f>
        <v>FREYA-STARLIGHT-AA5202-Skin-30-E</v>
      </c>
    </row>
    <row r="80" customFormat="false" ht="15" hidden="true" customHeight="false" outlineLevel="0" collapsed="false">
      <c r="B80" s="17" t="s">
        <v>205</v>
      </c>
      <c r="C80" s="17" t="s">
        <v>37</v>
      </c>
      <c r="D80" s="17" t="s">
        <v>38</v>
      </c>
      <c r="E80" s="17" t="s">
        <v>169</v>
      </c>
      <c r="F80" s="14" t="s">
        <v>80</v>
      </c>
      <c r="G80" s="3" t="s">
        <v>41</v>
      </c>
      <c r="H80" s="14" t="s">
        <v>70</v>
      </c>
      <c r="I80" s="14" t="s">
        <v>43</v>
      </c>
      <c r="J80" s="14"/>
      <c r="K80" s="19" t="s">
        <v>206</v>
      </c>
      <c r="L80" s="19"/>
      <c r="M80" s="17" t="s">
        <v>171</v>
      </c>
      <c r="N80" s="17" t="s">
        <v>204</v>
      </c>
      <c r="O80" s="17" t="s">
        <v>120</v>
      </c>
      <c r="P80" s="17" t="s">
        <v>55</v>
      </c>
      <c r="Q80" s="17" t="s">
        <v>105</v>
      </c>
      <c r="R80" s="21" t="n">
        <v>2294.5</v>
      </c>
      <c r="S80" s="21" t="n">
        <v>4500</v>
      </c>
      <c r="T80" s="23" t="n">
        <v>0</v>
      </c>
      <c r="U80" s="1" t="str">
        <f aca="false">D80&amp;"-"&amp;E80&amp;"-"&amp;M80&amp;"-"&amp;O80&amp;"-"&amp;P80&amp;"-"&amp;Q80</f>
        <v>FREYA-STARLIGHT-AA5202-Skin-30-G</v>
      </c>
    </row>
    <row r="81" customFormat="false" ht="15" hidden="true" customHeight="false" outlineLevel="0" collapsed="false">
      <c r="B81" s="17" t="s">
        <v>207</v>
      </c>
      <c r="C81" s="17" t="s">
        <v>37</v>
      </c>
      <c r="D81" s="17" t="s">
        <v>38</v>
      </c>
      <c r="E81" s="17" t="s">
        <v>169</v>
      </c>
      <c r="F81" s="14" t="s">
        <v>80</v>
      </c>
      <c r="G81" s="3" t="s">
        <v>41</v>
      </c>
      <c r="H81" s="14" t="s">
        <v>70</v>
      </c>
      <c r="I81" s="14" t="s">
        <v>43</v>
      </c>
      <c r="J81" s="14"/>
      <c r="K81" s="19" t="s">
        <v>203</v>
      </c>
      <c r="L81" s="19"/>
      <c r="M81" s="17" t="s">
        <v>171</v>
      </c>
      <c r="N81" s="17" t="s">
        <v>204</v>
      </c>
      <c r="O81" s="17" t="s">
        <v>120</v>
      </c>
      <c r="P81" s="17" t="s">
        <v>92</v>
      </c>
      <c r="Q81" s="17" t="s">
        <v>50</v>
      </c>
      <c r="R81" s="21" t="n">
        <v>1256.36</v>
      </c>
      <c r="S81" s="21" t="n">
        <v>4500</v>
      </c>
      <c r="T81" s="23" t="n">
        <v>1</v>
      </c>
      <c r="U81" s="1" t="str">
        <f aca="false">D81&amp;"-"&amp;E81&amp;"-"&amp;M81&amp;"-"&amp;O81&amp;"-"&amp;P81&amp;"-"&amp;Q81</f>
        <v>FREYA-STARLIGHT-AA5202-Skin-32-F</v>
      </c>
    </row>
    <row r="82" customFormat="false" ht="15" hidden="true" customHeight="false" outlineLevel="0" collapsed="false">
      <c r="B82" s="17" t="s">
        <v>208</v>
      </c>
      <c r="C82" s="17" t="s">
        <v>37</v>
      </c>
      <c r="D82" s="17" t="s">
        <v>38</v>
      </c>
      <c r="E82" s="17" t="s">
        <v>169</v>
      </c>
      <c r="F82" s="14" t="s">
        <v>80</v>
      </c>
      <c r="G82" s="3" t="s">
        <v>41</v>
      </c>
      <c r="H82" s="14" t="s">
        <v>70</v>
      </c>
      <c r="I82" s="14" t="s">
        <v>43</v>
      </c>
      <c r="J82" s="14"/>
      <c r="K82" s="19" t="s">
        <v>203</v>
      </c>
      <c r="L82" s="19"/>
      <c r="M82" s="17" t="s">
        <v>171</v>
      </c>
      <c r="N82" s="17" t="s">
        <v>204</v>
      </c>
      <c r="O82" s="17" t="s">
        <v>120</v>
      </c>
      <c r="P82" s="17" t="s">
        <v>92</v>
      </c>
      <c r="Q82" s="17" t="s">
        <v>62</v>
      </c>
      <c r="R82" s="21" t="n">
        <v>2525.5</v>
      </c>
      <c r="S82" s="21" t="n">
        <v>4500</v>
      </c>
      <c r="T82" s="23" t="n">
        <v>0</v>
      </c>
      <c r="U82" s="1" t="str">
        <f aca="false">D82&amp;"-"&amp;E82&amp;"-"&amp;M82&amp;"-"&amp;O82&amp;"-"&amp;P82&amp;"-"&amp;Q82</f>
        <v>FREYA-STARLIGHT-AA5202-Skin-32-FF</v>
      </c>
    </row>
    <row r="83" customFormat="false" ht="15" hidden="true" customHeight="false" outlineLevel="0" collapsed="false">
      <c r="B83" s="17" t="s">
        <v>209</v>
      </c>
      <c r="C83" s="17" t="s">
        <v>37</v>
      </c>
      <c r="D83" s="17" t="s">
        <v>38</v>
      </c>
      <c r="E83" s="17" t="s">
        <v>169</v>
      </c>
      <c r="F83" s="14" t="s">
        <v>80</v>
      </c>
      <c r="G83" s="3" t="s">
        <v>41</v>
      </c>
      <c r="H83" s="14" t="s">
        <v>70</v>
      </c>
      <c r="I83" s="14" t="s">
        <v>43</v>
      </c>
      <c r="J83" s="14"/>
      <c r="K83" s="19" t="s">
        <v>210</v>
      </c>
      <c r="L83" s="19"/>
      <c r="M83" s="17" t="s">
        <v>171</v>
      </c>
      <c r="N83" s="17" t="s">
        <v>204</v>
      </c>
      <c r="O83" s="17" t="s">
        <v>120</v>
      </c>
      <c r="P83" s="17" t="s">
        <v>134</v>
      </c>
      <c r="Q83" s="17" t="s">
        <v>50</v>
      </c>
      <c r="R83" s="21" t="n">
        <v>2294.5</v>
      </c>
      <c r="S83" s="21" t="n">
        <v>4500</v>
      </c>
      <c r="T83" s="23" t="n">
        <v>0</v>
      </c>
      <c r="U83" s="1" t="str">
        <f aca="false">D83&amp;"-"&amp;E83&amp;"-"&amp;M83&amp;"-"&amp;O83&amp;"-"&amp;P83&amp;"-"&amp;Q83</f>
        <v>FREYA-STARLIGHT-AA5202-Skin-34-F</v>
      </c>
    </row>
    <row r="84" customFormat="false" ht="15" hidden="true" customHeight="false" outlineLevel="0" collapsed="false">
      <c r="B84" s="17" t="s">
        <v>211</v>
      </c>
      <c r="C84" s="17" t="s">
        <v>37</v>
      </c>
      <c r="D84" s="17" t="s">
        <v>38</v>
      </c>
      <c r="E84" s="17" t="s">
        <v>169</v>
      </c>
      <c r="F84" s="14" t="s">
        <v>80</v>
      </c>
      <c r="G84" s="3" t="s">
        <v>41</v>
      </c>
      <c r="H84" s="14" t="s">
        <v>70</v>
      </c>
      <c r="I84" s="14" t="s">
        <v>43</v>
      </c>
      <c r="J84" s="14"/>
      <c r="K84" s="19" t="s">
        <v>212</v>
      </c>
      <c r="L84" s="19"/>
      <c r="M84" s="17" t="s">
        <v>171</v>
      </c>
      <c r="N84" s="17" t="s">
        <v>204</v>
      </c>
      <c r="O84" s="17" t="s">
        <v>120</v>
      </c>
      <c r="P84" s="17" t="s">
        <v>134</v>
      </c>
      <c r="Q84" s="17" t="s">
        <v>62</v>
      </c>
      <c r="R84" s="21" t="n">
        <v>2294.5</v>
      </c>
      <c r="S84" s="21" t="n">
        <v>4500</v>
      </c>
      <c r="T84" s="23" t="n">
        <v>1</v>
      </c>
      <c r="U84" s="1" t="str">
        <f aca="false">D84&amp;"-"&amp;E84&amp;"-"&amp;M84&amp;"-"&amp;O84&amp;"-"&amp;P84&amp;"-"&amp;Q84</f>
        <v>FREYA-STARLIGHT-AA5202-Skin-34-FF</v>
      </c>
    </row>
    <row r="85" customFormat="false" ht="15" hidden="true" customHeight="false" outlineLevel="0" collapsed="false">
      <c r="B85" s="17" t="s">
        <v>213</v>
      </c>
      <c r="C85" s="17" t="s">
        <v>37</v>
      </c>
      <c r="D85" s="17" t="s">
        <v>38</v>
      </c>
      <c r="E85" s="17" t="s">
        <v>169</v>
      </c>
      <c r="F85" s="14" t="s">
        <v>80</v>
      </c>
      <c r="G85" s="3" t="s">
        <v>41</v>
      </c>
      <c r="H85" s="14" t="s">
        <v>70</v>
      </c>
      <c r="I85" s="14" t="s">
        <v>43</v>
      </c>
      <c r="J85" s="14"/>
      <c r="K85" s="19" t="s">
        <v>214</v>
      </c>
      <c r="L85" s="19"/>
      <c r="M85" s="17" t="s">
        <v>171</v>
      </c>
      <c r="N85" s="17" t="s">
        <v>204</v>
      </c>
      <c r="O85" s="17" t="s">
        <v>120</v>
      </c>
      <c r="P85" s="17" t="s">
        <v>134</v>
      </c>
      <c r="Q85" s="17" t="s">
        <v>105</v>
      </c>
      <c r="R85" s="21" t="n">
        <v>2525.5</v>
      </c>
      <c r="S85" s="21" t="n">
        <v>4500</v>
      </c>
      <c r="T85" s="23" t="n">
        <v>0</v>
      </c>
      <c r="U85" s="1" t="str">
        <f aca="false">D85&amp;"-"&amp;E85&amp;"-"&amp;M85&amp;"-"&amp;O85&amp;"-"&amp;P85&amp;"-"&amp;Q85</f>
        <v>FREYA-STARLIGHT-AA5202-Skin-34-G</v>
      </c>
    </row>
    <row r="86" customFormat="false" ht="15" hidden="true" customHeight="false" outlineLevel="0" collapsed="false">
      <c r="B86" s="17" t="s">
        <v>215</v>
      </c>
      <c r="C86" s="17" t="s">
        <v>37</v>
      </c>
      <c r="D86" s="17" t="s">
        <v>38</v>
      </c>
      <c r="E86" s="17" t="s">
        <v>169</v>
      </c>
      <c r="F86" s="14" t="s">
        <v>80</v>
      </c>
      <c r="G86" s="3" t="s">
        <v>41</v>
      </c>
      <c r="H86" s="14" t="s">
        <v>70</v>
      </c>
      <c r="I86" s="14" t="s">
        <v>43</v>
      </c>
      <c r="J86" s="14"/>
      <c r="K86" s="19" t="s">
        <v>216</v>
      </c>
      <c r="L86" s="19"/>
      <c r="M86" s="17" t="s">
        <v>171</v>
      </c>
      <c r="N86" s="17" t="s">
        <v>204</v>
      </c>
      <c r="O86" s="17" t="s">
        <v>120</v>
      </c>
      <c r="P86" s="17" t="s">
        <v>65</v>
      </c>
      <c r="Q86" s="17" t="s">
        <v>50</v>
      </c>
      <c r="R86" s="21" t="n">
        <v>2294.5</v>
      </c>
      <c r="S86" s="21" t="n">
        <v>4500</v>
      </c>
      <c r="T86" s="23" t="n">
        <v>1</v>
      </c>
      <c r="U86" s="1" t="str">
        <f aca="false">D86&amp;"-"&amp;E86&amp;"-"&amp;M86&amp;"-"&amp;O86&amp;"-"&amp;P86&amp;"-"&amp;Q86</f>
        <v>FREYA-STARLIGHT-AA5202-Skin-36-F</v>
      </c>
    </row>
    <row r="87" customFormat="false" ht="15" hidden="true" customHeight="false" outlineLevel="0" collapsed="false">
      <c r="B87" s="17" t="s">
        <v>217</v>
      </c>
      <c r="C87" s="17" t="s">
        <v>37</v>
      </c>
      <c r="D87" s="17" t="s">
        <v>38</v>
      </c>
      <c r="E87" s="17" t="s">
        <v>169</v>
      </c>
      <c r="F87" s="14" t="s">
        <v>80</v>
      </c>
      <c r="G87" s="3" t="s">
        <v>41</v>
      </c>
      <c r="H87" s="14" t="s">
        <v>70</v>
      </c>
      <c r="I87" s="14" t="s">
        <v>43</v>
      </c>
      <c r="J87" s="14"/>
      <c r="K87" s="19" t="s">
        <v>218</v>
      </c>
      <c r="L87" s="19"/>
      <c r="M87" s="17" t="s">
        <v>171</v>
      </c>
      <c r="N87" s="17" t="s">
        <v>204</v>
      </c>
      <c r="O87" s="17" t="s">
        <v>120</v>
      </c>
      <c r="P87" s="17" t="s">
        <v>65</v>
      </c>
      <c r="Q87" s="17" t="s">
        <v>62</v>
      </c>
      <c r="R87" s="21" t="n">
        <v>2520</v>
      </c>
      <c r="S87" s="21" t="n">
        <v>4500</v>
      </c>
      <c r="T87" s="23" t="n">
        <v>1</v>
      </c>
      <c r="U87" s="1" t="str">
        <f aca="false">D87&amp;"-"&amp;E87&amp;"-"&amp;M87&amp;"-"&amp;O87&amp;"-"&amp;P87&amp;"-"&amp;Q87</f>
        <v>FREYA-STARLIGHT-AA5202-Skin-36-FF</v>
      </c>
    </row>
    <row r="88" customFormat="false" ht="15" hidden="true" customHeight="false" outlineLevel="0" collapsed="false">
      <c r="B88" s="17" t="s">
        <v>219</v>
      </c>
      <c r="C88" s="17" t="s">
        <v>37</v>
      </c>
      <c r="D88" s="17" t="s">
        <v>38</v>
      </c>
      <c r="E88" s="17" t="s">
        <v>169</v>
      </c>
      <c r="F88" s="14" t="s">
        <v>80</v>
      </c>
      <c r="G88" s="3" t="s">
        <v>41</v>
      </c>
      <c r="H88" s="14" t="s">
        <v>70</v>
      </c>
      <c r="I88" s="14" t="s">
        <v>43</v>
      </c>
      <c r="J88" s="14"/>
      <c r="K88" s="19" t="s">
        <v>220</v>
      </c>
      <c r="L88" s="19"/>
      <c r="M88" s="17" t="s">
        <v>171</v>
      </c>
      <c r="N88" s="17" t="s">
        <v>204</v>
      </c>
      <c r="O88" s="17" t="s">
        <v>120</v>
      </c>
      <c r="P88" s="17" t="s">
        <v>65</v>
      </c>
      <c r="Q88" s="17" t="s">
        <v>105</v>
      </c>
      <c r="R88" s="21" t="n">
        <v>2525.5</v>
      </c>
      <c r="S88" s="21" t="n">
        <v>4500</v>
      </c>
      <c r="T88" s="23" t="n">
        <v>1</v>
      </c>
      <c r="U88" s="1" t="str">
        <f aca="false">D88&amp;"-"&amp;E88&amp;"-"&amp;M88&amp;"-"&amp;O88&amp;"-"&amp;P88&amp;"-"&amp;Q88</f>
        <v>FREYA-STARLIGHT-AA5202-Skin-36-G</v>
      </c>
    </row>
    <row r="89" customFormat="false" ht="15" hidden="true" customHeight="false" outlineLevel="0" collapsed="false">
      <c r="B89" s="17" t="s">
        <v>221</v>
      </c>
      <c r="C89" s="17" t="s">
        <v>37</v>
      </c>
      <c r="D89" s="17" t="s">
        <v>38</v>
      </c>
      <c r="E89" s="17" t="s">
        <v>169</v>
      </c>
      <c r="F89" s="14" t="s">
        <v>80</v>
      </c>
      <c r="G89" s="3" t="s">
        <v>41</v>
      </c>
      <c r="H89" s="14" t="s">
        <v>70</v>
      </c>
      <c r="I89" s="14" t="s">
        <v>43</v>
      </c>
      <c r="J89" s="14"/>
      <c r="K89" s="19" t="s">
        <v>222</v>
      </c>
      <c r="L89" s="19"/>
      <c r="M89" s="17" t="s">
        <v>171</v>
      </c>
      <c r="N89" s="17" t="s">
        <v>204</v>
      </c>
      <c r="O89" s="17" t="s">
        <v>120</v>
      </c>
      <c r="P89" s="17" t="s">
        <v>154</v>
      </c>
      <c r="Q89" s="17" t="s">
        <v>62</v>
      </c>
      <c r="R89" s="21" t="n">
        <v>2294.5</v>
      </c>
      <c r="S89" s="21" t="n">
        <v>4500</v>
      </c>
      <c r="T89" s="23" t="n">
        <v>2</v>
      </c>
      <c r="U89" s="1" t="str">
        <f aca="false">D89&amp;"-"&amp;E89&amp;"-"&amp;M89&amp;"-"&amp;O89&amp;"-"&amp;P89&amp;"-"&amp;Q89</f>
        <v>FREYA-STARLIGHT-AA5202-Skin-38-FF</v>
      </c>
    </row>
    <row r="90" customFormat="false" ht="15" hidden="true" customHeight="false" outlineLevel="0" collapsed="false">
      <c r="B90" s="17" t="s">
        <v>223</v>
      </c>
      <c r="C90" s="17" t="s">
        <v>37</v>
      </c>
      <c r="D90" s="17" t="s">
        <v>38</v>
      </c>
      <c r="E90" s="17" t="s">
        <v>169</v>
      </c>
      <c r="F90" s="14" t="s">
        <v>80</v>
      </c>
      <c r="G90" s="3" t="s">
        <v>41</v>
      </c>
      <c r="H90" s="14" t="s">
        <v>70</v>
      </c>
      <c r="I90" s="14" t="s">
        <v>43</v>
      </c>
      <c r="J90" s="14"/>
      <c r="K90" s="19" t="s">
        <v>224</v>
      </c>
      <c r="L90" s="19"/>
      <c r="M90" s="17" t="s">
        <v>171</v>
      </c>
      <c r="N90" s="17" t="s">
        <v>204</v>
      </c>
      <c r="O90" s="17" t="s">
        <v>120</v>
      </c>
      <c r="P90" s="17" t="s">
        <v>154</v>
      </c>
      <c r="Q90" s="17" t="s">
        <v>105</v>
      </c>
      <c r="R90" s="21" t="n">
        <v>2294.5</v>
      </c>
      <c r="S90" s="21" t="n">
        <v>4500</v>
      </c>
      <c r="T90" s="23" t="n">
        <v>0</v>
      </c>
      <c r="U90" s="1" t="str">
        <f aca="false">D90&amp;"-"&amp;E90&amp;"-"&amp;M90&amp;"-"&amp;O90&amp;"-"&amp;P90&amp;"-"&amp;Q90</f>
        <v>FREYA-STARLIGHT-AA5202-Skin-38-G</v>
      </c>
    </row>
    <row r="91" customFormat="false" ht="15" hidden="true" customHeight="false" outlineLevel="0" collapsed="false">
      <c r="B91" s="17" t="s">
        <v>225</v>
      </c>
      <c r="C91" s="17" t="s">
        <v>37</v>
      </c>
      <c r="D91" s="17" t="s">
        <v>38</v>
      </c>
      <c r="E91" s="17" t="s">
        <v>169</v>
      </c>
      <c r="F91" s="14" t="s">
        <v>80</v>
      </c>
      <c r="G91" s="3" t="s">
        <v>41</v>
      </c>
      <c r="H91" s="14" t="s">
        <v>70</v>
      </c>
      <c r="I91" s="14" t="s">
        <v>43</v>
      </c>
      <c r="J91" s="14"/>
      <c r="K91" s="19" t="s">
        <v>226</v>
      </c>
      <c r="L91" s="19"/>
      <c r="M91" s="17" t="s">
        <v>171</v>
      </c>
      <c r="N91" s="17" t="s">
        <v>204</v>
      </c>
      <c r="O91" s="17" t="s">
        <v>120</v>
      </c>
      <c r="P91" s="17" t="s">
        <v>154</v>
      </c>
      <c r="Q91" s="17" t="s">
        <v>129</v>
      </c>
      <c r="R91" s="21" t="n">
        <v>2294.5</v>
      </c>
      <c r="S91" s="21" t="n">
        <v>4500</v>
      </c>
      <c r="T91" s="23" t="n">
        <v>0</v>
      </c>
      <c r="U91" s="1" t="str">
        <f aca="false">D91&amp;"-"&amp;E91&amp;"-"&amp;M91&amp;"-"&amp;O91&amp;"-"&amp;P91&amp;"-"&amp;Q91</f>
        <v>FREYA-STARLIGHT-AA5202-Skin-38-GG</v>
      </c>
    </row>
    <row r="92" customFormat="false" ht="15" hidden="true" customHeight="false" outlineLevel="0" collapsed="false">
      <c r="B92" s="17" t="s">
        <v>227</v>
      </c>
      <c r="C92" s="17" t="s">
        <v>37</v>
      </c>
      <c r="D92" s="17" t="s">
        <v>38</v>
      </c>
      <c r="E92" s="17" t="s">
        <v>169</v>
      </c>
      <c r="F92" s="14" t="s">
        <v>80</v>
      </c>
      <c r="G92" s="3" t="s">
        <v>41</v>
      </c>
      <c r="H92" s="14" t="s">
        <v>70</v>
      </c>
      <c r="I92" s="14" t="s">
        <v>43</v>
      </c>
      <c r="J92" s="14"/>
      <c r="K92" s="19" t="s">
        <v>228</v>
      </c>
      <c r="L92" s="19"/>
      <c r="M92" s="17" t="s">
        <v>171</v>
      </c>
      <c r="N92" s="17" t="s">
        <v>204</v>
      </c>
      <c r="O92" s="17" t="s">
        <v>120</v>
      </c>
      <c r="P92" s="17" t="s">
        <v>154</v>
      </c>
      <c r="Q92" s="17" t="s">
        <v>143</v>
      </c>
      <c r="R92" s="21" t="n">
        <v>2294.5</v>
      </c>
      <c r="S92" s="21" t="n">
        <v>4500</v>
      </c>
      <c r="T92" s="23" t="n">
        <v>0</v>
      </c>
      <c r="U92" s="1" t="str">
        <f aca="false">D92&amp;"-"&amp;E92&amp;"-"&amp;M92&amp;"-"&amp;O92&amp;"-"&amp;P92&amp;"-"&amp;Q92</f>
        <v>FREYA-STARLIGHT-AA5202-Skin-38-H</v>
      </c>
    </row>
    <row r="93" customFormat="false" ht="15" hidden="true" customHeight="false" outlineLevel="0" collapsed="false">
      <c r="B93" s="17" t="s">
        <v>229</v>
      </c>
      <c r="C93" s="17" t="s">
        <v>37</v>
      </c>
      <c r="D93" s="17" t="s">
        <v>38</v>
      </c>
      <c r="E93" s="17" t="s">
        <v>169</v>
      </c>
      <c r="F93" s="14" t="s">
        <v>80</v>
      </c>
      <c r="G93" s="3" t="s">
        <v>41</v>
      </c>
      <c r="H93" s="14" t="s">
        <v>70</v>
      </c>
      <c r="I93" s="14" t="s">
        <v>43</v>
      </c>
      <c r="J93" s="14"/>
      <c r="K93" s="19" t="s">
        <v>230</v>
      </c>
      <c r="L93" s="19"/>
      <c r="M93" s="17" t="s">
        <v>171</v>
      </c>
      <c r="N93" s="17" t="s">
        <v>204</v>
      </c>
      <c r="O93" s="17" t="s">
        <v>120</v>
      </c>
      <c r="P93" s="17" t="s">
        <v>154</v>
      </c>
      <c r="Q93" s="17" t="s">
        <v>131</v>
      </c>
      <c r="R93" s="21" t="n">
        <v>2552</v>
      </c>
      <c r="S93" s="21" t="n">
        <v>4500</v>
      </c>
      <c r="T93" s="23" t="n">
        <v>0</v>
      </c>
      <c r="U93" s="1" t="str">
        <f aca="false">D93&amp;"-"&amp;E93&amp;"-"&amp;M93&amp;"-"&amp;O93&amp;"-"&amp;P93&amp;"-"&amp;Q93</f>
        <v>FREYA-STARLIGHT-AA5202-Skin-38-HH</v>
      </c>
    </row>
    <row r="94" customFormat="false" ht="15" hidden="true" customHeight="false" outlineLevel="0" collapsed="false">
      <c r="B94" s="17" t="s">
        <v>231</v>
      </c>
      <c r="C94" s="17" t="s">
        <v>37</v>
      </c>
      <c r="D94" s="17" t="s">
        <v>38</v>
      </c>
      <c r="E94" s="17" t="s">
        <v>169</v>
      </c>
      <c r="F94" s="14" t="s">
        <v>80</v>
      </c>
      <c r="G94" s="3" t="s">
        <v>41</v>
      </c>
      <c r="H94" s="14" t="s">
        <v>70</v>
      </c>
      <c r="I94" s="14" t="s">
        <v>43</v>
      </c>
      <c r="J94" s="14"/>
      <c r="K94" s="19" t="s">
        <v>232</v>
      </c>
      <c r="L94" s="19"/>
      <c r="M94" s="17" t="s">
        <v>171</v>
      </c>
      <c r="N94" s="17" t="s">
        <v>204</v>
      </c>
      <c r="O94" s="17" t="s">
        <v>120</v>
      </c>
      <c r="P94" s="17" t="s">
        <v>92</v>
      </c>
      <c r="Q94" s="17" t="s">
        <v>129</v>
      </c>
      <c r="R94" s="21" t="n">
        <v>2294.5</v>
      </c>
      <c r="S94" s="21" t="n">
        <v>4500</v>
      </c>
      <c r="T94" s="23" t="n">
        <v>0</v>
      </c>
      <c r="U94" s="1" t="str">
        <f aca="false">D94&amp;"-"&amp;E94&amp;"-"&amp;M94&amp;"-"&amp;O94&amp;"-"&amp;P94&amp;"-"&amp;Q94</f>
        <v>FREYA-STARLIGHT-AA5202-Skin-32-GG</v>
      </c>
    </row>
    <row r="95" customFormat="false" ht="15" hidden="true" customHeight="false" outlineLevel="0" collapsed="false">
      <c r="B95" s="17" t="s">
        <v>233</v>
      </c>
      <c r="C95" s="17" t="s">
        <v>37</v>
      </c>
      <c r="D95" s="17" t="s">
        <v>38</v>
      </c>
      <c r="E95" s="17" t="s">
        <v>169</v>
      </c>
      <c r="F95" s="14" t="s">
        <v>80</v>
      </c>
      <c r="G95" s="3" t="s">
        <v>41</v>
      </c>
      <c r="H95" s="14" t="s">
        <v>70</v>
      </c>
      <c r="I95" s="14" t="s">
        <v>43</v>
      </c>
      <c r="J95" s="14"/>
      <c r="K95" s="19" t="s">
        <v>234</v>
      </c>
      <c r="L95" s="19"/>
      <c r="M95" s="17" t="s">
        <v>171</v>
      </c>
      <c r="N95" s="17" t="s">
        <v>204</v>
      </c>
      <c r="O95" s="17" t="s">
        <v>120</v>
      </c>
      <c r="P95" s="17" t="s">
        <v>92</v>
      </c>
      <c r="Q95" s="17" t="s">
        <v>143</v>
      </c>
      <c r="R95" s="21" t="n">
        <v>2294.5</v>
      </c>
      <c r="S95" s="21" t="n">
        <v>4500</v>
      </c>
      <c r="T95" s="23" t="n">
        <v>0</v>
      </c>
      <c r="U95" s="1" t="str">
        <f aca="false">D95&amp;"-"&amp;E95&amp;"-"&amp;M95&amp;"-"&amp;O95&amp;"-"&amp;P95&amp;"-"&amp;Q95</f>
        <v>FREYA-STARLIGHT-AA5202-Skin-32-H</v>
      </c>
    </row>
    <row r="96" customFormat="false" ht="15" hidden="true" customHeight="false" outlineLevel="0" collapsed="false">
      <c r="B96" s="17" t="s">
        <v>235</v>
      </c>
      <c r="C96" s="17" t="s">
        <v>37</v>
      </c>
      <c r="D96" s="17" t="s">
        <v>38</v>
      </c>
      <c r="E96" s="17" t="s">
        <v>169</v>
      </c>
      <c r="F96" s="14" t="s">
        <v>80</v>
      </c>
      <c r="G96" s="3" t="s">
        <v>41</v>
      </c>
      <c r="H96" s="14" t="s">
        <v>70</v>
      </c>
      <c r="I96" s="14" t="s">
        <v>43</v>
      </c>
      <c r="J96" s="14"/>
      <c r="K96" s="19" t="s">
        <v>236</v>
      </c>
      <c r="L96" s="19"/>
      <c r="M96" s="17" t="s">
        <v>171</v>
      </c>
      <c r="N96" s="17" t="s">
        <v>204</v>
      </c>
      <c r="O96" s="17" t="s">
        <v>120</v>
      </c>
      <c r="P96" s="17" t="s">
        <v>92</v>
      </c>
      <c r="Q96" s="17" t="s">
        <v>131</v>
      </c>
      <c r="R96" s="21" t="n">
        <v>2525.5</v>
      </c>
      <c r="S96" s="21" t="n">
        <v>4500</v>
      </c>
      <c r="T96" s="23" t="n">
        <v>0</v>
      </c>
      <c r="U96" s="1" t="str">
        <f aca="false">D96&amp;"-"&amp;E96&amp;"-"&amp;M96&amp;"-"&amp;O96&amp;"-"&amp;P96&amp;"-"&amp;Q96</f>
        <v>FREYA-STARLIGHT-AA5202-Skin-32-HH</v>
      </c>
    </row>
    <row r="97" customFormat="false" ht="15" hidden="true" customHeight="false" outlineLevel="0" collapsed="false">
      <c r="B97" s="17" t="s">
        <v>237</v>
      </c>
      <c r="C97" s="17" t="s">
        <v>37</v>
      </c>
      <c r="D97" s="17" t="s">
        <v>38</v>
      </c>
      <c r="E97" s="17" t="s">
        <v>169</v>
      </c>
      <c r="F97" s="14" t="s">
        <v>80</v>
      </c>
      <c r="G97" s="3" t="s">
        <v>41</v>
      </c>
      <c r="H97" s="14" t="s">
        <v>70</v>
      </c>
      <c r="I97" s="14" t="s">
        <v>43</v>
      </c>
      <c r="J97" s="14"/>
      <c r="K97" s="19" t="s">
        <v>171</v>
      </c>
      <c r="L97" s="19"/>
      <c r="M97" s="17" t="s">
        <v>171</v>
      </c>
      <c r="N97" s="17" t="s">
        <v>204</v>
      </c>
      <c r="O97" s="17" t="s">
        <v>120</v>
      </c>
      <c r="P97" s="17" t="s">
        <v>92</v>
      </c>
      <c r="Q97" s="17" t="s">
        <v>238</v>
      </c>
      <c r="R97" s="21" t="n">
        <v>2525.5</v>
      </c>
      <c r="S97" s="21" t="n">
        <v>4500</v>
      </c>
      <c r="T97" s="23" t="n">
        <v>1</v>
      </c>
      <c r="U97" s="1" t="str">
        <f aca="false">D97&amp;"-"&amp;E97&amp;"-"&amp;M97&amp;"-"&amp;O97&amp;"-"&amp;P97&amp;"-"&amp;Q97</f>
        <v>FREYA-STARLIGHT-AA5202-Skin-32-J</v>
      </c>
    </row>
    <row r="98" customFormat="false" ht="15" hidden="true" customHeight="false" outlineLevel="0" collapsed="false">
      <c r="B98" s="17" t="s">
        <v>239</v>
      </c>
      <c r="C98" s="17" t="s">
        <v>37</v>
      </c>
      <c r="D98" s="17" t="s">
        <v>38</v>
      </c>
      <c r="E98" s="17" t="s">
        <v>169</v>
      </c>
      <c r="F98" s="14" t="s">
        <v>80</v>
      </c>
      <c r="G98" s="3" t="s">
        <v>41</v>
      </c>
      <c r="H98" s="14" t="s">
        <v>70</v>
      </c>
      <c r="I98" s="14" t="s">
        <v>43</v>
      </c>
      <c r="J98" s="14"/>
      <c r="K98" s="19" t="s">
        <v>240</v>
      </c>
      <c r="L98" s="19"/>
      <c r="M98" s="17" t="s">
        <v>171</v>
      </c>
      <c r="N98" s="17" t="s">
        <v>204</v>
      </c>
      <c r="O98" s="17" t="s">
        <v>120</v>
      </c>
      <c r="P98" s="17" t="s">
        <v>134</v>
      </c>
      <c r="Q98" s="17" t="s">
        <v>143</v>
      </c>
      <c r="R98" s="21" t="n">
        <v>2525.5</v>
      </c>
      <c r="S98" s="21" t="n">
        <v>4500</v>
      </c>
      <c r="T98" s="23" t="n">
        <v>0</v>
      </c>
      <c r="U98" s="1" t="str">
        <f aca="false">D98&amp;"-"&amp;E98&amp;"-"&amp;M98&amp;"-"&amp;O98&amp;"-"&amp;P98&amp;"-"&amp;Q98</f>
        <v>FREYA-STARLIGHT-AA5202-Skin-34-H</v>
      </c>
    </row>
    <row r="99" customFormat="false" ht="15" hidden="true" customHeight="false" outlineLevel="0" collapsed="false">
      <c r="B99" s="17" t="s">
        <v>241</v>
      </c>
      <c r="C99" s="17" t="s">
        <v>37</v>
      </c>
      <c r="D99" s="17" t="s">
        <v>38</v>
      </c>
      <c r="E99" s="17" t="s">
        <v>169</v>
      </c>
      <c r="F99" s="14" t="s">
        <v>80</v>
      </c>
      <c r="G99" s="3" t="s">
        <v>41</v>
      </c>
      <c r="H99" s="14" t="s">
        <v>70</v>
      </c>
      <c r="I99" s="14" t="s">
        <v>43</v>
      </c>
      <c r="J99" s="14"/>
      <c r="K99" s="19" t="s">
        <v>242</v>
      </c>
      <c r="L99" s="19"/>
      <c r="M99" s="17" t="s">
        <v>171</v>
      </c>
      <c r="N99" s="17" t="s">
        <v>204</v>
      </c>
      <c r="O99" s="17" t="s">
        <v>120</v>
      </c>
      <c r="P99" s="17" t="s">
        <v>134</v>
      </c>
      <c r="Q99" s="17" t="s">
        <v>131</v>
      </c>
      <c r="R99" s="21" t="n">
        <v>2294.5</v>
      </c>
      <c r="S99" s="21" t="n">
        <v>4500</v>
      </c>
      <c r="T99" s="23" t="n">
        <v>0</v>
      </c>
      <c r="U99" s="1" t="str">
        <f aca="false">D99&amp;"-"&amp;E99&amp;"-"&amp;M99&amp;"-"&amp;O99&amp;"-"&amp;P99&amp;"-"&amp;Q99</f>
        <v>FREYA-STARLIGHT-AA5202-Skin-34-HH</v>
      </c>
    </row>
    <row r="100" customFormat="false" ht="15" hidden="true" customHeight="false" outlineLevel="0" collapsed="false">
      <c r="B100" s="17" t="s">
        <v>243</v>
      </c>
      <c r="C100" s="17" t="s">
        <v>37</v>
      </c>
      <c r="D100" s="17" t="s">
        <v>38</v>
      </c>
      <c r="E100" s="17" t="s">
        <v>169</v>
      </c>
      <c r="F100" s="14" t="s">
        <v>80</v>
      </c>
      <c r="G100" s="3" t="s">
        <v>41</v>
      </c>
      <c r="H100" s="14" t="s">
        <v>70</v>
      </c>
      <c r="I100" s="14" t="s">
        <v>43</v>
      </c>
      <c r="J100" s="14"/>
      <c r="K100" s="19" t="s">
        <v>171</v>
      </c>
      <c r="L100" s="19"/>
      <c r="M100" s="17" t="s">
        <v>171</v>
      </c>
      <c r="N100" s="17" t="s">
        <v>204</v>
      </c>
      <c r="O100" s="17" t="s">
        <v>120</v>
      </c>
      <c r="P100" s="17" t="s">
        <v>134</v>
      </c>
      <c r="Q100" s="17" t="s">
        <v>238</v>
      </c>
      <c r="R100" s="21" t="n">
        <v>2552</v>
      </c>
      <c r="S100" s="21" t="n">
        <v>4500</v>
      </c>
      <c r="T100" s="23" t="n">
        <v>0</v>
      </c>
      <c r="U100" s="1" t="str">
        <f aca="false">D100&amp;"-"&amp;E100&amp;"-"&amp;M100&amp;"-"&amp;O100&amp;"-"&amp;P100&amp;"-"&amp;Q100</f>
        <v>FREYA-STARLIGHT-AA5202-Skin-34-J</v>
      </c>
    </row>
    <row r="101" customFormat="false" ht="15" hidden="true" customHeight="false" outlineLevel="0" collapsed="false">
      <c r="B101" s="17" t="s">
        <v>244</v>
      </c>
      <c r="C101" s="17" t="s">
        <v>37</v>
      </c>
      <c r="D101" s="17" t="s">
        <v>38</v>
      </c>
      <c r="E101" s="17" t="s">
        <v>169</v>
      </c>
      <c r="F101" s="14" t="s">
        <v>80</v>
      </c>
      <c r="G101" s="3" t="s">
        <v>41</v>
      </c>
      <c r="H101" s="14" t="s">
        <v>70</v>
      </c>
      <c r="I101" s="14" t="s">
        <v>43</v>
      </c>
      <c r="J101" s="14"/>
      <c r="K101" s="19" t="s">
        <v>245</v>
      </c>
      <c r="L101" s="19"/>
      <c r="M101" s="17" t="s">
        <v>171</v>
      </c>
      <c r="N101" s="17" t="s">
        <v>204</v>
      </c>
      <c r="O101" s="17" t="s">
        <v>120</v>
      </c>
      <c r="P101" s="17" t="s">
        <v>65</v>
      </c>
      <c r="Q101" s="17" t="s">
        <v>129</v>
      </c>
      <c r="R101" s="21" t="n">
        <v>2294.5</v>
      </c>
      <c r="S101" s="21" t="n">
        <v>4500</v>
      </c>
      <c r="T101" s="23" t="n">
        <v>0</v>
      </c>
      <c r="U101" s="1" t="str">
        <f aca="false">D101&amp;"-"&amp;E101&amp;"-"&amp;M101&amp;"-"&amp;O101&amp;"-"&amp;P101&amp;"-"&amp;Q101</f>
        <v>FREYA-STARLIGHT-AA5202-Skin-36-GG</v>
      </c>
    </row>
    <row r="102" customFormat="false" ht="15" hidden="true" customHeight="false" outlineLevel="0" collapsed="false">
      <c r="B102" s="17" t="s">
        <v>246</v>
      </c>
      <c r="C102" s="17" t="s">
        <v>37</v>
      </c>
      <c r="D102" s="17" t="s">
        <v>38</v>
      </c>
      <c r="E102" s="17" t="s">
        <v>169</v>
      </c>
      <c r="F102" s="14" t="s">
        <v>80</v>
      </c>
      <c r="G102" s="3" t="s">
        <v>41</v>
      </c>
      <c r="H102" s="14" t="s">
        <v>70</v>
      </c>
      <c r="I102" s="14" t="s">
        <v>43</v>
      </c>
      <c r="J102" s="14"/>
      <c r="K102" s="19" t="s">
        <v>247</v>
      </c>
      <c r="L102" s="19"/>
      <c r="M102" s="17" t="s">
        <v>171</v>
      </c>
      <c r="N102" s="17" t="s">
        <v>204</v>
      </c>
      <c r="O102" s="17" t="s">
        <v>120</v>
      </c>
      <c r="P102" s="17" t="s">
        <v>65</v>
      </c>
      <c r="Q102" s="17" t="s">
        <v>143</v>
      </c>
      <c r="R102" s="21" t="n">
        <v>2525.5</v>
      </c>
      <c r="S102" s="21" t="n">
        <v>4500</v>
      </c>
      <c r="T102" s="23" t="n">
        <v>0</v>
      </c>
      <c r="U102" s="1" t="str">
        <f aca="false">D102&amp;"-"&amp;E102&amp;"-"&amp;M102&amp;"-"&amp;O102&amp;"-"&amp;P102&amp;"-"&amp;Q102</f>
        <v>FREYA-STARLIGHT-AA5202-Skin-36-H</v>
      </c>
    </row>
    <row r="103" customFormat="false" ht="15" hidden="true" customHeight="false" outlineLevel="0" collapsed="false">
      <c r="B103" s="17" t="s">
        <v>248</v>
      </c>
      <c r="C103" s="17" t="s">
        <v>37</v>
      </c>
      <c r="D103" s="17" t="s">
        <v>38</v>
      </c>
      <c r="E103" s="17" t="s">
        <v>169</v>
      </c>
      <c r="F103" s="14" t="s">
        <v>80</v>
      </c>
      <c r="G103" s="3" t="s">
        <v>41</v>
      </c>
      <c r="H103" s="14" t="s">
        <v>70</v>
      </c>
      <c r="I103" s="14" t="s">
        <v>43</v>
      </c>
      <c r="J103" s="14"/>
      <c r="K103" s="19" t="s">
        <v>249</v>
      </c>
      <c r="L103" s="19"/>
      <c r="M103" s="17" t="s">
        <v>171</v>
      </c>
      <c r="N103" s="17" t="s">
        <v>72</v>
      </c>
      <c r="O103" s="17" t="s">
        <v>73</v>
      </c>
      <c r="P103" s="17" t="s">
        <v>154</v>
      </c>
      <c r="Q103" s="17" t="s">
        <v>129</v>
      </c>
      <c r="R103" s="21" t="n">
        <v>2294.5</v>
      </c>
      <c r="S103" s="21" t="n">
        <v>4500</v>
      </c>
      <c r="T103" s="23" t="n">
        <v>0</v>
      </c>
      <c r="U103" s="1" t="str">
        <f aca="false">D103&amp;"-"&amp;E103&amp;"-"&amp;M103&amp;"-"&amp;O103&amp;"-"&amp;P103&amp;"-"&amp;Q103</f>
        <v>FREYA-STARLIGHT-AA5202-White-38-GG</v>
      </c>
    </row>
    <row r="104" customFormat="false" ht="15" hidden="true" customHeight="false" outlineLevel="0" collapsed="false">
      <c r="B104" s="17" t="s">
        <v>250</v>
      </c>
      <c r="C104" s="17" t="s">
        <v>37</v>
      </c>
      <c r="D104" s="17" t="s">
        <v>38</v>
      </c>
      <c r="E104" s="17" t="s">
        <v>169</v>
      </c>
      <c r="F104" s="14" t="s">
        <v>80</v>
      </c>
      <c r="G104" s="3" t="s">
        <v>41</v>
      </c>
      <c r="H104" s="14" t="s">
        <v>70</v>
      </c>
      <c r="I104" s="14" t="s">
        <v>43</v>
      </c>
      <c r="J104" s="14"/>
      <c r="K104" s="19" t="s">
        <v>251</v>
      </c>
      <c r="L104" s="19"/>
      <c r="M104" s="17" t="s">
        <v>171</v>
      </c>
      <c r="N104" s="17" t="s">
        <v>72</v>
      </c>
      <c r="O104" s="17" t="s">
        <v>73</v>
      </c>
      <c r="P104" s="17" t="s">
        <v>154</v>
      </c>
      <c r="Q104" s="17" t="s">
        <v>143</v>
      </c>
      <c r="R104" s="21" t="n">
        <v>2520</v>
      </c>
      <c r="S104" s="21" t="n">
        <v>4500</v>
      </c>
      <c r="T104" s="23" t="n">
        <v>2</v>
      </c>
      <c r="U104" s="1" t="str">
        <f aca="false">D104&amp;"-"&amp;E104&amp;"-"&amp;M104&amp;"-"&amp;O104&amp;"-"&amp;P104&amp;"-"&amp;Q104</f>
        <v>FREYA-STARLIGHT-AA5202-White-38-H</v>
      </c>
    </row>
    <row r="105" customFormat="false" ht="15" hidden="true" customHeight="false" outlineLevel="0" collapsed="false">
      <c r="B105" s="17" t="s">
        <v>252</v>
      </c>
      <c r="C105" s="17" t="s">
        <v>37</v>
      </c>
      <c r="D105" s="17" t="s">
        <v>38</v>
      </c>
      <c r="E105" s="17" t="s">
        <v>169</v>
      </c>
      <c r="F105" s="14" t="s">
        <v>80</v>
      </c>
      <c r="G105" s="3" t="s">
        <v>41</v>
      </c>
      <c r="H105" s="14" t="s">
        <v>70</v>
      </c>
      <c r="I105" s="14" t="s">
        <v>43</v>
      </c>
      <c r="J105" s="14"/>
      <c r="K105" s="19" t="s">
        <v>253</v>
      </c>
      <c r="L105" s="19"/>
      <c r="M105" s="17" t="s">
        <v>171</v>
      </c>
      <c r="N105" s="17" t="s">
        <v>72</v>
      </c>
      <c r="O105" s="17" t="s">
        <v>73</v>
      </c>
      <c r="P105" s="17" t="s">
        <v>154</v>
      </c>
      <c r="Q105" s="17" t="s">
        <v>131</v>
      </c>
      <c r="R105" s="21" t="n">
        <v>2294.5</v>
      </c>
      <c r="S105" s="21" t="n">
        <v>4500</v>
      </c>
      <c r="T105" s="23" t="n">
        <v>0</v>
      </c>
      <c r="U105" s="1" t="str">
        <f aca="false">D105&amp;"-"&amp;E105&amp;"-"&amp;M105&amp;"-"&amp;O105&amp;"-"&amp;P105&amp;"-"&amp;Q105</f>
        <v>FREYA-STARLIGHT-AA5202-White-38-HH</v>
      </c>
    </row>
    <row r="106" customFormat="false" ht="15" hidden="true" customHeight="false" outlineLevel="0" collapsed="false">
      <c r="B106" s="17" t="s">
        <v>254</v>
      </c>
      <c r="C106" s="17" t="s">
        <v>37</v>
      </c>
      <c r="D106" s="17" t="s">
        <v>38</v>
      </c>
      <c r="E106" s="17" t="s">
        <v>169</v>
      </c>
      <c r="F106" s="14" t="s">
        <v>80</v>
      </c>
      <c r="G106" s="3" t="s">
        <v>41</v>
      </c>
      <c r="H106" s="14" t="s">
        <v>70</v>
      </c>
      <c r="I106" s="14" t="s">
        <v>43</v>
      </c>
      <c r="J106" s="14"/>
      <c r="K106" s="19" t="s">
        <v>255</v>
      </c>
      <c r="L106" s="19"/>
      <c r="M106" s="17" t="s">
        <v>171</v>
      </c>
      <c r="N106" s="17" t="s">
        <v>72</v>
      </c>
      <c r="O106" s="17" t="s">
        <v>73</v>
      </c>
      <c r="P106" s="17" t="s">
        <v>92</v>
      </c>
      <c r="Q106" s="17" t="s">
        <v>131</v>
      </c>
      <c r="R106" s="21" t="n">
        <v>2294.5</v>
      </c>
      <c r="S106" s="21" t="n">
        <v>4500</v>
      </c>
      <c r="T106" s="23" t="n">
        <v>0</v>
      </c>
      <c r="U106" s="1" t="str">
        <f aca="false">D106&amp;"-"&amp;E106&amp;"-"&amp;M106&amp;"-"&amp;O106&amp;"-"&amp;P106&amp;"-"&amp;Q106</f>
        <v>FREYA-STARLIGHT-AA5202-White-32-HH</v>
      </c>
    </row>
    <row r="107" customFormat="false" ht="15" hidden="true" customHeight="false" outlineLevel="0" collapsed="false">
      <c r="B107" s="17" t="s">
        <v>256</v>
      </c>
      <c r="C107" s="17" t="s">
        <v>37</v>
      </c>
      <c r="D107" s="17" t="s">
        <v>38</v>
      </c>
      <c r="E107" s="17" t="s">
        <v>169</v>
      </c>
      <c r="F107" s="14" t="s">
        <v>80</v>
      </c>
      <c r="G107" s="3" t="s">
        <v>41</v>
      </c>
      <c r="H107" s="14" t="s">
        <v>70</v>
      </c>
      <c r="I107" s="14" t="s">
        <v>43</v>
      </c>
      <c r="J107" s="14"/>
      <c r="K107" s="19" t="s">
        <v>257</v>
      </c>
      <c r="L107" s="19"/>
      <c r="M107" s="17" t="s">
        <v>171</v>
      </c>
      <c r="N107" s="17" t="s">
        <v>72</v>
      </c>
      <c r="O107" s="17" t="s">
        <v>73</v>
      </c>
      <c r="P107" s="17" t="s">
        <v>134</v>
      </c>
      <c r="Q107" s="17" t="s">
        <v>143</v>
      </c>
      <c r="R107" s="21" t="n">
        <v>2520</v>
      </c>
      <c r="S107" s="21" t="n">
        <v>4500</v>
      </c>
      <c r="T107" s="23" t="n">
        <v>0</v>
      </c>
      <c r="U107" s="1" t="str">
        <f aca="false">D107&amp;"-"&amp;E107&amp;"-"&amp;M107&amp;"-"&amp;O107&amp;"-"&amp;P107&amp;"-"&amp;Q107</f>
        <v>FREYA-STARLIGHT-AA5202-White-34-H</v>
      </c>
    </row>
    <row r="108" customFormat="false" ht="15" hidden="true" customHeight="false" outlineLevel="0" collapsed="false">
      <c r="B108" s="17" t="s">
        <v>258</v>
      </c>
      <c r="C108" s="17" t="s">
        <v>37</v>
      </c>
      <c r="D108" s="17" t="s">
        <v>38</v>
      </c>
      <c r="E108" s="17" t="s">
        <v>169</v>
      </c>
      <c r="F108" s="14" t="s">
        <v>80</v>
      </c>
      <c r="G108" s="3" t="s">
        <v>41</v>
      </c>
      <c r="H108" s="14" t="s">
        <v>70</v>
      </c>
      <c r="I108" s="14" t="s">
        <v>43</v>
      </c>
      <c r="J108" s="14"/>
      <c r="K108" s="19" t="s">
        <v>259</v>
      </c>
      <c r="L108" s="19"/>
      <c r="M108" s="17" t="s">
        <v>171</v>
      </c>
      <c r="N108" s="17" t="s">
        <v>72</v>
      </c>
      <c r="O108" s="17" t="s">
        <v>73</v>
      </c>
      <c r="P108" s="17" t="s">
        <v>65</v>
      </c>
      <c r="Q108" s="17" t="s">
        <v>129</v>
      </c>
      <c r="R108" s="21" t="n">
        <v>272</v>
      </c>
      <c r="S108" s="21" t="n">
        <v>4500</v>
      </c>
      <c r="T108" s="23" t="n">
        <v>0</v>
      </c>
      <c r="U108" s="1" t="str">
        <f aca="false">D108&amp;"-"&amp;E108&amp;"-"&amp;M108&amp;"-"&amp;O108&amp;"-"&amp;P108&amp;"-"&amp;Q108</f>
        <v>FREYA-STARLIGHT-AA5202-White-36-GG</v>
      </c>
    </row>
    <row r="109" customFormat="false" ht="15" hidden="true" customHeight="false" outlineLevel="0" collapsed="false">
      <c r="B109" s="17" t="s">
        <v>260</v>
      </c>
      <c r="C109" s="17" t="s">
        <v>37</v>
      </c>
      <c r="D109" s="17" t="s">
        <v>38</v>
      </c>
      <c r="E109" s="17" t="s">
        <v>169</v>
      </c>
      <c r="F109" s="14" t="s">
        <v>80</v>
      </c>
      <c r="G109" s="3" t="s">
        <v>41</v>
      </c>
      <c r="H109" s="14" t="s">
        <v>70</v>
      </c>
      <c r="I109" s="14" t="s">
        <v>43</v>
      </c>
      <c r="J109" s="14"/>
      <c r="K109" s="19" t="s">
        <v>261</v>
      </c>
      <c r="L109" s="19"/>
      <c r="M109" s="17" t="s">
        <v>171</v>
      </c>
      <c r="N109" s="17" t="s">
        <v>72</v>
      </c>
      <c r="O109" s="17" t="s">
        <v>73</v>
      </c>
      <c r="P109" s="17" t="s">
        <v>65</v>
      </c>
      <c r="Q109" s="17" t="s">
        <v>131</v>
      </c>
      <c r="R109" s="21" t="n">
        <v>2294.5</v>
      </c>
      <c r="S109" s="21" t="n">
        <v>4500</v>
      </c>
      <c r="T109" s="23" t="n">
        <v>0</v>
      </c>
      <c r="U109" s="1" t="str">
        <f aca="false">D109&amp;"-"&amp;E109&amp;"-"&amp;M109&amp;"-"&amp;O109&amp;"-"&amp;P109&amp;"-"&amp;Q109</f>
        <v>FREYA-STARLIGHT-AA5202-White-36-HH</v>
      </c>
    </row>
    <row r="110" customFormat="false" ht="15" hidden="true" customHeight="false" outlineLevel="0" collapsed="false">
      <c r="B110" s="17" t="s">
        <v>262</v>
      </c>
      <c r="C110" s="17" t="s">
        <v>37</v>
      </c>
      <c r="D110" s="17" t="s">
        <v>38</v>
      </c>
      <c r="E110" s="17" t="s">
        <v>169</v>
      </c>
      <c r="F110" s="14" t="s">
        <v>80</v>
      </c>
      <c r="G110" s="3" t="s">
        <v>41</v>
      </c>
      <c r="H110" s="14" t="s">
        <v>70</v>
      </c>
      <c r="I110" s="14" t="s">
        <v>43</v>
      </c>
      <c r="J110" s="14"/>
      <c r="K110" s="19" t="s">
        <v>263</v>
      </c>
      <c r="L110" s="19"/>
      <c r="M110" s="17" t="s">
        <v>171</v>
      </c>
      <c r="N110" s="17" t="s">
        <v>72</v>
      </c>
      <c r="O110" s="17" t="s">
        <v>73</v>
      </c>
      <c r="P110" s="17" t="s">
        <v>92</v>
      </c>
      <c r="Q110" s="17" t="s">
        <v>105</v>
      </c>
      <c r="R110" s="21" t="n">
        <v>2294.5</v>
      </c>
      <c r="S110" s="21" t="n">
        <v>4500</v>
      </c>
      <c r="T110" s="23" t="n">
        <v>0</v>
      </c>
      <c r="U110" s="1" t="str">
        <f aca="false">D110&amp;"-"&amp;E110&amp;"-"&amp;M110&amp;"-"&amp;O110&amp;"-"&amp;P110&amp;"-"&amp;Q110</f>
        <v>FREYA-STARLIGHT-AA5202-White-32-G</v>
      </c>
    </row>
    <row r="111" customFormat="false" ht="15" hidden="true" customHeight="false" outlineLevel="0" collapsed="false">
      <c r="B111" s="17" t="s">
        <v>264</v>
      </c>
      <c r="C111" s="17" t="s">
        <v>37</v>
      </c>
      <c r="D111" s="17" t="s">
        <v>38</v>
      </c>
      <c r="E111" s="17" t="s">
        <v>169</v>
      </c>
      <c r="F111" s="14" t="s">
        <v>80</v>
      </c>
      <c r="G111" s="3" t="s">
        <v>41</v>
      </c>
      <c r="H111" s="14" t="s">
        <v>70</v>
      </c>
      <c r="I111" s="14" t="s">
        <v>43</v>
      </c>
      <c r="J111" s="14"/>
      <c r="K111" s="19" t="s">
        <v>265</v>
      </c>
      <c r="L111" s="19"/>
      <c r="M111" s="17" t="s">
        <v>171</v>
      </c>
      <c r="N111" s="17" t="s">
        <v>72</v>
      </c>
      <c r="O111" s="17" t="s">
        <v>73</v>
      </c>
      <c r="P111" s="17" t="s">
        <v>134</v>
      </c>
      <c r="Q111" s="17" t="s">
        <v>105</v>
      </c>
      <c r="R111" s="21" t="n">
        <v>2294.5</v>
      </c>
      <c r="S111" s="21" t="n">
        <v>4500</v>
      </c>
      <c r="T111" s="23" t="n">
        <v>0</v>
      </c>
      <c r="U111" s="1" t="str">
        <f aca="false">D111&amp;"-"&amp;E111&amp;"-"&amp;M111&amp;"-"&amp;O111&amp;"-"&amp;P111&amp;"-"&amp;Q111</f>
        <v>FREYA-STARLIGHT-AA5202-White-34-G</v>
      </c>
    </row>
    <row r="112" customFormat="false" ht="15" hidden="true" customHeight="false" outlineLevel="0" collapsed="false">
      <c r="B112" s="17" t="s">
        <v>266</v>
      </c>
      <c r="C112" s="17" t="s">
        <v>37</v>
      </c>
      <c r="D112" s="17" t="s">
        <v>38</v>
      </c>
      <c r="E112" s="17" t="s">
        <v>169</v>
      </c>
      <c r="F112" s="14" t="s">
        <v>80</v>
      </c>
      <c r="G112" s="3" t="s">
        <v>41</v>
      </c>
      <c r="H112" s="14" t="s">
        <v>70</v>
      </c>
      <c r="I112" s="14" t="s">
        <v>43</v>
      </c>
      <c r="J112" s="14"/>
      <c r="K112" s="19" t="s">
        <v>267</v>
      </c>
      <c r="L112" s="19"/>
      <c r="M112" s="17" t="s">
        <v>171</v>
      </c>
      <c r="N112" s="17" t="s">
        <v>72</v>
      </c>
      <c r="O112" s="17" t="s">
        <v>73</v>
      </c>
      <c r="P112" s="17" t="s">
        <v>65</v>
      </c>
      <c r="Q112" s="17" t="s">
        <v>50</v>
      </c>
      <c r="R112" s="21" t="n">
        <v>2294.5</v>
      </c>
      <c r="S112" s="21" t="n">
        <v>4500</v>
      </c>
      <c r="T112" s="23" t="n">
        <v>0</v>
      </c>
      <c r="U112" s="1" t="str">
        <f aca="false">D112&amp;"-"&amp;E112&amp;"-"&amp;M112&amp;"-"&amp;O112&amp;"-"&amp;P112&amp;"-"&amp;Q112</f>
        <v>FREYA-STARLIGHT-AA5202-White-36-F</v>
      </c>
    </row>
    <row r="113" customFormat="false" ht="15" hidden="true" customHeight="false" outlineLevel="0" collapsed="false">
      <c r="B113" s="17" t="s">
        <v>268</v>
      </c>
      <c r="C113" s="17" t="s">
        <v>37</v>
      </c>
      <c r="D113" s="17" t="s">
        <v>38</v>
      </c>
      <c r="E113" s="17" t="s">
        <v>169</v>
      </c>
      <c r="F113" s="14" t="s">
        <v>80</v>
      </c>
      <c r="G113" s="3" t="s">
        <v>41</v>
      </c>
      <c r="H113" s="14" t="s">
        <v>70</v>
      </c>
      <c r="I113" s="14" t="s">
        <v>43</v>
      </c>
      <c r="J113" s="14"/>
      <c r="K113" s="19" t="s">
        <v>269</v>
      </c>
      <c r="L113" s="19"/>
      <c r="M113" s="17" t="s">
        <v>171</v>
      </c>
      <c r="N113" s="17" t="s">
        <v>72</v>
      </c>
      <c r="O113" s="17" t="s">
        <v>73</v>
      </c>
      <c r="P113" s="17" t="s">
        <v>65</v>
      </c>
      <c r="Q113" s="17" t="s">
        <v>62</v>
      </c>
      <c r="R113" s="21" t="n">
        <v>2294.5</v>
      </c>
      <c r="S113" s="21" t="n">
        <v>4500</v>
      </c>
      <c r="T113" s="23" t="n">
        <v>0</v>
      </c>
      <c r="U113" s="1" t="str">
        <f aca="false">D113&amp;"-"&amp;E113&amp;"-"&amp;M113&amp;"-"&amp;O113&amp;"-"&amp;P113&amp;"-"&amp;Q113</f>
        <v>FREYA-STARLIGHT-AA5202-White-36-FF</v>
      </c>
    </row>
    <row r="114" customFormat="false" ht="15" hidden="true" customHeight="false" outlineLevel="0" collapsed="false">
      <c r="B114" s="17" t="s">
        <v>270</v>
      </c>
      <c r="C114" s="17" t="s">
        <v>37</v>
      </c>
      <c r="D114" s="17" t="s">
        <v>38</v>
      </c>
      <c r="E114" s="17" t="s">
        <v>169</v>
      </c>
      <c r="F114" s="14" t="s">
        <v>80</v>
      </c>
      <c r="G114" s="3" t="s">
        <v>41</v>
      </c>
      <c r="H114" s="14" t="s">
        <v>70</v>
      </c>
      <c r="I114" s="14" t="s">
        <v>43</v>
      </c>
      <c r="J114" s="14"/>
      <c r="K114" s="19" t="s">
        <v>271</v>
      </c>
      <c r="L114" s="19"/>
      <c r="M114" s="17" t="s">
        <v>171</v>
      </c>
      <c r="N114" s="17" t="s">
        <v>72</v>
      </c>
      <c r="O114" s="17" t="s">
        <v>73</v>
      </c>
      <c r="P114" s="17" t="s">
        <v>154</v>
      </c>
      <c r="Q114" s="17" t="s">
        <v>105</v>
      </c>
      <c r="R114" s="21" t="n">
        <v>2294.5</v>
      </c>
      <c r="S114" s="21" t="n">
        <v>4500</v>
      </c>
      <c r="T114" s="23" t="n">
        <v>1</v>
      </c>
      <c r="U114" s="1" t="str">
        <f aca="false">D114&amp;"-"&amp;E114&amp;"-"&amp;M114&amp;"-"&amp;O114&amp;"-"&amp;P114&amp;"-"&amp;Q114</f>
        <v>FREYA-STARLIGHT-AA5202-White-38-G</v>
      </c>
    </row>
    <row r="115" customFormat="false" ht="15" hidden="true" customHeight="false" outlineLevel="0" collapsed="false">
      <c r="B115" s="17" t="s">
        <v>272</v>
      </c>
      <c r="C115" s="17" t="s">
        <v>37</v>
      </c>
      <c r="D115" s="17" t="s">
        <v>38</v>
      </c>
      <c r="E115" s="17" t="s">
        <v>169</v>
      </c>
      <c r="F115" s="14" t="s">
        <v>80</v>
      </c>
      <c r="G115" s="3" t="s">
        <v>41</v>
      </c>
      <c r="H115" s="14" t="s">
        <v>70</v>
      </c>
      <c r="I115" s="14" t="s">
        <v>43</v>
      </c>
      <c r="J115" s="14"/>
      <c r="K115" s="19" t="s">
        <v>273</v>
      </c>
      <c r="L115" s="19"/>
      <c r="M115" s="17" t="s">
        <v>171</v>
      </c>
      <c r="N115" s="17" t="s">
        <v>274</v>
      </c>
      <c r="O115" s="17" t="s">
        <v>104</v>
      </c>
      <c r="P115" s="17" t="s">
        <v>92</v>
      </c>
      <c r="Q115" s="17" t="s">
        <v>62</v>
      </c>
      <c r="R115" s="21" t="n">
        <v>2520</v>
      </c>
      <c r="S115" s="21" t="n">
        <v>4500</v>
      </c>
      <c r="T115" s="23" t="n">
        <v>0</v>
      </c>
      <c r="U115" s="1" t="str">
        <f aca="false">D115&amp;"-"&amp;E115&amp;"-"&amp;M115&amp;"-"&amp;O115&amp;"-"&amp;P115&amp;"-"&amp;Q115</f>
        <v>FREYA-STARLIGHT-AA5202-Light Pink-32-FF</v>
      </c>
    </row>
    <row r="116" customFormat="false" ht="15" hidden="true" customHeight="false" outlineLevel="0" collapsed="false">
      <c r="B116" s="17" t="s">
        <v>275</v>
      </c>
      <c r="C116" s="17" t="s">
        <v>37</v>
      </c>
      <c r="D116" s="17" t="s">
        <v>38</v>
      </c>
      <c r="E116" s="17" t="s">
        <v>169</v>
      </c>
      <c r="F116" s="14" t="s">
        <v>80</v>
      </c>
      <c r="G116" s="3" t="s">
        <v>41</v>
      </c>
      <c r="H116" s="14" t="s">
        <v>70</v>
      </c>
      <c r="I116" s="14" t="s">
        <v>43</v>
      </c>
      <c r="J116" s="14"/>
      <c r="K116" s="19" t="s">
        <v>276</v>
      </c>
      <c r="L116" s="19"/>
      <c r="M116" s="17" t="s">
        <v>171</v>
      </c>
      <c r="N116" s="17" t="s">
        <v>274</v>
      </c>
      <c r="O116" s="17" t="s">
        <v>104</v>
      </c>
      <c r="P116" s="17" t="s">
        <v>134</v>
      </c>
      <c r="Q116" s="17" t="s">
        <v>62</v>
      </c>
      <c r="R116" s="21" t="n">
        <v>2294.5</v>
      </c>
      <c r="S116" s="21" t="n">
        <v>4500</v>
      </c>
      <c r="T116" s="23" t="n">
        <v>0</v>
      </c>
      <c r="U116" s="1" t="str">
        <f aca="false">D116&amp;"-"&amp;E116&amp;"-"&amp;M116&amp;"-"&amp;O116&amp;"-"&amp;P116&amp;"-"&amp;Q116</f>
        <v>FREYA-STARLIGHT-AA5202-Light Pink-34-FF</v>
      </c>
    </row>
    <row r="117" customFormat="false" ht="15" hidden="true" customHeight="false" outlineLevel="0" collapsed="false">
      <c r="B117" s="17" t="s">
        <v>277</v>
      </c>
      <c r="C117" s="17" t="s">
        <v>37</v>
      </c>
      <c r="D117" s="17" t="s">
        <v>38</v>
      </c>
      <c r="E117" s="17" t="s">
        <v>169</v>
      </c>
      <c r="F117" s="14" t="s">
        <v>80</v>
      </c>
      <c r="G117" s="3" t="s">
        <v>41</v>
      </c>
      <c r="H117" s="14" t="s">
        <v>70</v>
      </c>
      <c r="I117" s="14" t="s">
        <v>43</v>
      </c>
      <c r="J117" s="14"/>
      <c r="K117" s="19" t="s">
        <v>278</v>
      </c>
      <c r="L117" s="19"/>
      <c r="M117" s="17" t="s">
        <v>171</v>
      </c>
      <c r="N117" s="17" t="s">
        <v>274</v>
      </c>
      <c r="O117" s="17" t="s">
        <v>104</v>
      </c>
      <c r="P117" s="17" t="s">
        <v>65</v>
      </c>
      <c r="Q117" s="17" t="s">
        <v>62</v>
      </c>
      <c r="R117" s="21" t="n">
        <v>2294.5</v>
      </c>
      <c r="S117" s="21" t="n">
        <v>4500</v>
      </c>
      <c r="T117" s="23" t="n">
        <v>0</v>
      </c>
      <c r="U117" s="1" t="str">
        <f aca="false">D117&amp;"-"&amp;E117&amp;"-"&amp;M117&amp;"-"&amp;O117&amp;"-"&amp;P117&amp;"-"&amp;Q117</f>
        <v>FREYA-STARLIGHT-AA5202-Light Pink-36-FF</v>
      </c>
    </row>
    <row r="118" customFormat="false" ht="15" hidden="true" customHeight="false" outlineLevel="0" collapsed="false">
      <c r="B118" s="17" t="s">
        <v>279</v>
      </c>
      <c r="C118" s="17" t="s">
        <v>37</v>
      </c>
      <c r="D118" s="17" t="s">
        <v>38</v>
      </c>
      <c r="E118" s="17" t="s">
        <v>169</v>
      </c>
      <c r="F118" s="14" t="s">
        <v>80</v>
      </c>
      <c r="G118" s="3" t="s">
        <v>41</v>
      </c>
      <c r="H118" s="14" t="s">
        <v>70</v>
      </c>
      <c r="I118" s="14" t="s">
        <v>43</v>
      </c>
      <c r="J118" s="14"/>
      <c r="K118" s="19" t="s">
        <v>280</v>
      </c>
      <c r="L118" s="19"/>
      <c r="M118" s="17" t="s">
        <v>171</v>
      </c>
      <c r="N118" s="17" t="s">
        <v>274</v>
      </c>
      <c r="O118" s="17" t="s">
        <v>104</v>
      </c>
      <c r="P118" s="17" t="s">
        <v>65</v>
      </c>
      <c r="Q118" s="17" t="s">
        <v>105</v>
      </c>
      <c r="R118" s="21" t="n">
        <v>2520</v>
      </c>
      <c r="S118" s="21" t="n">
        <v>4500</v>
      </c>
      <c r="T118" s="23" t="n">
        <v>0</v>
      </c>
      <c r="U118" s="1" t="str">
        <f aca="false">D118&amp;"-"&amp;E118&amp;"-"&amp;M118&amp;"-"&amp;O118&amp;"-"&amp;P118&amp;"-"&amp;Q118</f>
        <v>FREYA-STARLIGHT-AA5202-Light Pink-36-G</v>
      </c>
    </row>
    <row r="119" customFormat="false" ht="15" hidden="true" customHeight="false" outlineLevel="0" collapsed="false">
      <c r="B119" s="17" t="s">
        <v>281</v>
      </c>
      <c r="C119" s="17" t="s">
        <v>37</v>
      </c>
      <c r="D119" s="17" t="s">
        <v>38</v>
      </c>
      <c r="E119" s="17" t="s">
        <v>169</v>
      </c>
      <c r="F119" s="14" t="s">
        <v>80</v>
      </c>
      <c r="G119" s="3" t="s">
        <v>41</v>
      </c>
      <c r="H119" s="14" t="s">
        <v>70</v>
      </c>
      <c r="I119" s="14" t="s">
        <v>43</v>
      </c>
      <c r="J119" s="14"/>
      <c r="K119" s="19" t="s">
        <v>282</v>
      </c>
      <c r="L119" s="19"/>
      <c r="M119" s="17" t="s">
        <v>171</v>
      </c>
      <c r="N119" s="17" t="s">
        <v>274</v>
      </c>
      <c r="O119" s="17" t="s">
        <v>104</v>
      </c>
      <c r="P119" s="17" t="s">
        <v>154</v>
      </c>
      <c r="Q119" s="17" t="s">
        <v>105</v>
      </c>
      <c r="R119" s="21" t="n">
        <v>2294.5</v>
      </c>
      <c r="S119" s="21" t="n">
        <v>4500</v>
      </c>
      <c r="T119" s="23" t="n">
        <v>0</v>
      </c>
      <c r="U119" s="1" t="str">
        <f aca="false">D119&amp;"-"&amp;E119&amp;"-"&amp;M119&amp;"-"&amp;O119&amp;"-"&amp;P119&amp;"-"&amp;Q119</f>
        <v>FREYA-STARLIGHT-AA5202-Light Pink-38-G</v>
      </c>
    </row>
    <row r="120" customFormat="false" ht="15" hidden="true" customHeight="false" outlineLevel="0" collapsed="false">
      <c r="B120" s="17" t="s">
        <v>283</v>
      </c>
      <c r="C120" s="17" t="s">
        <v>37</v>
      </c>
      <c r="D120" s="17" t="s">
        <v>38</v>
      </c>
      <c r="E120" s="17" t="s">
        <v>169</v>
      </c>
      <c r="F120" s="14" t="s">
        <v>80</v>
      </c>
      <c r="G120" s="3" t="s">
        <v>41</v>
      </c>
      <c r="H120" s="14" t="s">
        <v>70</v>
      </c>
      <c r="I120" s="14" t="s">
        <v>43</v>
      </c>
      <c r="J120" s="14"/>
      <c r="K120" s="19" t="s">
        <v>284</v>
      </c>
      <c r="L120" s="19"/>
      <c r="M120" s="17" t="s">
        <v>171</v>
      </c>
      <c r="N120" s="17" t="s">
        <v>274</v>
      </c>
      <c r="O120" s="17" t="s">
        <v>104</v>
      </c>
      <c r="P120" s="17" t="s">
        <v>154</v>
      </c>
      <c r="Q120" s="17" t="s">
        <v>129</v>
      </c>
      <c r="R120" s="21" t="n">
        <v>2294.5</v>
      </c>
      <c r="S120" s="21" t="n">
        <v>4500</v>
      </c>
      <c r="T120" s="23" t="n">
        <v>0</v>
      </c>
      <c r="U120" s="1" t="str">
        <f aca="false">D120&amp;"-"&amp;E120&amp;"-"&amp;M120&amp;"-"&amp;O120&amp;"-"&amp;P120&amp;"-"&amp;Q120</f>
        <v>FREYA-STARLIGHT-AA5202-Light Pink-38-GG</v>
      </c>
    </row>
    <row r="121" customFormat="false" ht="15" hidden="true" customHeight="false" outlineLevel="0" collapsed="false">
      <c r="B121" s="17" t="s">
        <v>285</v>
      </c>
      <c r="C121" s="17" t="s">
        <v>37</v>
      </c>
      <c r="D121" s="17" t="s">
        <v>38</v>
      </c>
      <c r="E121" s="17" t="s">
        <v>169</v>
      </c>
      <c r="F121" s="14" t="s">
        <v>80</v>
      </c>
      <c r="G121" s="3" t="s">
        <v>41</v>
      </c>
      <c r="H121" s="14" t="s">
        <v>70</v>
      </c>
      <c r="I121" s="14" t="s">
        <v>43</v>
      </c>
      <c r="J121" s="14"/>
      <c r="K121" s="19" t="s">
        <v>286</v>
      </c>
      <c r="L121" s="19"/>
      <c r="M121" s="17" t="s">
        <v>171</v>
      </c>
      <c r="N121" s="17" t="s">
        <v>274</v>
      </c>
      <c r="O121" s="17" t="s">
        <v>104</v>
      </c>
      <c r="P121" s="17" t="s">
        <v>154</v>
      </c>
      <c r="Q121" s="17" t="s">
        <v>143</v>
      </c>
      <c r="R121" s="21" t="n">
        <v>2552.5</v>
      </c>
      <c r="S121" s="21" t="n">
        <v>4500</v>
      </c>
      <c r="T121" s="23" t="n">
        <v>0</v>
      </c>
      <c r="U121" s="1" t="str">
        <f aca="false">D121&amp;"-"&amp;E121&amp;"-"&amp;M121&amp;"-"&amp;O121&amp;"-"&amp;P121&amp;"-"&amp;Q121</f>
        <v>FREYA-STARLIGHT-AA5202-Light Pink-38-H</v>
      </c>
    </row>
    <row r="122" customFormat="false" ht="15" hidden="true" customHeight="false" outlineLevel="0" collapsed="false">
      <c r="B122" s="17" t="s">
        <v>287</v>
      </c>
      <c r="C122" s="17" t="s">
        <v>37</v>
      </c>
      <c r="D122" s="17" t="s">
        <v>38</v>
      </c>
      <c r="E122" s="17" t="s">
        <v>169</v>
      </c>
      <c r="F122" s="14" t="s">
        <v>80</v>
      </c>
      <c r="G122" s="3" t="s">
        <v>41</v>
      </c>
      <c r="H122" s="14" t="s">
        <v>70</v>
      </c>
      <c r="I122" s="14" t="s">
        <v>43</v>
      </c>
      <c r="J122" s="14"/>
      <c r="K122" s="19" t="s">
        <v>288</v>
      </c>
      <c r="L122" s="19"/>
      <c r="M122" s="17" t="s">
        <v>171</v>
      </c>
      <c r="N122" s="17" t="s">
        <v>274</v>
      </c>
      <c r="O122" s="17" t="s">
        <v>104</v>
      </c>
      <c r="P122" s="17" t="s">
        <v>55</v>
      </c>
      <c r="Q122" s="17" t="s">
        <v>143</v>
      </c>
      <c r="R122" s="21" t="n">
        <v>2294.5</v>
      </c>
      <c r="S122" s="21" t="n">
        <v>4500</v>
      </c>
      <c r="T122" s="23" t="n">
        <v>1</v>
      </c>
      <c r="U122" s="1" t="str">
        <f aca="false">D122&amp;"-"&amp;E122&amp;"-"&amp;M122&amp;"-"&amp;O122&amp;"-"&amp;P122&amp;"-"&amp;Q122</f>
        <v>FREYA-STARLIGHT-AA5202-Light Pink-30-H</v>
      </c>
    </row>
    <row r="123" customFormat="false" ht="15" hidden="true" customHeight="false" outlineLevel="0" collapsed="false">
      <c r="B123" s="17" t="s">
        <v>289</v>
      </c>
      <c r="C123" s="17" t="s">
        <v>37</v>
      </c>
      <c r="D123" s="17" t="s">
        <v>38</v>
      </c>
      <c r="E123" s="17" t="s">
        <v>169</v>
      </c>
      <c r="F123" s="14" t="s">
        <v>80</v>
      </c>
      <c r="G123" s="3" t="s">
        <v>41</v>
      </c>
      <c r="H123" s="14" t="s">
        <v>70</v>
      </c>
      <c r="I123" s="14" t="s">
        <v>43</v>
      </c>
      <c r="J123" s="14"/>
      <c r="K123" s="19" t="s">
        <v>290</v>
      </c>
      <c r="L123" s="19"/>
      <c r="M123" s="17" t="s">
        <v>171</v>
      </c>
      <c r="N123" s="17" t="s">
        <v>274</v>
      </c>
      <c r="O123" s="17" t="s">
        <v>104</v>
      </c>
      <c r="P123" s="17" t="s">
        <v>92</v>
      </c>
      <c r="Q123" s="17" t="s">
        <v>131</v>
      </c>
      <c r="R123" s="21" t="n">
        <v>2552</v>
      </c>
      <c r="S123" s="21" t="n">
        <v>4500</v>
      </c>
      <c r="T123" s="23" t="n">
        <v>2</v>
      </c>
      <c r="U123" s="1" t="str">
        <f aca="false">D123&amp;"-"&amp;E123&amp;"-"&amp;M123&amp;"-"&amp;O123&amp;"-"&amp;P123&amp;"-"&amp;Q123</f>
        <v>FREYA-STARLIGHT-AA5202-Light Pink-32-HH</v>
      </c>
    </row>
    <row r="124" customFormat="false" ht="15" hidden="true" customHeight="false" outlineLevel="0" collapsed="false">
      <c r="B124" s="17" t="s">
        <v>291</v>
      </c>
      <c r="C124" s="17" t="s">
        <v>37</v>
      </c>
      <c r="D124" s="17" t="s">
        <v>38</v>
      </c>
      <c r="E124" s="17" t="s">
        <v>169</v>
      </c>
      <c r="F124" s="14" t="s">
        <v>80</v>
      </c>
      <c r="G124" s="3" t="s">
        <v>41</v>
      </c>
      <c r="H124" s="14" t="s">
        <v>70</v>
      </c>
      <c r="I124" s="14" t="s">
        <v>43</v>
      </c>
      <c r="J124" s="14"/>
      <c r="K124" s="19" t="s">
        <v>292</v>
      </c>
      <c r="L124" s="19"/>
      <c r="M124" s="17" t="s">
        <v>171</v>
      </c>
      <c r="N124" s="17" t="s">
        <v>274</v>
      </c>
      <c r="O124" s="17" t="s">
        <v>104</v>
      </c>
      <c r="P124" s="17" t="s">
        <v>134</v>
      </c>
      <c r="Q124" s="17" t="s">
        <v>131</v>
      </c>
      <c r="R124" s="21" t="n">
        <v>2520</v>
      </c>
      <c r="S124" s="21" t="n">
        <v>4500</v>
      </c>
      <c r="T124" s="23" t="n">
        <v>0</v>
      </c>
      <c r="U124" s="1" t="str">
        <f aca="false">D124&amp;"-"&amp;E124&amp;"-"&amp;M124&amp;"-"&amp;O124&amp;"-"&amp;P124&amp;"-"&amp;Q124</f>
        <v>FREYA-STARLIGHT-AA5202-Light Pink-34-HH</v>
      </c>
    </row>
    <row r="125" customFormat="false" ht="15" hidden="true" customHeight="false" outlineLevel="0" collapsed="false">
      <c r="B125" s="17" t="s">
        <v>293</v>
      </c>
      <c r="C125" s="17" t="s">
        <v>37</v>
      </c>
      <c r="D125" s="17" t="s">
        <v>38</v>
      </c>
      <c r="E125" s="17" t="s">
        <v>169</v>
      </c>
      <c r="F125" s="14" t="s">
        <v>80</v>
      </c>
      <c r="G125" s="3" t="s">
        <v>41</v>
      </c>
      <c r="H125" s="14" t="s">
        <v>70</v>
      </c>
      <c r="I125" s="14" t="s">
        <v>43</v>
      </c>
      <c r="J125" s="14"/>
      <c r="K125" s="19" t="s">
        <v>294</v>
      </c>
      <c r="L125" s="19"/>
      <c r="M125" s="17" t="s">
        <v>171</v>
      </c>
      <c r="N125" s="17" t="s">
        <v>274</v>
      </c>
      <c r="O125" s="17" t="s">
        <v>104</v>
      </c>
      <c r="P125" s="17" t="s">
        <v>65</v>
      </c>
      <c r="Q125" s="17" t="s">
        <v>129</v>
      </c>
      <c r="R125" s="21" t="n">
        <v>2294.5</v>
      </c>
      <c r="S125" s="21" t="n">
        <v>4500</v>
      </c>
      <c r="T125" s="23" t="n">
        <v>0</v>
      </c>
      <c r="U125" s="1" t="str">
        <f aca="false">D125&amp;"-"&amp;E125&amp;"-"&amp;M125&amp;"-"&amp;O125&amp;"-"&amp;P125&amp;"-"&amp;Q125</f>
        <v>FREYA-STARLIGHT-AA5202-Light Pink-36-GG</v>
      </c>
    </row>
    <row r="126" customFormat="false" ht="15" hidden="true" customHeight="false" outlineLevel="0" collapsed="false">
      <c r="B126" s="17" t="s">
        <v>295</v>
      </c>
      <c r="C126" s="17" t="s">
        <v>37</v>
      </c>
      <c r="D126" s="17" t="s">
        <v>38</v>
      </c>
      <c r="E126" s="17" t="s">
        <v>169</v>
      </c>
      <c r="F126" s="14" t="s">
        <v>80</v>
      </c>
      <c r="G126" s="3" t="s">
        <v>41</v>
      </c>
      <c r="H126" s="14" t="s">
        <v>70</v>
      </c>
      <c r="I126" s="14" t="s">
        <v>43</v>
      </c>
      <c r="J126" s="14"/>
      <c r="K126" s="19" t="s">
        <v>296</v>
      </c>
      <c r="L126" s="19"/>
      <c r="M126" s="17" t="s">
        <v>171</v>
      </c>
      <c r="N126" s="17" t="s">
        <v>274</v>
      </c>
      <c r="O126" s="17" t="s">
        <v>104</v>
      </c>
      <c r="P126" s="17" t="s">
        <v>65</v>
      </c>
      <c r="Q126" s="17" t="s">
        <v>143</v>
      </c>
      <c r="R126" s="21" t="n">
        <v>2294.5</v>
      </c>
      <c r="S126" s="21" t="n">
        <v>4500</v>
      </c>
      <c r="T126" s="23" t="n">
        <v>0</v>
      </c>
      <c r="U126" s="1" t="str">
        <f aca="false">D126&amp;"-"&amp;E126&amp;"-"&amp;M126&amp;"-"&amp;O126&amp;"-"&amp;P126&amp;"-"&amp;Q126</f>
        <v>FREYA-STARLIGHT-AA5202-Light Pink-36-H</v>
      </c>
    </row>
    <row r="127" customFormat="false" ht="15" hidden="true" customHeight="false" outlineLevel="0" collapsed="false">
      <c r="B127" s="17" t="s">
        <v>297</v>
      </c>
      <c r="C127" s="17" t="s">
        <v>37</v>
      </c>
      <c r="D127" s="17" t="s">
        <v>38</v>
      </c>
      <c r="E127" s="17" t="s">
        <v>169</v>
      </c>
      <c r="F127" s="14" t="s">
        <v>80</v>
      </c>
      <c r="G127" s="3" t="s">
        <v>41</v>
      </c>
      <c r="H127" s="14" t="s">
        <v>70</v>
      </c>
      <c r="I127" s="14" t="s">
        <v>43</v>
      </c>
      <c r="J127" s="14"/>
      <c r="K127" s="19" t="s">
        <v>298</v>
      </c>
      <c r="L127" s="19"/>
      <c r="M127" s="17" t="s">
        <v>171</v>
      </c>
      <c r="N127" s="17" t="s">
        <v>299</v>
      </c>
      <c r="O127" s="17" t="s">
        <v>300</v>
      </c>
      <c r="P127" s="17" t="s">
        <v>134</v>
      </c>
      <c r="Q127" s="17" t="s">
        <v>50</v>
      </c>
      <c r="R127" s="21" t="n">
        <v>2294.5</v>
      </c>
      <c r="S127" s="21" t="n">
        <v>4500</v>
      </c>
      <c r="T127" s="23" t="n">
        <v>0</v>
      </c>
      <c r="U127" s="1" t="str">
        <f aca="false">D127&amp;"-"&amp;E127&amp;"-"&amp;M127&amp;"-"&amp;O127&amp;"-"&amp;P127&amp;"-"&amp;Q127</f>
        <v>FREYA-STARLIGHT-AA5202-Petrol-34-F</v>
      </c>
    </row>
    <row r="128" customFormat="false" ht="15" hidden="true" customHeight="false" outlineLevel="0" collapsed="false">
      <c r="B128" s="17" t="s">
        <v>301</v>
      </c>
      <c r="C128" s="17" t="s">
        <v>37</v>
      </c>
      <c r="D128" s="17" t="s">
        <v>38</v>
      </c>
      <c r="E128" s="17" t="s">
        <v>169</v>
      </c>
      <c r="F128" s="14" t="s">
        <v>80</v>
      </c>
      <c r="G128" s="3" t="s">
        <v>41</v>
      </c>
      <c r="H128" s="14" t="s">
        <v>70</v>
      </c>
      <c r="I128" s="14" t="s">
        <v>43</v>
      </c>
      <c r="J128" s="14"/>
      <c r="K128" s="19" t="s">
        <v>302</v>
      </c>
      <c r="L128" s="19"/>
      <c r="M128" s="17" t="s">
        <v>171</v>
      </c>
      <c r="N128" s="17" t="s">
        <v>299</v>
      </c>
      <c r="O128" s="17" t="s">
        <v>300</v>
      </c>
      <c r="P128" s="17" t="s">
        <v>154</v>
      </c>
      <c r="Q128" s="17" t="s">
        <v>50</v>
      </c>
      <c r="R128" s="21" t="n">
        <v>2294.5</v>
      </c>
      <c r="S128" s="21" t="n">
        <v>4500</v>
      </c>
      <c r="T128" s="23" t="n">
        <v>0</v>
      </c>
      <c r="U128" s="1" t="str">
        <f aca="false">D128&amp;"-"&amp;E128&amp;"-"&amp;M128&amp;"-"&amp;O128&amp;"-"&amp;P128&amp;"-"&amp;Q128</f>
        <v>FREYA-STARLIGHT-AA5202-Petrol-38-F</v>
      </c>
    </row>
    <row r="129" customFormat="false" ht="15" hidden="true" customHeight="false" outlineLevel="0" collapsed="false">
      <c r="B129" s="17" t="s">
        <v>303</v>
      </c>
      <c r="C129" s="17" t="s">
        <v>37</v>
      </c>
      <c r="D129" s="17" t="s">
        <v>38</v>
      </c>
      <c r="E129" s="17" t="s">
        <v>169</v>
      </c>
      <c r="F129" s="14" t="s">
        <v>80</v>
      </c>
      <c r="G129" s="3" t="s">
        <v>41</v>
      </c>
      <c r="H129" s="14" t="s">
        <v>70</v>
      </c>
      <c r="I129" s="14" t="s">
        <v>43</v>
      </c>
      <c r="J129" s="14"/>
      <c r="K129" s="19" t="s">
        <v>304</v>
      </c>
      <c r="L129" s="19"/>
      <c r="M129" s="17" t="s">
        <v>171</v>
      </c>
      <c r="N129" s="17" t="s">
        <v>299</v>
      </c>
      <c r="O129" s="17" t="s">
        <v>300</v>
      </c>
      <c r="P129" s="17" t="s">
        <v>92</v>
      </c>
      <c r="Q129" s="17" t="s">
        <v>131</v>
      </c>
      <c r="R129" s="21" t="n">
        <v>2294.5</v>
      </c>
      <c r="S129" s="21" t="n">
        <v>4500</v>
      </c>
      <c r="T129" s="23" t="n">
        <v>0</v>
      </c>
      <c r="U129" s="1" t="str">
        <f aca="false">D129&amp;"-"&amp;E129&amp;"-"&amp;M129&amp;"-"&amp;O129&amp;"-"&amp;P129&amp;"-"&amp;Q129</f>
        <v>FREYA-STARLIGHT-AA5202-Petrol-32-HH</v>
      </c>
    </row>
    <row r="130" customFormat="false" ht="15" hidden="true" customHeight="false" outlineLevel="0" collapsed="false">
      <c r="B130" s="17" t="s">
        <v>301</v>
      </c>
      <c r="C130" s="17" t="s">
        <v>37</v>
      </c>
      <c r="D130" s="17" t="s">
        <v>38</v>
      </c>
      <c r="E130" s="17" t="s">
        <v>169</v>
      </c>
      <c r="F130" s="14" t="s">
        <v>80</v>
      </c>
      <c r="G130" s="3" t="s">
        <v>41</v>
      </c>
      <c r="H130" s="14" t="s">
        <v>70</v>
      </c>
      <c r="I130" s="14" t="s">
        <v>43</v>
      </c>
      <c r="J130" s="14"/>
      <c r="K130" s="4" t="s">
        <v>305</v>
      </c>
      <c r="L130" s="19"/>
      <c r="M130" s="17" t="s">
        <v>171</v>
      </c>
      <c r="N130" s="17" t="s">
        <v>274</v>
      </c>
      <c r="O130" s="17" t="s">
        <v>104</v>
      </c>
      <c r="P130" s="17" t="s">
        <v>154</v>
      </c>
      <c r="Q130" s="17" t="s">
        <v>62</v>
      </c>
      <c r="R130" s="21" t="n">
        <v>2294.5</v>
      </c>
      <c r="S130" s="21" t="n">
        <v>4500</v>
      </c>
      <c r="T130" s="23" t="n">
        <v>1</v>
      </c>
      <c r="U130" s="1" t="str">
        <f aca="false">D130&amp;"-"&amp;E130&amp;"-"&amp;M130&amp;"-"&amp;O130&amp;"-"&amp;P130&amp;"-"&amp;Q130</f>
        <v>FREYA-STARLIGHT-AA5202-Light Pink-38-FF</v>
      </c>
    </row>
    <row r="131" customFormat="false" ht="15" hidden="true" customHeight="false" outlineLevel="0" collapsed="false">
      <c r="B131" s="17" t="s">
        <v>297</v>
      </c>
      <c r="C131" s="17" t="s">
        <v>37</v>
      </c>
      <c r="D131" s="17" t="s">
        <v>38</v>
      </c>
      <c r="E131" s="17" t="s">
        <v>169</v>
      </c>
      <c r="F131" s="14" t="s">
        <v>80</v>
      </c>
      <c r="G131" s="3" t="s">
        <v>41</v>
      </c>
      <c r="H131" s="14" t="s">
        <v>70</v>
      </c>
      <c r="I131" s="14" t="s">
        <v>43</v>
      </c>
      <c r="J131" s="14"/>
      <c r="K131" s="4" t="s">
        <v>306</v>
      </c>
      <c r="L131" s="19"/>
      <c r="M131" s="17" t="s">
        <v>171</v>
      </c>
      <c r="N131" s="17" t="s">
        <v>204</v>
      </c>
      <c r="O131" s="17" t="s">
        <v>120</v>
      </c>
      <c r="P131" s="17" t="s">
        <v>154</v>
      </c>
      <c r="Q131" s="17" t="s">
        <v>66</v>
      </c>
      <c r="R131" s="21" t="n">
        <v>2294.5</v>
      </c>
      <c r="S131" s="21" t="n">
        <v>4500</v>
      </c>
      <c r="T131" s="23" t="n">
        <v>1</v>
      </c>
      <c r="U131" s="1" t="str">
        <f aca="false">D131&amp;"-"&amp;E131&amp;"-"&amp;M131&amp;"-"&amp;O131&amp;"-"&amp;P131&amp;"-"&amp;Q131</f>
        <v>FREYA-STARLIGHT-AA5202-Skin-38-E</v>
      </c>
    </row>
    <row r="132" customFormat="false" ht="15" hidden="true" customHeight="false" outlineLevel="0" collapsed="false">
      <c r="B132" s="24" t="s">
        <v>307</v>
      </c>
      <c r="C132" s="17" t="s">
        <v>37</v>
      </c>
      <c r="D132" s="17" t="s">
        <v>38</v>
      </c>
      <c r="E132" s="25" t="s">
        <v>308</v>
      </c>
      <c r="F132" s="14" t="s">
        <v>309</v>
      </c>
      <c r="G132" s="26" t="s">
        <v>41</v>
      </c>
      <c r="H132" s="26" t="s">
        <v>42</v>
      </c>
      <c r="I132" s="14" t="s">
        <v>43</v>
      </c>
      <c r="J132" s="14"/>
      <c r="K132" s="4" t="s">
        <v>310</v>
      </c>
      <c r="L132" s="19"/>
      <c r="M132" s="24" t="s">
        <v>311</v>
      </c>
      <c r="N132" s="25" t="s">
        <v>312</v>
      </c>
      <c r="O132" s="17" t="s">
        <v>104</v>
      </c>
      <c r="P132" s="25" t="s">
        <v>92</v>
      </c>
      <c r="Q132" s="24" t="s">
        <v>50</v>
      </c>
      <c r="R132" s="24" t="n">
        <v>1890</v>
      </c>
      <c r="S132" s="16" t="n">
        <v>5700</v>
      </c>
      <c r="T132" s="24" t="n">
        <v>1</v>
      </c>
      <c r="U132" s="1" t="str">
        <f aca="false">D132&amp;"-"&amp;E132&amp;"-"&amp;M132&amp;"-"&amp;O132&amp;"-"&amp;P132&amp;"-"&amp;Q132</f>
        <v>FREYA-SONIC-AC4892-Light Pink-32-F</v>
      </c>
      <c r="W132" s="1" t="s">
        <v>113</v>
      </c>
    </row>
    <row r="133" customFormat="false" ht="15" hidden="true" customHeight="false" outlineLevel="0" collapsed="false">
      <c r="B133" s="24" t="s">
        <v>313</v>
      </c>
      <c r="C133" s="17" t="s">
        <v>37</v>
      </c>
      <c r="D133" s="17" t="s">
        <v>38</v>
      </c>
      <c r="E133" s="25" t="s">
        <v>308</v>
      </c>
      <c r="F133" s="14" t="s">
        <v>309</v>
      </c>
      <c r="G133" s="26" t="s">
        <v>41</v>
      </c>
      <c r="H133" s="26" t="s">
        <v>42</v>
      </c>
      <c r="I133" s="14" t="s">
        <v>43</v>
      </c>
      <c r="J133" s="14"/>
      <c r="K133" s="4" t="s">
        <v>314</v>
      </c>
      <c r="L133" s="19"/>
      <c r="M133" s="24" t="s">
        <v>311</v>
      </c>
      <c r="N133" s="17" t="s">
        <v>315</v>
      </c>
      <c r="O133" s="17" t="s">
        <v>316</v>
      </c>
      <c r="P133" s="25" t="s">
        <v>92</v>
      </c>
      <c r="Q133" s="24" t="s">
        <v>62</v>
      </c>
      <c r="R133" s="24" t="n">
        <v>1890</v>
      </c>
      <c r="S133" s="16" t="n">
        <v>5700</v>
      </c>
      <c r="T133" s="24" t="n">
        <v>0</v>
      </c>
      <c r="U133" s="1" t="str">
        <f aca="false">D133&amp;"-"&amp;E133&amp;"-"&amp;M133&amp;"-"&amp;O133&amp;"-"&amp;P133&amp;"-"&amp;Q133</f>
        <v>FREYA-SONIC-AC4892-Khaki Green-32-FF</v>
      </c>
      <c r="W133" s="1" t="s">
        <v>113</v>
      </c>
    </row>
    <row r="134" customFormat="false" ht="15" hidden="true" customHeight="false" outlineLevel="0" collapsed="false">
      <c r="B134" s="24" t="s">
        <v>317</v>
      </c>
      <c r="C134" s="17" t="s">
        <v>37</v>
      </c>
      <c r="D134" s="17" t="s">
        <v>38</v>
      </c>
      <c r="E134" s="25" t="s">
        <v>308</v>
      </c>
      <c r="F134" s="14" t="s">
        <v>309</v>
      </c>
      <c r="G134" s="26" t="s">
        <v>41</v>
      </c>
      <c r="H134" s="26" t="s">
        <v>42</v>
      </c>
      <c r="I134" s="14" t="s">
        <v>43</v>
      </c>
      <c r="J134" s="14"/>
      <c r="K134" s="4" t="s">
        <v>318</v>
      </c>
      <c r="L134" s="27"/>
      <c r="M134" s="24" t="s">
        <v>311</v>
      </c>
      <c r="N134" s="25" t="s">
        <v>319</v>
      </c>
      <c r="O134" s="25" t="s">
        <v>320</v>
      </c>
      <c r="P134" s="25" t="s">
        <v>55</v>
      </c>
      <c r="Q134" s="25" t="s">
        <v>50</v>
      </c>
      <c r="R134" s="24" t="n">
        <v>1890</v>
      </c>
      <c r="S134" s="16" t="n">
        <v>5700</v>
      </c>
      <c r="T134" s="24" t="n">
        <v>1</v>
      </c>
      <c r="U134" s="1" t="str">
        <f aca="false">D134&amp;"-"&amp;E134&amp;"-"&amp;M134&amp;"-"&amp;O134&amp;"-"&amp;P134&amp;"-"&amp;Q134</f>
        <v>FREYA-SONIC-AC4892-Navy Blue-30-F</v>
      </c>
      <c r="W134" s="1" t="s">
        <v>113</v>
      </c>
    </row>
    <row r="135" customFormat="false" ht="15" hidden="true" customHeight="false" outlineLevel="0" collapsed="false">
      <c r="B135" s="25" t="s">
        <v>321</v>
      </c>
      <c r="C135" s="17" t="s">
        <v>37</v>
      </c>
      <c r="D135" s="17" t="s">
        <v>38</v>
      </c>
      <c r="E135" s="25" t="s">
        <v>308</v>
      </c>
      <c r="F135" s="14" t="s">
        <v>309</v>
      </c>
      <c r="G135" s="26" t="s">
        <v>41</v>
      </c>
      <c r="H135" s="26" t="s">
        <v>42</v>
      </c>
      <c r="I135" s="14" t="s">
        <v>43</v>
      </c>
      <c r="J135" s="14"/>
      <c r="K135" s="4" t="s">
        <v>322</v>
      </c>
      <c r="L135" s="27"/>
      <c r="M135" s="24" t="s">
        <v>311</v>
      </c>
      <c r="N135" s="25" t="s">
        <v>312</v>
      </c>
      <c r="O135" s="25" t="s">
        <v>104</v>
      </c>
      <c r="P135" s="25" t="s">
        <v>55</v>
      </c>
      <c r="Q135" s="25" t="s">
        <v>105</v>
      </c>
      <c r="R135" s="24" t="n">
        <v>1890</v>
      </c>
      <c r="S135" s="16" t="n">
        <v>5700</v>
      </c>
      <c r="T135" s="24" t="n">
        <v>1</v>
      </c>
      <c r="U135" s="1" t="str">
        <f aca="false">D135&amp;"-"&amp;E135&amp;"-"&amp;M135&amp;"-"&amp;O135&amp;"-"&amp;P135&amp;"-"&amp;Q135</f>
        <v>FREYA-SONIC-AC4892-Light Pink-30-G</v>
      </c>
      <c r="W135" s="1" t="s">
        <v>113</v>
      </c>
    </row>
    <row r="136" customFormat="false" ht="15" hidden="true" customHeight="false" outlineLevel="0" collapsed="false">
      <c r="B136" s="25" t="s">
        <v>323</v>
      </c>
      <c r="C136" s="17" t="s">
        <v>37</v>
      </c>
      <c r="D136" s="17" t="s">
        <v>38</v>
      </c>
      <c r="E136" s="25" t="s">
        <v>308</v>
      </c>
      <c r="F136" s="14" t="s">
        <v>309</v>
      </c>
      <c r="G136" s="26" t="s">
        <v>41</v>
      </c>
      <c r="H136" s="26" t="s">
        <v>42</v>
      </c>
      <c r="I136" s="14" t="s">
        <v>43</v>
      </c>
      <c r="J136" s="14"/>
      <c r="K136" s="4" t="s">
        <v>324</v>
      </c>
      <c r="L136" s="27"/>
      <c r="M136" s="24" t="s">
        <v>311</v>
      </c>
      <c r="N136" s="25" t="s">
        <v>319</v>
      </c>
      <c r="O136" s="25" t="s">
        <v>320</v>
      </c>
      <c r="P136" s="25" t="s">
        <v>55</v>
      </c>
      <c r="Q136" s="25" t="s">
        <v>105</v>
      </c>
      <c r="R136" s="24" t="n">
        <v>1890</v>
      </c>
      <c r="S136" s="16" t="n">
        <v>5700</v>
      </c>
      <c r="T136" s="24" t="n">
        <v>1</v>
      </c>
      <c r="U136" s="1" t="str">
        <f aca="false">D136&amp;"-"&amp;E136&amp;"-"&amp;M136&amp;"-"&amp;O136&amp;"-"&amp;P136&amp;"-"&amp;Q136</f>
        <v>FREYA-SONIC-AC4892-Navy Blue-30-G</v>
      </c>
      <c r="W136" s="1" t="s">
        <v>113</v>
      </c>
    </row>
    <row r="137" customFormat="false" ht="15" hidden="true" customHeight="false" outlineLevel="0" collapsed="false">
      <c r="B137" s="25" t="s">
        <v>325</v>
      </c>
      <c r="C137" s="17" t="s">
        <v>37</v>
      </c>
      <c r="D137" s="17" t="s">
        <v>38</v>
      </c>
      <c r="E137" s="25" t="s">
        <v>308</v>
      </c>
      <c r="F137" s="14" t="s">
        <v>309</v>
      </c>
      <c r="G137" s="26" t="s">
        <v>41</v>
      </c>
      <c r="H137" s="26" t="s">
        <v>42</v>
      </c>
      <c r="I137" s="14" t="s">
        <v>43</v>
      </c>
      <c r="J137" s="14"/>
      <c r="K137" s="4" t="s">
        <v>326</v>
      </c>
      <c r="L137" s="27"/>
      <c r="M137" s="24" t="s">
        <v>311</v>
      </c>
      <c r="N137" s="25" t="s">
        <v>327</v>
      </c>
      <c r="O137" s="25" t="s">
        <v>320</v>
      </c>
      <c r="P137" s="25" t="s">
        <v>55</v>
      </c>
      <c r="Q137" s="25" t="s">
        <v>105</v>
      </c>
      <c r="R137" s="24" t="n">
        <v>1890</v>
      </c>
      <c r="S137" s="16" t="n">
        <v>5700</v>
      </c>
      <c r="T137" s="24" t="n">
        <v>1</v>
      </c>
      <c r="U137" s="1" t="str">
        <f aca="false">D137&amp;"-"&amp;E137&amp;"-"&amp;M137&amp;"-"&amp;O137&amp;"-"&amp;P137&amp;"-"&amp;Q137</f>
        <v>FREYA-SONIC-AC4892-Navy Blue-30-G</v>
      </c>
      <c r="W137" s="1" t="s">
        <v>113</v>
      </c>
    </row>
    <row r="138" customFormat="false" ht="15" hidden="true" customHeight="false" outlineLevel="0" collapsed="false">
      <c r="B138" s="25" t="s">
        <v>328</v>
      </c>
      <c r="C138" s="17" t="s">
        <v>37</v>
      </c>
      <c r="D138" s="17" t="s">
        <v>38</v>
      </c>
      <c r="E138" s="25" t="s">
        <v>308</v>
      </c>
      <c r="F138" s="14" t="s">
        <v>309</v>
      </c>
      <c r="G138" s="26" t="s">
        <v>41</v>
      </c>
      <c r="H138" s="26" t="s">
        <v>42</v>
      </c>
      <c r="I138" s="14" t="s">
        <v>43</v>
      </c>
      <c r="J138" s="14"/>
      <c r="K138" s="4" t="s">
        <v>329</v>
      </c>
      <c r="L138" s="28"/>
      <c r="M138" s="24" t="s">
        <v>311</v>
      </c>
      <c r="N138" s="25" t="s">
        <v>330</v>
      </c>
      <c r="O138" s="24" t="s">
        <v>331</v>
      </c>
      <c r="P138" s="25" t="s">
        <v>55</v>
      </c>
      <c r="Q138" s="25" t="s">
        <v>66</v>
      </c>
      <c r="R138" s="24" t="n">
        <v>1890</v>
      </c>
      <c r="S138" s="16" t="n">
        <v>5700</v>
      </c>
      <c r="T138" s="24" t="n">
        <v>1</v>
      </c>
      <c r="U138" s="1" t="str">
        <f aca="false">D138&amp;"-"&amp;E138&amp;"-"&amp;M138&amp;"-"&amp;O138&amp;"-"&amp;P138&amp;"-"&amp;Q138</f>
        <v>FREYA-SONIC-AC4892-Lime Green-30-E</v>
      </c>
      <c r="W138" s="1" t="s">
        <v>113</v>
      </c>
    </row>
    <row r="139" customFormat="false" ht="15" hidden="true" customHeight="false" outlineLevel="0" collapsed="false">
      <c r="B139" s="25" t="s">
        <v>332</v>
      </c>
      <c r="C139" s="17" t="s">
        <v>37</v>
      </c>
      <c r="D139" s="17" t="s">
        <v>38</v>
      </c>
      <c r="E139" s="25" t="s">
        <v>308</v>
      </c>
      <c r="F139" s="14" t="s">
        <v>309</v>
      </c>
      <c r="G139" s="26" t="s">
        <v>41</v>
      </c>
      <c r="H139" s="26" t="s">
        <v>42</v>
      </c>
      <c r="I139" s="14" t="s">
        <v>43</v>
      </c>
      <c r="J139" s="14"/>
      <c r="K139" s="4" t="s">
        <v>333</v>
      </c>
      <c r="L139" s="28"/>
      <c r="M139" s="24" t="s">
        <v>311</v>
      </c>
      <c r="N139" s="25" t="s">
        <v>330</v>
      </c>
      <c r="O139" s="24" t="s">
        <v>331</v>
      </c>
      <c r="P139" s="25" t="s">
        <v>55</v>
      </c>
      <c r="Q139" s="25" t="s">
        <v>62</v>
      </c>
      <c r="R139" s="24" t="n">
        <v>1890</v>
      </c>
      <c r="S139" s="16" t="n">
        <v>5700</v>
      </c>
      <c r="T139" s="24" t="n">
        <v>2</v>
      </c>
      <c r="U139" s="1" t="str">
        <f aca="false">D139&amp;"-"&amp;E139&amp;"-"&amp;M139&amp;"-"&amp;O139&amp;"-"&amp;P139&amp;"-"&amp;Q139</f>
        <v>FREYA-SONIC-AC4892-Lime Green-30-FF</v>
      </c>
      <c r="W139" s="1" t="s">
        <v>113</v>
      </c>
    </row>
    <row r="140" customFormat="false" ht="15" hidden="true" customHeight="false" outlineLevel="0" collapsed="false">
      <c r="B140" s="25" t="s">
        <v>334</v>
      </c>
      <c r="C140" s="17" t="s">
        <v>37</v>
      </c>
      <c r="D140" s="17" t="s">
        <v>38</v>
      </c>
      <c r="E140" s="25" t="s">
        <v>308</v>
      </c>
      <c r="F140" s="14" t="s">
        <v>309</v>
      </c>
      <c r="G140" s="26" t="s">
        <v>41</v>
      </c>
      <c r="H140" s="26" t="s">
        <v>42</v>
      </c>
      <c r="I140" s="14" t="s">
        <v>43</v>
      </c>
      <c r="J140" s="14"/>
      <c r="K140" s="4" t="s">
        <v>335</v>
      </c>
      <c r="L140" s="27"/>
      <c r="M140" s="24" t="s">
        <v>311</v>
      </c>
      <c r="N140" s="25" t="s">
        <v>330</v>
      </c>
      <c r="O140" s="25" t="s">
        <v>331</v>
      </c>
      <c r="P140" s="25" t="s">
        <v>92</v>
      </c>
      <c r="Q140" s="25" t="s">
        <v>66</v>
      </c>
      <c r="R140" s="24" t="n">
        <v>1890</v>
      </c>
      <c r="S140" s="16" t="n">
        <v>5700</v>
      </c>
      <c r="T140" s="24" t="n">
        <v>1</v>
      </c>
      <c r="U140" s="1" t="str">
        <f aca="false">D140&amp;"-"&amp;E140&amp;"-"&amp;M140&amp;"-"&amp;O140&amp;"-"&amp;P140&amp;"-"&amp;Q140</f>
        <v>FREYA-SONIC-AC4892-Lime Green-32-E</v>
      </c>
      <c r="W140" s="1" t="s">
        <v>113</v>
      </c>
    </row>
    <row r="141" customFormat="false" ht="15" hidden="true" customHeight="false" outlineLevel="0" collapsed="false">
      <c r="B141" s="25" t="s">
        <v>336</v>
      </c>
      <c r="C141" s="17" t="s">
        <v>37</v>
      </c>
      <c r="D141" s="17" t="s">
        <v>38</v>
      </c>
      <c r="E141" s="25" t="s">
        <v>308</v>
      </c>
      <c r="F141" s="14" t="s">
        <v>309</v>
      </c>
      <c r="G141" s="26" t="s">
        <v>41</v>
      </c>
      <c r="H141" s="26" t="s">
        <v>42</v>
      </c>
      <c r="I141" s="14" t="s">
        <v>43</v>
      </c>
      <c r="J141" s="14"/>
      <c r="K141" s="4" t="s">
        <v>337</v>
      </c>
      <c r="L141" s="27"/>
      <c r="M141" s="24" t="s">
        <v>311</v>
      </c>
      <c r="N141" s="25" t="s">
        <v>319</v>
      </c>
      <c r="O141" s="25" t="s">
        <v>320</v>
      </c>
      <c r="P141" s="25" t="s">
        <v>92</v>
      </c>
      <c r="Q141" s="25" t="s">
        <v>50</v>
      </c>
      <c r="R141" s="24" t="n">
        <v>1890</v>
      </c>
      <c r="S141" s="16" t="n">
        <v>5700</v>
      </c>
      <c r="T141" s="24" t="n">
        <v>0</v>
      </c>
      <c r="U141" s="1" t="str">
        <f aca="false">D141&amp;"-"&amp;E141&amp;"-"&amp;M141&amp;"-"&amp;O141&amp;"-"&amp;P141&amp;"-"&amp;Q141</f>
        <v>FREYA-SONIC-AC4892-Navy Blue-32-F</v>
      </c>
      <c r="W141" s="1" t="s">
        <v>113</v>
      </c>
    </row>
    <row r="142" customFormat="false" ht="15" hidden="true" customHeight="false" outlineLevel="0" collapsed="false">
      <c r="B142" s="25" t="s">
        <v>338</v>
      </c>
      <c r="C142" s="17" t="s">
        <v>37</v>
      </c>
      <c r="D142" s="17" t="s">
        <v>38</v>
      </c>
      <c r="E142" s="25" t="s">
        <v>308</v>
      </c>
      <c r="F142" s="14" t="s">
        <v>309</v>
      </c>
      <c r="G142" s="26" t="s">
        <v>41</v>
      </c>
      <c r="H142" s="26" t="s">
        <v>42</v>
      </c>
      <c r="I142" s="14" t="s">
        <v>43</v>
      </c>
      <c r="J142" s="14"/>
      <c r="K142" s="4" t="s">
        <v>339</v>
      </c>
      <c r="L142" s="27"/>
      <c r="M142" s="24" t="s">
        <v>311</v>
      </c>
      <c r="N142" s="25" t="s">
        <v>319</v>
      </c>
      <c r="O142" s="25" t="s">
        <v>320</v>
      </c>
      <c r="P142" s="25" t="s">
        <v>92</v>
      </c>
      <c r="Q142" s="25" t="s">
        <v>66</v>
      </c>
      <c r="R142" s="24" t="n">
        <v>1890</v>
      </c>
      <c r="S142" s="16" t="n">
        <v>5700</v>
      </c>
      <c r="T142" s="24" t="n">
        <v>1</v>
      </c>
      <c r="U142" s="1" t="str">
        <f aca="false">D142&amp;"-"&amp;E142&amp;"-"&amp;M142&amp;"-"&amp;O142&amp;"-"&amp;P142&amp;"-"&amp;Q142</f>
        <v>FREYA-SONIC-AC4892-Navy Blue-32-E</v>
      </c>
      <c r="W142" s="1" t="s">
        <v>113</v>
      </c>
    </row>
    <row r="143" customFormat="false" ht="15" hidden="true" customHeight="false" outlineLevel="0" collapsed="false">
      <c r="B143" s="25" t="s">
        <v>340</v>
      </c>
      <c r="C143" s="17" t="s">
        <v>37</v>
      </c>
      <c r="D143" s="17" t="s">
        <v>38</v>
      </c>
      <c r="E143" s="25" t="s">
        <v>308</v>
      </c>
      <c r="F143" s="14" t="s">
        <v>309</v>
      </c>
      <c r="G143" s="26" t="s">
        <v>41</v>
      </c>
      <c r="H143" s="26" t="s">
        <v>42</v>
      </c>
      <c r="I143" s="14" t="s">
        <v>43</v>
      </c>
      <c r="J143" s="14"/>
      <c r="K143" s="4" t="s">
        <v>341</v>
      </c>
      <c r="L143" s="27"/>
      <c r="M143" s="24" t="s">
        <v>311</v>
      </c>
      <c r="N143" s="25" t="s">
        <v>327</v>
      </c>
      <c r="O143" s="25" t="s">
        <v>320</v>
      </c>
      <c r="P143" s="25" t="s">
        <v>92</v>
      </c>
      <c r="Q143" s="25" t="s">
        <v>66</v>
      </c>
      <c r="R143" s="24" t="n">
        <v>1890</v>
      </c>
      <c r="S143" s="16" t="n">
        <v>5700</v>
      </c>
      <c r="T143" s="24" t="n">
        <v>1</v>
      </c>
      <c r="U143" s="1" t="str">
        <f aca="false">D143&amp;"-"&amp;E143&amp;"-"&amp;M143&amp;"-"&amp;O143&amp;"-"&amp;P143&amp;"-"&amp;Q143</f>
        <v>FREYA-SONIC-AC4892-Navy Blue-32-E</v>
      </c>
      <c r="W143" s="1" t="s">
        <v>113</v>
      </c>
    </row>
    <row r="144" customFormat="false" ht="15" hidden="true" customHeight="false" outlineLevel="0" collapsed="false">
      <c r="B144" s="25" t="s">
        <v>342</v>
      </c>
      <c r="C144" s="17" t="s">
        <v>37</v>
      </c>
      <c r="D144" s="17" t="s">
        <v>38</v>
      </c>
      <c r="E144" s="25" t="s">
        <v>308</v>
      </c>
      <c r="F144" s="14" t="s">
        <v>309</v>
      </c>
      <c r="G144" s="26" t="s">
        <v>41</v>
      </c>
      <c r="H144" s="26" t="s">
        <v>42</v>
      </c>
      <c r="I144" s="14" t="s">
        <v>43</v>
      </c>
      <c r="J144" s="14"/>
      <c r="K144" s="4" t="s">
        <v>343</v>
      </c>
      <c r="L144" s="27"/>
      <c r="M144" s="24" t="s">
        <v>311</v>
      </c>
      <c r="N144" s="25" t="s">
        <v>344</v>
      </c>
      <c r="O144" s="25" t="s">
        <v>345</v>
      </c>
      <c r="P144" s="25" t="s">
        <v>92</v>
      </c>
      <c r="Q144" s="25" t="s">
        <v>129</v>
      </c>
      <c r="R144" s="24" t="n">
        <v>1890</v>
      </c>
      <c r="S144" s="16" t="n">
        <v>5700</v>
      </c>
      <c r="T144" s="24" t="n">
        <v>0</v>
      </c>
      <c r="U144" s="1" t="str">
        <f aca="false">D144&amp;"-"&amp;E144&amp;"-"&amp;M144&amp;"-"&amp;O144&amp;"-"&amp;P144&amp;"-"&amp;Q144</f>
        <v>FREYA-SONIC-AC4892-Ice Blue-32-GG</v>
      </c>
      <c r="W144" s="1" t="s">
        <v>113</v>
      </c>
    </row>
    <row r="145" customFormat="false" ht="15" hidden="true" customHeight="false" outlineLevel="0" collapsed="false">
      <c r="B145" s="25" t="s">
        <v>346</v>
      </c>
      <c r="C145" s="17" t="s">
        <v>37</v>
      </c>
      <c r="D145" s="17" t="s">
        <v>38</v>
      </c>
      <c r="E145" s="25" t="s">
        <v>308</v>
      </c>
      <c r="F145" s="14" t="s">
        <v>309</v>
      </c>
      <c r="G145" s="26" t="s">
        <v>41</v>
      </c>
      <c r="H145" s="26" t="s">
        <v>42</v>
      </c>
      <c r="I145" s="14" t="s">
        <v>43</v>
      </c>
      <c r="J145" s="14"/>
      <c r="K145" s="4" t="s">
        <v>347</v>
      </c>
      <c r="L145" s="27"/>
      <c r="M145" s="24" t="s">
        <v>311</v>
      </c>
      <c r="N145" s="25" t="s">
        <v>315</v>
      </c>
      <c r="O145" s="25" t="s">
        <v>316</v>
      </c>
      <c r="P145" s="25" t="s">
        <v>55</v>
      </c>
      <c r="Q145" s="25" t="s">
        <v>66</v>
      </c>
      <c r="R145" s="24" t="n">
        <v>1890</v>
      </c>
      <c r="S145" s="16" t="n">
        <v>5700</v>
      </c>
      <c r="T145" s="24" t="n">
        <v>1</v>
      </c>
      <c r="U145" s="1" t="str">
        <f aca="false">D145&amp;"-"&amp;E145&amp;"-"&amp;M145&amp;"-"&amp;O145&amp;"-"&amp;P145&amp;"-"&amp;Q145</f>
        <v>FREYA-SONIC-AC4892-Khaki Green-30-E</v>
      </c>
      <c r="W145" s="1" t="s">
        <v>113</v>
      </c>
    </row>
    <row r="146" customFormat="false" ht="15" hidden="true" customHeight="false" outlineLevel="0" collapsed="false">
      <c r="B146" s="25" t="s">
        <v>348</v>
      </c>
      <c r="C146" s="17" t="s">
        <v>37</v>
      </c>
      <c r="D146" s="17" t="s">
        <v>38</v>
      </c>
      <c r="E146" s="25" t="s">
        <v>308</v>
      </c>
      <c r="F146" s="14" t="s">
        <v>309</v>
      </c>
      <c r="G146" s="26" t="s">
        <v>41</v>
      </c>
      <c r="H146" s="26" t="s">
        <v>42</v>
      </c>
      <c r="I146" s="14" t="s">
        <v>43</v>
      </c>
      <c r="J146" s="14"/>
      <c r="K146" s="4" t="s">
        <v>349</v>
      </c>
      <c r="L146" s="27"/>
      <c r="M146" s="24" t="s">
        <v>311</v>
      </c>
      <c r="N146" s="25" t="s">
        <v>315</v>
      </c>
      <c r="O146" s="25" t="s">
        <v>316</v>
      </c>
      <c r="P146" s="25" t="s">
        <v>55</v>
      </c>
      <c r="Q146" s="25" t="s">
        <v>50</v>
      </c>
      <c r="R146" s="24" t="n">
        <v>1890</v>
      </c>
      <c r="S146" s="16" t="n">
        <v>5700</v>
      </c>
      <c r="T146" s="24" t="n">
        <v>2</v>
      </c>
      <c r="U146" s="1" t="str">
        <f aca="false">D146&amp;"-"&amp;E146&amp;"-"&amp;M146&amp;"-"&amp;O146&amp;"-"&amp;P146&amp;"-"&amp;Q146</f>
        <v>FREYA-SONIC-AC4892-Khaki Green-30-F</v>
      </c>
      <c r="W146" s="1" t="s">
        <v>113</v>
      </c>
    </row>
    <row r="147" customFormat="false" ht="15" hidden="true" customHeight="false" outlineLevel="0" collapsed="false">
      <c r="B147" s="25" t="s">
        <v>350</v>
      </c>
      <c r="C147" s="17" t="s">
        <v>37</v>
      </c>
      <c r="D147" s="17" t="s">
        <v>38</v>
      </c>
      <c r="E147" s="25" t="s">
        <v>308</v>
      </c>
      <c r="F147" s="14" t="s">
        <v>309</v>
      </c>
      <c r="G147" s="26" t="s">
        <v>41</v>
      </c>
      <c r="H147" s="26" t="s">
        <v>42</v>
      </c>
      <c r="I147" s="14" t="s">
        <v>43</v>
      </c>
      <c r="J147" s="14"/>
      <c r="K147" s="4" t="s">
        <v>351</v>
      </c>
      <c r="L147" s="27"/>
      <c r="M147" s="24" t="s">
        <v>311</v>
      </c>
      <c r="N147" s="25" t="s">
        <v>315</v>
      </c>
      <c r="O147" s="25" t="s">
        <v>316</v>
      </c>
      <c r="P147" s="25" t="s">
        <v>92</v>
      </c>
      <c r="Q147" s="25" t="s">
        <v>66</v>
      </c>
      <c r="R147" s="24" t="n">
        <v>1890</v>
      </c>
      <c r="S147" s="16" t="n">
        <v>5700</v>
      </c>
      <c r="T147" s="24" t="n">
        <v>1</v>
      </c>
      <c r="U147" s="1" t="str">
        <f aca="false">D147&amp;"-"&amp;E147&amp;"-"&amp;M147&amp;"-"&amp;O147&amp;"-"&amp;P147&amp;"-"&amp;Q147</f>
        <v>FREYA-SONIC-AC4892-Khaki Green-32-E</v>
      </c>
      <c r="W147" s="1" t="s">
        <v>113</v>
      </c>
    </row>
    <row r="148" customFormat="false" ht="15" hidden="true" customHeight="false" outlineLevel="0" collapsed="false">
      <c r="B148" s="25" t="s">
        <v>352</v>
      </c>
      <c r="C148" s="17" t="s">
        <v>37</v>
      </c>
      <c r="D148" s="17" t="s">
        <v>38</v>
      </c>
      <c r="E148" s="25" t="s">
        <v>308</v>
      </c>
      <c r="F148" s="14" t="s">
        <v>309</v>
      </c>
      <c r="G148" s="26" t="s">
        <v>41</v>
      </c>
      <c r="H148" s="26" t="s">
        <v>42</v>
      </c>
      <c r="I148" s="14" t="s">
        <v>43</v>
      </c>
      <c r="J148" s="14"/>
      <c r="K148" s="4" t="s">
        <v>353</v>
      </c>
      <c r="L148" s="27"/>
      <c r="M148" s="24" t="s">
        <v>311</v>
      </c>
      <c r="N148" s="25" t="s">
        <v>312</v>
      </c>
      <c r="O148" s="25" t="s">
        <v>104</v>
      </c>
      <c r="P148" s="25" t="s">
        <v>92</v>
      </c>
      <c r="Q148" s="25" t="s">
        <v>62</v>
      </c>
      <c r="R148" s="24" t="n">
        <v>1890</v>
      </c>
      <c r="S148" s="16" t="n">
        <v>5700</v>
      </c>
      <c r="T148" s="24" t="n">
        <v>1</v>
      </c>
      <c r="U148" s="1" t="str">
        <f aca="false">D148&amp;"-"&amp;E148&amp;"-"&amp;M148&amp;"-"&amp;O148&amp;"-"&amp;P148&amp;"-"&amp;Q148</f>
        <v>FREYA-SONIC-AC4892-Light Pink-32-FF</v>
      </c>
      <c r="W148" s="1" t="s">
        <v>113</v>
      </c>
    </row>
    <row r="149" customFormat="false" ht="15" hidden="true" customHeight="false" outlineLevel="0" collapsed="false">
      <c r="B149" s="24" t="s">
        <v>354</v>
      </c>
      <c r="C149" s="17" t="s">
        <v>37</v>
      </c>
      <c r="D149" s="17" t="s">
        <v>38</v>
      </c>
      <c r="E149" s="25" t="s">
        <v>308</v>
      </c>
      <c r="F149" s="14" t="s">
        <v>309</v>
      </c>
      <c r="G149" s="26" t="s">
        <v>41</v>
      </c>
      <c r="H149" s="26" t="s">
        <v>42</v>
      </c>
      <c r="I149" s="14" t="s">
        <v>43</v>
      </c>
      <c r="J149" s="14"/>
      <c r="K149" s="4" t="s">
        <v>355</v>
      </c>
      <c r="L149" s="27"/>
      <c r="M149" s="24" t="s">
        <v>311</v>
      </c>
      <c r="N149" s="25" t="s">
        <v>312</v>
      </c>
      <c r="O149" s="25" t="s">
        <v>104</v>
      </c>
      <c r="P149" s="17" t="s">
        <v>134</v>
      </c>
      <c r="Q149" s="17" t="s">
        <v>56</v>
      </c>
      <c r="R149" s="24" t="n">
        <v>1890</v>
      </c>
      <c r="S149" s="16" t="n">
        <v>5700</v>
      </c>
      <c r="T149" s="24" t="n">
        <v>1</v>
      </c>
      <c r="U149" s="1" t="str">
        <f aca="false">D149&amp;"-"&amp;E149&amp;"-"&amp;M149&amp;"-"&amp;O149&amp;"-"&amp;P149&amp;"-"&amp;Q149</f>
        <v>FREYA-SONIC-AC4892-Light Pink-34-DD</v>
      </c>
      <c r="W149" s="1" t="s">
        <v>113</v>
      </c>
    </row>
    <row r="150" customFormat="false" ht="15" hidden="true" customHeight="false" outlineLevel="0" collapsed="false">
      <c r="B150" s="25" t="s">
        <v>356</v>
      </c>
      <c r="C150" s="17" t="s">
        <v>37</v>
      </c>
      <c r="D150" s="17" t="s">
        <v>38</v>
      </c>
      <c r="E150" s="25" t="s">
        <v>308</v>
      </c>
      <c r="F150" s="14" t="s">
        <v>309</v>
      </c>
      <c r="G150" s="26" t="s">
        <v>41</v>
      </c>
      <c r="H150" s="26" t="s">
        <v>42</v>
      </c>
      <c r="I150" s="14" t="s">
        <v>43</v>
      </c>
      <c r="J150" s="14"/>
      <c r="K150" s="4" t="s">
        <v>357</v>
      </c>
      <c r="L150" s="19"/>
      <c r="M150" s="24" t="s">
        <v>311</v>
      </c>
      <c r="N150" s="25" t="s">
        <v>315</v>
      </c>
      <c r="O150" s="17" t="s">
        <v>316</v>
      </c>
      <c r="P150" s="25" t="s">
        <v>134</v>
      </c>
      <c r="Q150" s="25" t="s">
        <v>66</v>
      </c>
      <c r="R150" s="24" t="n">
        <v>1890</v>
      </c>
      <c r="S150" s="16" t="n">
        <v>5700</v>
      </c>
      <c r="T150" s="24" t="n">
        <v>1</v>
      </c>
      <c r="U150" s="1" t="str">
        <f aca="false">D150&amp;"-"&amp;E150&amp;"-"&amp;M150&amp;"-"&amp;O150&amp;"-"&amp;P150&amp;"-"&amp;Q150</f>
        <v>FREYA-SONIC-AC4892-Khaki Green-34-E</v>
      </c>
      <c r="W150" s="1" t="s">
        <v>113</v>
      </c>
    </row>
    <row r="151" customFormat="false" ht="15" hidden="true" customHeight="false" outlineLevel="0" collapsed="false">
      <c r="B151" s="25" t="s">
        <v>358</v>
      </c>
      <c r="C151" s="17" t="s">
        <v>37</v>
      </c>
      <c r="D151" s="17" t="s">
        <v>38</v>
      </c>
      <c r="E151" s="25" t="s">
        <v>308</v>
      </c>
      <c r="F151" s="14" t="s">
        <v>309</v>
      </c>
      <c r="G151" s="26" t="s">
        <v>41</v>
      </c>
      <c r="H151" s="26" t="s">
        <v>42</v>
      </c>
      <c r="I151" s="14" t="s">
        <v>43</v>
      </c>
      <c r="J151" s="14"/>
      <c r="K151" s="4" t="s">
        <v>359</v>
      </c>
      <c r="L151" s="27"/>
      <c r="M151" s="24" t="s">
        <v>311</v>
      </c>
      <c r="N151" s="25" t="s">
        <v>315</v>
      </c>
      <c r="O151" s="25" t="s">
        <v>316</v>
      </c>
      <c r="P151" s="25" t="s">
        <v>134</v>
      </c>
      <c r="Q151" s="25" t="s">
        <v>56</v>
      </c>
      <c r="R151" s="24" t="n">
        <v>1890</v>
      </c>
      <c r="S151" s="16" t="n">
        <v>5700</v>
      </c>
      <c r="T151" s="24" t="n">
        <v>2</v>
      </c>
      <c r="U151" s="1" t="str">
        <f aca="false">D151&amp;"-"&amp;E151&amp;"-"&amp;M151&amp;"-"&amp;O151&amp;"-"&amp;P151&amp;"-"&amp;Q151</f>
        <v>FREYA-SONIC-AC4892-Khaki Green-34-DD</v>
      </c>
      <c r="W151" s="1" t="s">
        <v>113</v>
      </c>
    </row>
    <row r="152" customFormat="false" ht="15" hidden="true" customHeight="false" outlineLevel="0" collapsed="false">
      <c r="B152" s="25" t="s">
        <v>360</v>
      </c>
      <c r="C152" s="17" t="s">
        <v>37</v>
      </c>
      <c r="D152" s="17" t="s">
        <v>38</v>
      </c>
      <c r="E152" s="25" t="s">
        <v>308</v>
      </c>
      <c r="F152" s="14" t="s">
        <v>309</v>
      </c>
      <c r="G152" s="26" t="s">
        <v>41</v>
      </c>
      <c r="H152" s="26" t="s">
        <v>42</v>
      </c>
      <c r="I152" s="14" t="s">
        <v>43</v>
      </c>
      <c r="J152" s="14"/>
      <c r="K152" s="4" t="s">
        <v>361</v>
      </c>
      <c r="L152" s="27"/>
      <c r="M152" s="24" t="s">
        <v>311</v>
      </c>
      <c r="N152" s="25" t="s">
        <v>344</v>
      </c>
      <c r="O152" s="25" t="s">
        <v>345</v>
      </c>
      <c r="P152" s="25" t="s">
        <v>134</v>
      </c>
      <c r="Q152" s="25" t="s">
        <v>66</v>
      </c>
      <c r="R152" s="24" t="n">
        <v>1890</v>
      </c>
      <c r="S152" s="16" t="n">
        <v>5700</v>
      </c>
      <c r="T152" s="24" t="n">
        <v>1</v>
      </c>
      <c r="U152" s="1" t="str">
        <f aca="false">D152&amp;"-"&amp;E152&amp;"-"&amp;M152&amp;"-"&amp;O152&amp;"-"&amp;P152&amp;"-"&amp;Q152</f>
        <v>FREYA-SONIC-AC4892-Ice Blue-34-E</v>
      </c>
      <c r="W152" s="1" t="s">
        <v>113</v>
      </c>
    </row>
    <row r="153" customFormat="false" ht="15" hidden="true" customHeight="false" outlineLevel="0" collapsed="false">
      <c r="B153" s="25" t="s">
        <v>362</v>
      </c>
      <c r="C153" s="17" t="s">
        <v>37</v>
      </c>
      <c r="D153" s="17" t="s">
        <v>38</v>
      </c>
      <c r="E153" s="25" t="s">
        <v>308</v>
      </c>
      <c r="F153" s="14" t="s">
        <v>309</v>
      </c>
      <c r="G153" s="26" t="s">
        <v>41</v>
      </c>
      <c r="H153" s="26" t="s">
        <v>42</v>
      </c>
      <c r="I153" s="14" t="s">
        <v>43</v>
      </c>
      <c r="J153" s="14"/>
      <c r="K153" s="4" t="s">
        <v>363</v>
      </c>
      <c r="L153" s="27"/>
      <c r="M153" s="24" t="s">
        <v>311</v>
      </c>
      <c r="N153" s="25" t="s">
        <v>344</v>
      </c>
      <c r="O153" s="25" t="s">
        <v>345</v>
      </c>
      <c r="P153" s="25" t="s">
        <v>134</v>
      </c>
      <c r="Q153" s="25" t="s">
        <v>50</v>
      </c>
      <c r="R153" s="24" t="n">
        <v>1890</v>
      </c>
      <c r="S153" s="16" t="n">
        <v>5700</v>
      </c>
      <c r="T153" s="24" t="n">
        <v>0</v>
      </c>
      <c r="U153" s="1" t="str">
        <f aca="false">D153&amp;"-"&amp;E153&amp;"-"&amp;M153&amp;"-"&amp;O153&amp;"-"&amp;P153&amp;"-"&amp;Q153</f>
        <v>FREYA-SONIC-AC4892-Ice Blue-34-F</v>
      </c>
      <c r="W153" s="1" t="s">
        <v>113</v>
      </c>
    </row>
    <row r="154" customFormat="false" ht="15" hidden="true" customHeight="false" outlineLevel="0" collapsed="false">
      <c r="B154" s="25" t="s">
        <v>364</v>
      </c>
      <c r="C154" s="17" t="s">
        <v>37</v>
      </c>
      <c r="D154" s="17" t="s">
        <v>38</v>
      </c>
      <c r="E154" s="25" t="s">
        <v>308</v>
      </c>
      <c r="F154" s="14" t="s">
        <v>309</v>
      </c>
      <c r="G154" s="26" t="s">
        <v>41</v>
      </c>
      <c r="H154" s="26" t="s">
        <v>42</v>
      </c>
      <c r="I154" s="14" t="s">
        <v>43</v>
      </c>
      <c r="J154" s="14"/>
      <c r="K154" s="4" t="s">
        <v>365</v>
      </c>
      <c r="L154" s="27"/>
      <c r="M154" s="24" t="s">
        <v>311</v>
      </c>
      <c r="N154" s="25" t="s">
        <v>319</v>
      </c>
      <c r="O154" s="25" t="s">
        <v>320</v>
      </c>
      <c r="P154" s="25" t="s">
        <v>134</v>
      </c>
      <c r="Q154" s="25" t="s">
        <v>105</v>
      </c>
      <c r="R154" s="24" t="n">
        <v>1890</v>
      </c>
      <c r="S154" s="16" t="n">
        <v>5700</v>
      </c>
      <c r="T154" s="24" t="n">
        <v>1</v>
      </c>
      <c r="U154" s="1" t="str">
        <f aca="false">D154&amp;"-"&amp;E154&amp;"-"&amp;M154&amp;"-"&amp;O154&amp;"-"&amp;P154&amp;"-"&amp;Q154</f>
        <v>FREYA-SONIC-AC4892-Navy Blue-34-G</v>
      </c>
      <c r="W154" s="1" t="s">
        <v>113</v>
      </c>
    </row>
    <row r="155" customFormat="false" ht="15" hidden="true" customHeight="false" outlineLevel="0" collapsed="false">
      <c r="B155" s="25" t="s">
        <v>366</v>
      </c>
      <c r="C155" s="17" t="s">
        <v>37</v>
      </c>
      <c r="D155" s="17" t="s">
        <v>38</v>
      </c>
      <c r="E155" s="25" t="s">
        <v>308</v>
      </c>
      <c r="F155" s="14" t="s">
        <v>309</v>
      </c>
      <c r="G155" s="26" t="s">
        <v>41</v>
      </c>
      <c r="H155" s="26" t="s">
        <v>42</v>
      </c>
      <c r="I155" s="14" t="s">
        <v>43</v>
      </c>
      <c r="J155" s="14"/>
      <c r="K155" s="4" t="s">
        <v>367</v>
      </c>
      <c r="L155" s="28"/>
      <c r="M155" s="24" t="s">
        <v>311</v>
      </c>
      <c r="N155" s="25" t="s">
        <v>330</v>
      </c>
      <c r="O155" s="24" t="s">
        <v>331</v>
      </c>
      <c r="P155" s="17" t="s">
        <v>65</v>
      </c>
      <c r="Q155" s="25" t="s">
        <v>97</v>
      </c>
      <c r="R155" s="24" t="n">
        <v>1890</v>
      </c>
      <c r="S155" s="16" t="n">
        <v>5700</v>
      </c>
      <c r="T155" s="24" t="n">
        <v>1</v>
      </c>
      <c r="U155" s="1" t="str">
        <f aca="false">D155&amp;"-"&amp;E155&amp;"-"&amp;M155&amp;"-"&amp;O155&amp;"-"&amp;P155&amp;"-"&amp;Q155</f>
        <v>FREYA-SONIC-AC4892-Lime Green-36-D</v>
      </c>
      <c r="W155" s="1" t="s">
        <v>113</v>
      </c>
    </row>
    <row r="156" customFormat="false" ht="15" hidden="true" customHeight="false" outlineLevel="0" collapsed="false">
      <c r="B156" s="25" t="s">
        <v>368</v>
      </c>
      <c r="C156" s="17" t="s">
        <v>37</v>
      </c>
      <c r="D156" s="17" t="s">
        <v>38</v>
      </c>
      <c r="E156" s="25" t="s">
        <v>308</v>
      </c>
      <c r="F156" s="14" t="s">
        <v>309</v>
      </c>
      <c r="G156" s="26" t="s">
        <v>41</v>
      </c>
      <c r="H156" s="26" t="s">
        <v>42</v>
      </c>
      <c r="I156" s="14" t="s">
        <v>43</v>
      </c>
      <c r="J156" s="14"/>
      <c r="K156" s="4" t="s">
        <v>369</v>
      </c>
      <c r="L156" s="27"/>
      <c r="M156" s="24" t="s">
        <v>311</v>
      </c>
      <c r="N156" s="25" t="s">
        <v>319</v>
      </c>
      <c r="O156" s="25" t="s">
        <v>320</v>
      </c>
      <c r="P156" s="17" t="s">
        <v>65</v>
      </c>
      <c r="Q156" s="25" t="s">
        <v>97</v>
      </c>
      <c r="R156" s="24" t="n">
        <v>1890</v>
      </c>
      <c r="S156" s="16" t="n">
        <v>5700</v>
      </c>
      <c r="T156" s="24" t="n">
        <v>1</v>
      </c>
      <c r="U156" s="1" t="str">
        <f aca="false">D156&amp;"-"&amp;E156&amp;"-"&amp;M156&amp;"-"&amp;O156&amp;"-"&amp;P156&amp;"-"&amp;Q156</f>
        <v>FREYA-SONIC-AC4892-Navy Blue-36-D</v>
      </c>
      <c r="W156" s="1" t="s">
        <v>113</v>
      </c>
    </row>
    <row r="157" customFormat="false" ht="15" hidden="true" customHeight="false" outlineLevel="0" collapsed="false">
      <c r="B157" s="25" t="s">
        <v>370</v>
      </c>
      <c r="C157" s="17" t="s">
        <v>37</v>
      </c>
      <c r="D157" s="17" t="s">
        <v>38</v>
      </c>
      <c r="E157" s="25" t="s">
        <v>308</v>
      </c>
      <c r="F157" s="14" t="s">
        <v>309</v>
      </c>
      <c r="G157" s="26" t="s">
        <v>41</v>
      </c>
      <c r="H157" s="26" t="s">
        <v>42</v>
      </c>
      <c r="I157" s="14" t="s">
        <v>43</v>
      </c>
      <c r="J157" s="14"/>
      <c r="K157" s="4" t="s">
        <v>371</v>
      </c>
      <c r="L157" s="27"/>
      <c r="M157" s="24" t="s">
        <v>311</v>
      </c>
      <c r="N157" s="17" t="s">
        <v>315</v>
      </c>
      <c r="O157" s="25" t="s">
        <v>316</v>
      </c>
      <c r="P157" s="17" t="s">
        <v>65</v>
      </c>
      <c r="Q157" s="25" t="s">
        <v>97</v>
      </c>
      <c r="R157" s="24" t="n">
        <v>1890</v>
      </c>
      <c r="S157" s="16" t="n">
        <v>5700</v>
      </c>
      <c r="T157" s="24" t="n">
        <v>1</v>
      </c>
      <c r="U157" s="1" t="str">
        <f aca="false">D157&amp;"-"&amp;E157&amp;"-"&amp;M157&amp;"-"&amp;O157&amp;"-"&amp;P157&amp;"-"&amp;Q157</f>
        <v>FREYA-SONIC-AC4892-Khaki Green-36-D</v>
      </c>
      <c r="W157" s="1" t="s">
        <v>113</v>
      </c>
    </row>
    <row r="158" customFormat="false" ht="15" hidden="true" customHeight="false" outlineLevel="0" collapsed="false">
      <c r="B158" s="25" t="s">
        <v>372</v>
      </c>
      <c r="C158" s="17" t="s">
        <v>37</v>
      </c>
      <c r="D158" s="17" t="s">
        <v>38</v>
      </c>
      <c r="E158" s="25" t="s">
        <v>308</v>
      </c>
      <c r="F158" s="14" t="s">
        <v>309</v>
      </c>
      <c r="G158" s="26" t="s">
        <v>41</v>
      </c>
      <c r="H158" s="26" t="s">
        <v>42</v>
      </c>
      <c r="I158" s="14" t="s">
        <v>43</v>
      </c>
      <c r="J158" s="14"/>
      <c r="K158" s="4" t="s">
        <v>373</v>
      </c>
      <c r="L158" s="27"/>
      <c r="M158" s="24" t="s">
        <v>311</v>
      </c>
      <c r="N158" s="25" t="s">
        <v>315</v>
      </c>
      <c r="O158" s="25" t="s">
        <v>316</v>
      </c>
      <c r="P158" s="17" t="s">
        <v>65</v>
      </c>
      <c r="Q158" s="25" t="s">
        <v>56</v>
      </c>
      <c r="R158" s="24" t="n">
        <v>1890</v>
      </c>
      <c r="S158" s="16" t="n">
        <v>5700</v>
      </c>
      <c r="T158" s="24" t="n">
        <v>0</v>
      </c>
      <c r="U158" s="1" t="str">
        <f aca="false">D158&amp;"-"&amp;E158&amp;"-"&amp;M158&amp;"-"&amp;O158&amp;"-"&amp;P158&amp;"-"&amp;Q158</f>
        <v>FREYA-SONIC-AC4892-Khaki Green-36-DD</v>
      </c>
      <c r="W158" s="1" t="s">
        <v>113</v>
      </c>
    </row>
    <row r="159" customFormat="false" ht="15" hidden="true" customHeight="false" outlineLevel="0" collapsed="false">
      <c r="B159" s="25" t="s">
        <v>374</v>
      </c>
      <c r="C159" s="17" t="s">
        <v>37</v>
      </c>
      <c r="D159" s="17" t="s">
        <v>38</v>
      </c>
      <c r="E159" s="25" t="s">
        <v>308</v>
      </c>
      <c r="F159" s="14" t="s">
        <v>309</v>
      </c>
      <c r="G159" s="26" t="s">
        <v>41</v>
      </c>
      <c r="H159" s="26" t="s">
        <v>42</v>
      </c>
      <c r="I159" s="14" t="s">
        <v>43</v>
      </c>
      <c r="J159" s="14"/>
      <c r="K159" s="4" t="s">
        <v>375</v>
      </c>
      <c r="L159" s="27"/>
      <c r="M159" s="24" t="s">
        <v>311</v>
      </c>
      <c r="N159" s="25" t="s">
        <v>344</v>
      </c>
      <c r="O159" s="25" t="s">
        <v>345</v>
      </c>
      <c r="P159" s="25" t="s">
        <v>65</v>
      </c>
      <c r="Q159" s="25" t="s">
        <v>66</v>
      </c>
      <c r="R159" s="24" t="n">
        <v>1890</v>
      </c>
      <c r="S159" s="16" t="n">
        <v>5700</v>
      </c>
      <c r="T159" s="24" t="n">
        <v>1</v>
      </c>
      <c r="U159" s="1" t="str">
        <f aca="false">D159&amp;"-"&amp;E159&amp;"-"&amp;M159&amp;"-"&amp;O159&amp;"-"&amp;P159&amp;"-"&amp;Q159</f>
        <v>FREYA-SONIC-AC4892-Ice Blue-36-E</v>
      </c>
      <c r="W159" s="1" t="s">
        <v>113</v>
      </c>
    </row>
    <row r="160" customFormat="false" ht="15" hidden="true" customHeight="false" outlineLevel="0" collapsed="false">
      <c r="B160" s="25" t="s">
        <v>376</v>
      </c>
      <c r="C160" s="17" t="s">
        <v>37</v>
      </c>
      <c r="D160" s="17" t="s">
        <v>38</v>
      </c>
      <c r="E160" s="25" t="s">
        <v>308</v>
      </c>
      <c r="F160" s="14" t="s">
        <v>309</v>
      </c>
      <c r="G160" s="26" t="s">
        <v>41</v>
      </c>
      <c r="H160" s="26" t="s">
        <v>42</v>
      </c>
      <c r="I160" s="14" t="s">
        <v>43</v>
      </c>
      <c r="J160" s="14"/>
      <c r="K160" s="4" t="s">
        <v>377</v>
      </c>
      <c r="L160" s="27"/>
      <c r="M160" s="24" t="s">
        <v>311</v>
      </c>
      <c r="N160" s="25" t="s">
        <v>312</v>
      </c>
      <c r="O160" s="25" t="s">
        <v>104</v>
      </c>
      <c r="P160" s="25" t="s">
        <v>65</v>
      </c>
      <c r="Q160" s="25" t="s">
        <v>50</v>
      </c>
      <c r="R160" s="24" t="n">
        <v>1890</v>
      </c>
      <c r="S160" s="16" t="n">
        <v>5700</v>
      </c>
      <c r="T160" s="24" t="n">
        <v>2</v>
      </c>
      <c r="U160" s="1" t="str">
        <f aca="false">D160&amp;"-"&amp;E160&amp;"-"&amp;M160&amp;"-"&amp;O160&amp;"-"&amp;P160&amp;"-"&amp;Q160</f>
        <v>FREYA-SONIC-AC4892-Light Pink-36-F</v>
      </c>
      <c r="W160" s="1" t="s">
        <v>113</v>
      </c>
    </row>
    <row r="161" customFormat="false" ht="15" hidden="true" customHeight="false" outlineLevel="0" collapsed="false">
      <c r="B161" s="25" t="s">
        <v>378</v>
      </c>
      <c r="C161" s="17" t="s">
        <v>37</v>
      </c>
      <c r="D161" s="17" t="s">
        <v>38</v>
      </c>
      <c r="E161" s="25" t="s">
        <v>308</v>
      </c>
      <c r="F161" s="14" t="s">
        <v>309</v>
      </c>
      <c r="G161" s="26" t="s">
        <v>41</v>
      </c>
      <c r="H161" s="26" t="s">
        <v>42</v>
      </c>
      <c r="I161" s="14" t="s">
        <v>43</v>
      </c>
      <c r="J161" s="14"/>
      <c r="K161" s="4" t="s">
        <v>379</v>
      </c>
      <c r="L161" s="27"/>
      <c r="M161" s="24" t="s">
        <v>311</v>
      </c>
      <c r="N161" s="25" t="s">
        <v>312</v>
      </c>
      <c r="O161" s="25" t="s">
        <v>104</v>
      </c>
      <c r="P161" s="25" t="s">
        <v>65</v>
      </c>
      <c r="Q161" s="25" t="s">
        <v>62</v>
      </c>
      <c r="R161" s="24" t="n">
        <v>1890</v>
      </c>
      <c r="S161" s="16" t="n">
        <v>5700</v>
      </c>
      <c r="T161" s="24" t="n">
        <v>0</v>
      </c>
      <c r="U161" s="1" t="str">
        <f aca="false">D161&amp;"-"&amp;E161&amp;"-"&amp;M161&amp;"-"&amp;O161&amp;"-"&amp;P161&amp;"-"&amp;Q161</f>
        <v>FREYA-SONIC-AC4892-Light Pink-36-FF</v>
      </c>
      <c r="W161" s="1" t="s">
        <v>113</v>
      </c>
    </row>
    <row r="162" customFormat="false" ht="15" hidden="true" customHeight="false" outlineLevel="0" collapsed="false">
      <c r="B162" s="25" t="s">
        <v>380</v>
      </c>
      <c r="C162" s="17" t="s">
        <v>37</v>
      </c>
      <c r="D162" s="17" t="s">
        <v>38</v>
      </c>
      <c r="E162" s="25" t="s">
        <v>308</v>
      </c>
      <c r="F162" s="14" t="s">
        <v>309</v>
      </c>
      <c r="G162" s="26" t="s">
        <v>41</v>
      </c>
      <c r="H162" s="26" t="s">
        <v>42</v>
      </c>
      <c r="I162" s="14" t="s">
        <v>43</v>
      </c>
      <c r="J162" s="14"/>
      <c r="K162" s="4" t="s">
        <v>381</v>
      </c>
      <c r="L162" s="27"/>
      <c r="M162" s="24" t="s">
        <v>311</v>
      </c>
      <c r="N162" s="25" t="s">
        <v>312</v>
      </c>
      <c r="O162" s="25" t="s">
        <v>104</v>
      </c>
      <c r="P162" s="25" t="s">
        <v>65</v>
      </c>
      <c r="Q162" s="25" t="s">
        <v>105</v>
      </c>
      <c r="R162" s="24" t="n">
        <v>1890</v>
      </c>
      <c r="S162" s="16" t="n">
        <v>5700</v>
      </c>
      <c r="T162" s="24" t="n">
        <v>1</v>
      </c>
      <c r="U162" s="1" t="str">
        <f aca="false">D162&amp;"-"&amp;E162&amp;"-"&amp;M162&amp;"-"&amp;O162&amp;"-"&amp;P162&amp;"-"&amp;Q162</f>
        <v>FREYA-SONIC-AC4892-Light Pink-36-G</v>
      </c>
      <c r="W162" s="1" t="s">
        <v>113</v>
      </c>
    </row>
    <row r="163" customFormat="false" ht="15" hidden="true" customHeight="false" outlineLevel="0" collapsed="false">
      <c r="B163" s="25" t="s">
        <v>382</v>
      </c>
      <c r="C163" s="17" t="s">
        <v>37</v>
      </c>
      <c r="D163" s="17" t="s">
        <v>38</v>
      </c>
      <c r="E163" s="25" t="s">
        <v>308</v>
      </c>
      <c r="F163" s="14" t="s">
        <v>309</v>
      </c>
      <c r="G163" s="26" t="s">
        <v>41</v>
      </c>
      <c r="H163" s="26" t="s">
        <v>42</v>
      </c>
      <c r="I163" s="14" t="s">
        <v>43</v>
      </c>
      <c r="J163" s="14"/>
      <c r="K163" s="4" t="s">
        <v>383</v>
      </c>
      <c r="L163" s="19"/>
      <c r="M163" s="24" t="s">
        <v>311</v>
      </c>
      <c r="N163" s="17" t="s">
        <v>384</v>
      </c>
      <c r="O163" s="17" t="s">
        <v>385</v>
      </c>
      <c r="P163" s="25" t="s">
        <v>65</v>
      </c>
      <c r="Q163" s="25" t="s">
        <v>105</v>
      </c>
      <c r="R163" s="24" t="n">
        <v>2970</v>
      </c>
      <c r="S163" s="16" t="n">
        <v>5700</v>
      </c>
      <c r="T163" s="24" t="n">
        <v>0</v>
      </c>
      <c r="U163" s="1" t="str">
        <f aca="false">D163&amp;"-"&amp;E163&amp;"-"&amp;M163&amp;"-"&amp;O163&amp;"-"&amp;P163&amp;"-"&amp;Q163</f>
        <v>FREYA-SONIC-AC4892-Black -36-G</v>
      </c>
      <c r="W163" s="1" t="s">
        <v>113</v>
      </c>
    </row>
    <row r="164" customFormat="false" ht="15" hidden="true" customHeight="false" outlineLevel="0" collapsed="false">
      <c r="B164" s="25" t="s">
        <v>386</v>
      </c>
      <c r="C164" s="17" t="s">
        <v>37</v>
      </c>
      <c r="D164" s="17" t="s">
        <v>38</v>
      </c>
      <c r="E164" s="25" t="s">
        <v>308</v>
      </c>
      <c r="F164" s="14" t="s">
        <v>309</v>
      </c>
      <c r="G164" s="26" t="s">
        <v>41</v>
      </c>
      <c r="H164" s="26" t="s">
        <v>42</v>
      </c>
      <c r="I164" s="14" t="s">
        <v>43</v>
      </c>
      <c r="J164" s="14"/>
      <c r="K164" s="4" t="s">
        <v>387</v>
      </c>
      <c r="L164" s="19"/>
      <c r="M164" s="24" t="s">
        <v>311</v>
      </c>
      <c r="N164" s="17" t="s">
        <v>388</v>
      </c>
      <c r="O164" s="17" t="s">
        <v>385</v>
      </c>
      <c r="P164" s="17" t="s">
        <v>65</v>
      </c>
      <c r="Q164" s="25" t="s">
        <v>105</v>
      </c>
      <c r="R164" s="24" t="n">
        <v>2970</v>
      </c>
      <c r="S164" s="16" t="n">
        <v>5700</v>
      </c>
      <c r="T164" s="24" t="n">
        <v>1</v>
      </c>
      <c r="U164" s="1" t="str">
        <f aca="false">D164&amp;"-"&amp;E164&amp;"-"&amp;M164&amp;"-"&amp;O164&amp;"-"&amp;P164&amp;"-"&amp;Q164</f>
        <v>FREYA-SONIC-AC4892-Black -36-G</v>
      </c>
      <c r="W164" s="1" t="s">
        <v>113</v>
      </c>
    </row>
    <row r="165" customFormat="false" ht="15" hidden="true" customHeight="false" outlineLevel="0" collapsed="false">
      <c r="B165" s="24" t="s">
        <v>389</v>
      </c>
      <c r="C165" s="17" t="s">
        <v>37</v>
      </c>
      <c r="D165" s="17" t="s">
        <v>38</v>
      </c>
      <c r="E165" s="25" t="s">
        <v>308</v>
      </c>
      <c r="F165" s="14" t="s">
        <v>309</v>
      </c>
      <c r="G165" s="26" t="s">
        <v>41</v>
      </c>
      <c r="H165" s="26" t="s">
        <v>42</v>
      </c>
      <c r="I165" s="14" t="s">
        <v>43</v>
      </c>
      <c r="J165" s="14"/>
      <c r="K165" s="4" t="s">
        <v>390</v>
      </c>
      <c r="L165" s="19"/>
      <c r="M165" s="24" t="s">
        <v>311</v>
      </c>
      <c r="N165" s="17" t="s">
        <v>391</v>
      </c>
      <c r="O165" s="17" t="s">
        <v>392</v>
      </c>
      <c r="P165" s="17" t="s">
        <v>65</v>
      </c>
      <c r="Q165" s="25" t="s">
        <v>105</v>
      </c>
      <c r="R165" s="24" t="n">
        <v>1890</v>
      </c>
      <c r="S165" s="16" t="n">
        <v>5700</v>
      </c>
      <c r="T165" s="24" t="n">
        <v>0</v>
      </c>
      <c r="U165" s="1" t="str">
        <f aca="false">D165&amp;"-"&amp;E165&amp;"-"&amp;M165&amp;"-"&amp;O165&amp;"-"&amp;P165&amp;"-"&amp;Q165</f>
        <v>FREYA-SONIC-AC4892-Denim blue-36-G</v>
      </c>
      <c r="W165" s="1" t="s">
        <v>113</v>
      </c>
    </row>
    <row r="166" customFormat="false" ht="15" hidden="true" customHeight="false" outlineLevel="0" collapsed="false">
      <c r="B166" s="24" t="s">
        <v>393</v>
      </c>
      <c r="C166" s="17" t="s">
        <v>37</v>
      </c>
      <c r="D166" s="17" t="s">
        <v>38</v>
      </c>
      <c r="E166" s="25" t="s">
        <v>308</v>
      </c>
      <c r="F166" s="14" t="s">
        <v>309</v>
      </c>
      <c r="G166" s="26" t="s">
        <v>41</v>
      </c>
      <c r="H166" s="26" t="s">
        <v>42</v>
      </c>
      <c r="I166" s="14" t="s">
        <v>43</v>
      </c>
      <c r="J166" s="14"/>
      <c r="K166" s="4" t="s">
        <v>375</v>
      </c>
      <c r="L166" s="27"/>
      <c r="M166" s="24" t="s">
        <v>311</v>
      </c>
      <c r="N166" s="25" t="s">
        <v>344</v>
      </c>
      <c r="O166" s="25" t="s">
        <v>345</v>
      </c>
      <c r="P166" s="25" t="s">
        <v>65</v>
      </c>
      <c r="Q166" s="25" t="s">
        <v>66</v>
      </c>
      <c r="R166" s="24" t="n">
        <v>1890</v>
      </c>
      <c r="S166" s="16" t="n">
        <v>5700</v>
      </c>
      <c r="T166" s="24" t="n">
        <v>1</v>
      </c>
      <c r="U166" s="1" t="str">
        <f aca="false">D166&amp;"-"&amp;E166&amp;"-"&amp;M166&amp;"-"&amp;O166&amp;"-"&amp;P166&amp;"-"&amp;Q166</f>
        <v>FREYA-SONIC-AC4892-Ice Blue-36-E</v>
      </c>
      <c r="W166" s="1" t="s">
        <v>113</v>
      </c>
    </row>
    <row r="167" customFormat="false" ht="15" hidden="true" customHeight="false" outlineLevel="0" collapsed="false">
      <c r="B167" s="25" t="s">
        <v>394</v>
      </c>
      <c r="C167" s="17" t="s">
        <v>37</v>
      </c>
      <c r="D167" s="17" t="s">
        <v>38</v>
      </c>
      <c r="E167" s="25" t="s">
        <v>308</v>
      </c>
      <c r="F167" s="14" t="s">
        <v>309</v>
      </c>
      <c r="G167" s="26" t="s">
        <v>41</v>
      </c>
      <c r="H167" s="26" t="s">
        <v>42</v>
      </c>
      <c r="I167" s="14" t="s">
        <v>43</v>
      </c>
      <c r="J167" s="14"/>
      <c r="K167" s="4" t="s">
        <v>395</v>
      </c>
      <c r="L167" s="28"/>
      <c r="M167" s="24" t="s">
        <v>311</v>
      </c>
      <c r="N167" s="25" t="s">
        <v>330</v>
      </c>
      <c r="O167" s="24" t="s">
        <v>331</v>
      </c>
      <c r="P167" s="25" t="s">
        <v>154</v>
      </c>
      <c r="Q167" s="25" t="s">
        <v>97</v>
      </c>
      <c r="R167" s="24" t="n">
        <v>1890</v>
      </c>
      <c r="S167" s="16" t="n">
        <v>5700</v>
      </c>
      <c r="T167" s="24" t="n">
        <v>1</v>
      </c>
      <c r="U167" s="1" t="str">
        <f aca="false">D167&amp;"-"&amp;E167&amp;"-"&amp;M167&amp;"-"&amp;O167&amp;"-"&amp;P167&amp;"-"&amp;Q167</f>
        <v>FREYA-SONIC-AC4892-Lime Green-38-D</v>
      </c>
      <c r="W167" s="1" t="s">
        <v>113</v>
      </c>
    </row>
    <row r="168" customFormat="false" ht="15" hidden="true" customHeight="false" outlineLevel="0" collapsed="false">
      <c r="B168" s="25" t="s">
        <v>396</v>
      </c>
      <c r="C168" s="17" t="s">
        <v>37</v>
      </c>
      <c r="D168" s="17" t="s">
        <v>38</v>
      </c>
      <c r="E168" s="25" t="s">
        <v>308</v>
      </c>
      <c r="F168" s="14" t="s">
        <v>309</v>
      </c>
      <c r="G168" s="26" t="s">
        <v>41</v>
      </c>
      <c r="H168" s="26" t="s">
        <v>42</v>
      </c>
      <c r="I168" s="14" t="s">
        <v>43</v>
      </c>
      <c r="J168" s="14"/>
      <c r="K168" s="4" t="s">
        <v>397</v>
      </c>
      <c r="L168" s="27"/>
      <c r="M168" s="24" t="s">
        <v>311</v>
      </c>
      <c r="N168" s="25" t="s">
        <v>391</v>
      </c>
      <c r="O168" s="25" t="s">
        <v>398</v>
      </c>
      <c r="P168" s="25" t="s">
        <v>154</v>
      </c>
      <c r="Q168" s="25" t="s">
        <v>97</v>
      </c>
      <c r="R168" s="24" t="n">
        <v>1890</v>
      </c>
      <c r="S168" s="16" t="n">
        <v>5700</v>
      </c>
      <c r="T168" s="24" t="n">
        <v>1</v>
      </c>
      <c r="U168" s="1" t="str">
        <f aca="false">D168&amp;"-"&amp;E168&amp;"-"&amp;M168&amp;"-"&amp;O168&amp;"-"&amp;P168&amp;"-"&amp;Q168</f>
        <v>FREYA-SONIC-AC4892-Denim Blue-38-D</v>
      </c>
      <c r="W168" s="1" t="s">
        <v>113</v>
      </c>
    </row>
    <row r="169" customFormat="false" ht="15" hidden="true" customHeight="false" outlineLevel="0" collapsed="false">
      <c r="B169" s="25" t="s">
        <v>399</v>
      </c>
      <c r="C169" s="17" t="s">
        <v>37</v>
      </c>
      <c r="D169" s="17" t="s">
        <v>38</v>
      </c>
      <c r="E169" s="25" t="s">
        <v>308</v>
      </c>
      <c r="F169" s="14" t="s">
        <v>309</v>
      </c>
      <c r="G169" s="26" t="s">
        <v>41</v>
      </c>
      <c r="H169" s="26" t="s">
        <v>42</v>
      </c>
      <c r="I169" s="14" t="s">
        <v>43</v>
      </c>
      <c r="J169" s="14"/>
      <c r="K169" s="4" t="s">
        <v>400</v>
      </c>
      <c r="L169" s="19"/>
      <c r="M169" s="24" t="s">
        <v>311</v>
      </c>
      <c r="N169" s="17" t="s">
        <v>312</v>
      </c>
      <c r="O169" s="17" t="s">
        <v>104</v>
      </c>
      <c r="P169" s="25" t="s">
        <v>154</v>
      </c>
      <c r="Q169" s="25" t="s">
        <v>56</v>
      </c>
      <c r="R169" s="24" t="n">
        <v>1890</v>
      </c>
      <c r="S169" s="16" t="n">
        <v>5700</v>
      </c>
      <c r="T169" s="24" t="n">
        <v>1</v>
      </c>
      <c r="U169" s="1" t="str">
        <f aca="false">D169&amp;"-"&amp;E169&amp;"-"&amp;M169&amp;"-"&amp;O169&amp;"-"&amp;P169&amp;"-"&amp;Q169</f>
        <v>FREYA-SONIC-AC4892-Light Pink-38-DD</v>
      </c>
      <c r="W169" s="1" t="s">
        <v>113</v>
      </c>
    </row>
    <row r="170" customFormat="false" ht="15" hidden="true" customHeight="false" outlineLevel="0" collapsed="false">
      <c r="B170" s="25" t="s">
        <v>401</v>
      </c>
      <c r="C170" s="17" t="s">
        <v>37</v>
      </c>
      <c r="D170" s="17" t="s">
        <v>38</v>
      </c>
      <c r="E170" s="25" t="s">
        <v>308</v>
      </c>
      <c r="F170" s="14" t="s">
        <v>309</v>
      </c>
      <c r="G170" s="26" t="s">
        <v>41</v>
      </c>
      <c r="H170" s="26" t="s">
        <v>42</v>
      </c>
      <c r="I170" s="14" t="s">
        <v>43</v>
      </c>
      <c r="J170" s="14"/>
      <c r="K170" s="4" t="s">
        <v>402</v>
      </c>
      <c r="L170" s="19"/>
      <c r="M170" s="24" t="s">
        <v>311</v>
      </c>
      <c r="N170" s="17" t="s">
        <v>319</v>
      </c>
      <c r="O170" s="17" t="s">
        <v>320</v>
      </c>
      <c r="P170" s="17" t="s">
        <v>154</v>
      </c>
      <c r="Q170" s="25" t="s">
        <v>56</v>
      </c>
      <c r="R170" s="24" t="n">
        <v>1890</v>
      </c>
      <c r="S170" s="16" t="n">
        <v>5700</v>
      </c>
      <c r="T170" s="24" t="n">
        <v>1</v>
      </c>
      <c r="U170" s="1" t="str">
        <f aca="false">D170&amp;"-"&amp;E170&amp;"-"&amp;M170&amp;"-"&amp;O170&amp;"-"&amp;P170&amp;"-"&amp;Q170</f>
        <v>FREYA-SONIC-AC4892-Navy Blue-38-DD</v>
      </c>
      <c r="W170" s="1" t="s">
        <v>113</v>
      </c>
    </row>
    <row r="171" customFormat="false" ht="15" hidden="true" customHeight="false" outlineLevel="0" collapsed="false">
      <c r="B171" s="25" t="s">
        <v>403</v>
      </c>
      <c r="C171" s="17" t="s">
        <v>37</v>
      </c>
      <c r="D171" s="17" t="s">
        <v>38</v>
      </c>
      <c r="E171" s="25" t="s">
        <v>308</v>
      </c>
      <c r="F171" s="14" t="s">
        <v>309</v>
      </c>
      <c r="G171" s="26" t="s">
        <v>41</v>
      </c>
      <c r="H171" s="26" t="s">
        <v>42</v>
      </c>
      <c r="I171" s="14" t="s">
        <v>43</v>
      </c>
      <c r="J171" s="14"/>
      <c r="K171" s="4" t="s">
        <v>404</v>
      </c>
      <c r="L171" s="19"/>
      <c r="M171" s="24" t="s">
        <v>311</v>
      </c>
      <c r="N171" s="17" t="s">
        <v>312</v>
      </c>
      <c r="O171" s="17" t="s">
        <v>104</v>
      </c>
      <c r="P171" s="25" t="s">
        <v>154</v>
      </c>
      <c r="Q171" s="25" t="s">
        <v>66</v>
      </c>
      <c r="R171" s="24" t="n">
        <v>1890</v>
      </c>
      <c r="S171" s="16" t="n">
        <v>5700</v>
      </c>
      <c r="T171" s="24" t="n">
        <v>0</v>
      </c>
      <c r="U171" s="1" t="str">
        <f aca="false">D171&amp;"-"&amp;E171&amp;"-"&amp;M171&amp;"-"&amp;O171&amp;"-"&amp;P171&amp;"-"&amp;Q171</f>
        <v>FREYA-SONIC-AC4892-Light Pink-38-E</v>
      </c>
      <c r="W171" s="1" t="s">
        <v>113</v>
      </c>
    </row>
    <row r="172" customFormat="false" ht="15" hidden="true" customHeight="false" outlineLevel="0" collapsed="false">
      <c r="B172" s="25" t="s">
        <v>405</v>
      </c>
      <c r="C172" s="17" t="s">
        <v>37</v>
      </c>
      <c r="D172" s="17" t="s">
        <v>38</v>
      </c>
      <c r="E172" s="25" t="s">
        <v>308</v>
      </c>
      <c r="F172" s="14" t="s">
        <v>309</v>
      </c>
      <c r="G172" s="26" t="s">
        <v>41</v>
      </c>
      <c r="H172" s="26" t="s">
        <v>42</v>
      </c>
      <c r="I172" s="14" t="s">
        <v>43</v>
      </c>
      <c r="J172" s="14"/>
      <c r="K172" s="4" t="s">
        <v>406</v>
      </c>
      <c r="L172" s="19"/>
      <c r="M172" s="24" t="s">
        <v>311</v>
      </c>
      <c r="N172" s="17" t="s">
        <v>315</v>
      </c>
      <c r="O172" s="17" t="s">
        <v>316</v>
      </c>
      <c r="P172" s="17" t="s">
        <v>154</v>
      </c>
      <c r="Q172" s="25" t="s">
        <v>62</v>
      </c>
      <c r="R172" s="24" t="n">
        <v>1890</v>
      </c>
      <c r="S172" s="16" t="n">
        <v>5700</v>
      </c>
      <c r="T172" s="24" t="n">
        <v>1</v>
      </c>
      <c r="U172" s="1" t="str">
        <f aca="false">D172&amp;"-"&amp;E172&amp;"-"&amp;M172&amp;"-"&amp;O172&amp;"-"&amp;P172&amp;"-"&amp;Q172</f>
        <v>FREYA-SONIC-AC4892-Khaki Green-38-FF</v>
      </c>
      <c r="W172" s="1" t="s">
        <v>113</v>
      </c>
    </row>
    <row r="173" customFormat="false" ht="15" hidden="true" customHeight="false" outlineLevel="0" collapsed="false">
      <c r="B173" s="25" t="s">
        <v>407</v>
      </c>
      <c r="C173" s="17" t="s">
        <v>37</v>
      </c>
      <c r="D173" s="17" t="s">
        <v>38</v>
      </c>
      <c r="E173" s="25" t="s">
        <v>308</v>
      </c>
      <c r="F173" s="14" t="s">
        <v>309</v>
      </c>
      <c r="G173" s="26" t="s">
        <v>41</v>
      </c>
      <c r="H173" s="26" t="s">
        <v>42</v>
      </c>
      <c r="I173" s="14" t="s">
        <v>43</v>
      </c>
      <c r="J173" s="14"/>
      <c r="K173" s="4" t="s">
        <v>408</v>
      </c>
      <c r="L173" s="19"/>
      <c r="M173" s="24" t="s">
        <v>311</v>
      </c>
      <c r="N173" s="17" t="s">
        <v>319</v>
      </c>
      <c r="O173" s="17" t="s">
        <v>320</v>
      </c>
      <c r="P173" s="17" t="s">
        <v>154</v>
      </c>
      <c r="Q173" s="25" t="s">
        <v>105</v>
      </c>
      <c r="R173" s="24" t="n">
        <v>1890</v>
      </c>
      <c r="S173" s="16" t="n">
        <v>5700</v>
      </c>
      <c r="T173" s="24" t="n">
        <v>1</v>
      </c>
      <c r="U173" s="1" t="str">
        <f aca="false">D173&amp;"-"&amp;E173&amp;"-"&amp;M173&amp;"-"&amp;O173&amp;"-"&amp;P173&amp;"-"&amp;Q173</f>
        <v>FREYA-SONIC-AC4892-Navy Blue-38-G</v>
      </c>
      <c r="W173" s="1" t="s">
        <v>113</v>
      </c>
    </row>
    <row r="174" customFormat="false" ht="15" hidden="true" customHeight="false" outlineLevel="0" collapsed="false">
      <c r="B174" s="25" t="s">
        <v>409</v>
      </c>
      <c r="C174" s="17" t="s">
        <v>37</v>
      </c>
      <c r="D174" s="17" t="s">
        <v>38</v>
      </c>
      <c r="E174" s="25" t="s">
        <v>308</v>
      </c>
      <c r="F174" s="14" t="s">
        <v>309</v>
      </c>
      <c r="G174" s="26" t="s">
        <v>41</v>
      </c>
      <c r="H174" s="26" t="s">
        <v>42</v>
      </c>
      <c r="I174" s="14" t="s">
        <v>43</v>
      </c>
      <c r="J174" s="14"/>
      <c r="K174" s="4" t="s">
        <v>410</v>
      </c>
      <c r="L174" s="19"/>
      <c r="M174" s="24" t="s">
        <v>311</v>
      </c>
      <c r="N174" s="25" t="s">
        <v>315</v>
      </c>
      <c r="O174" s="17" t="s">
        <v>316</v>
      </c>
      <c r="P174" s="17" t="s">
        <v>154</v>
      </c>
      <c r="Q174" s="25" t="s">
        <v>105</v>
      </c>
      <c r="R174" s="24" t="n">
        <v>1890</v>
      </c>
      <c r="S174" s="16" t="n">
        <v>5700</v>
      </c>
      <c r="T174" s="24" t="n">
        <v>1</v>
      </c>
      <c r="U174" s="1" t="str">
        <f aca="false">D174&amp;"-"&amp;E174&amp;"-"&amp;M174&amp;"-"&amp;O174&amp;"-"&amp;P174&amp;"-"&amp;Q174</f>
        <v>FREYA-SONIC-AC4892-Khaki Green-38-G</v>
      </c>
      <c r="W174" s="1" t="s">
        <v>113</v>
      </c>
    </row>
    <row r="175" customFormat="false" ht="15" hidden="true" customHeight="false" outlineLevel="0" collapsed="false">
      <c r="B175" s="25" t="s">
        <v>411</v>
      </c>
      <c r="C175" s="17" t="s">
        <v>37</v>
      </c>
      <c r="D175" s="17" t="s">
        <v>38</v>
      </c>
      <c r="E175" s="25" t="s">
        <v>308</v>
      </c>
      <c r="F175" s="14" t="s">
        <v>309</v>
      </c>
      <c r="G175" s="26" t="s">
        <v>41</v>
      </c>
      <c r="H175" s="26" t="s">
        <v>42</v>
      </c>
      <c r="I175" s="14" t="s">
        <v>43</v>
      </c>
      <c r="J175" s="14"/>
      <c r="K175" s="4" t="s">
        <v>412</v>
      </c>
      <c r="L175" s="19"/>
      <c r="M175" s="24" t="s">
        <v>311</v>
      </c>
      <c r="N175" s="17" t="s">
        <v>319</v>
      </c>
      <c r="O175" s="17" t="s">
        <v>320</v>
      </c>
      <c r="P175" s="17" t="s">
        <v>154</v>
      </c>
      <c r="Q175" s="25" t="s">
        <v>129</v>
      </c>
      <c r="R175" s="24" t="n">
        <v>1890</v>
      </c>
      <c r="S175" s="16" t="n">
        <v>5700</v>
      </c>
      <c r="T175" s="24" t="n">
        <v>1</v>
      </c>
      <c r="U175" s="1" t="str">
        <f aca="false">D175&amp;"-"&amp;E175&amp;"-"&amp;M175&amp;"-"&amp;O175&amp;"-"&amp;P175&amp;"-"&amp;Q175</f>
        <v>FREYA-SONIC-AC4892-Navy Blue-38-GG</v>
      </c>
      <c r="W175" s="1" t="s">
        <v>113</v>
      </c>
    </row>
    <row r="176" customFormat="false" ht="15" hidden="true" customHeight="false" outlineLevel="0" collapsed="false">
      <c r="B176" s="25" t="s">
        <v>413</v>
      </c>
      <c r="C176" s="17" t="s">
        <v>37</v>
      </c>
      <c r="D176" s="17" t="s">
        <v>38</v>
      </c>
      <c r="E176" s="25" t="s">
        <v>308</v>
      </c>
      <c r="F176" s="14" t="s">
        <v>309</v>
      </c>
      <c r="G176" s="26" t="s">
        <v>41</v>
      </c>
      <c r="H176" s="26" t="s">
        <v>42</v>
      </c>
      <c r="I176" s="14" t="s">
        <v>43</v>
      </c>
      <c r="J176" s="14"/>
      <c r="K176" s="4" t="s">
        <v>414</v>
      </c>
      <c r="L176" s="19"/>
      <c r="M176" s="24" t="s">
        <v>311</v>
      </c>
      <c r="N176" s="17" t="s">
        <v>327</v>
      </c>
      <c r="O176" s="17" t="s">
        <v>320</v>
      </c>
      <c r="P176" s="17" t="s">
        <v>154</v>
      </c>
      <c r="Q176" s="25" t="s">
        <v>129</v>
      </c>
      <c r="R176" s="24" t="n">
        <v>1890</v>
      </c>
      <c r="S176" s="16" t="n">
        <v>5700</v>
      </c>
      <c r="T176" s="24" t="n">
        <v>2</v>
      </c>
      <c r="U176" s="1" t="str">
        <f aca="false">D176&amp;"-"&amp;E176&amp;"-"&amp;M176&amp;"-"&amp;O176&amp;"-"&amp;P176&amp;"-"&amp;Q176</f>
        <v>FREYA-SONIC-AC4892-Navy Blue-38-GG</v>
      </c>
      <c r="W176" s="1" t="s">
        <v>113</v>
      </c>
    </row>
    <row r="177" customFormat="false" ht="15" hidden="true" customHeight="false" outlineLevel="0" collapsed="false">
      <c r="B177" s="25" t="s">
        <v>415</v>
      </c>
      <c r="C177" s="17" t="s">
        <v>37</v>
      </c>
      <c r="D177" s="17" t="s">
        <v>38</v>
      </c>
      <c r="E177" s="25" t="s">
        <v>308</v>
      </c>
      <c r="F177" s="14" t="s">
        <v>309</v>
      </c>
      <c r="G177" s="26" t="s">
        <v>41</v>
      </c>
      <c r="H177" s="26" t="s">
        <v>42</v>
      </c>
      <c r="I177" s="14" t="s">
        <v>43</v>
      </c>
      <c r="J177" s="14"/>
      <c r="K177" s="4" t="s">
        <v>416</v>
      </c>
      <c r="L177" s="19"/>
      <c r="M177" s="24" t="s">
        <v>311</v>
      </c>
      <c r="N177" s="25" t="s">
        <v>315</v>
      </c>
      <c r="O177" s="17" t="s">
        <v>316</v>
      </c>
      <c r="P177" s="17" t="s">
        <v>417</v>
      </c>
      <c r="Q177" s="17" t="s">
        <v>56</v>
      </c>
      <c r="R177" s="24" t="n">
        <v>1890</v>
      </c>
      <c r="S177" s="16" t="n">
        <v>5700</v>
      </c>
      <c r="T177" s="24" t="n">
        <v>1</v>
      </c>
      <c r="U177" s="1" t="str">
        <f aca="false">D177&amp;"-"&amp;E177&amp;"-"&amp;M177&amp;"-"&amp;O177&amp;"-"&amp;P177&amp;"-"&amp;Q177</f>
        <v>FREYA-SONIC-AC4892-Khaki Green-40-DD</v>
      </c>
      <c r="W177" s="1" t="s">
        <v>113</v>
      </c>
    </row>
    <row r="178" customFormat="false" ht="15" hidden="true" customHeight="false" outlineLevel="0" collapsed="false">
      <c r="B178" s="25" t="s">
        <v>418</v>
      </c>
      <c r="C178" s="17" t="s">
        <v>37</v>
      </c>
      <c r="D178" s="17" t="s">
        <v>38</v>
      </c>
      <c r="E178" s="25" t="s">
        <v>308</v>
      </c>
      <c r="F178" s="14" t="s">
        <v>309</v>
      </c>
      <c r="G178" s="26" t="s">
        <v>41</v>
      </c>
      <c r="H178" s="26" t="s">
        <v>42</v>
      </c>
      <c r="I178" s="14" t="s">
        <v>43</v>
      </c>
      <c r="J178" s="14"/>
      <c r="K178" s="4" t="s">
        <v>419</v>
      </c>
      <c r="L178" s="19"/>
      <c r="M178" s="24" t="s">
        <v>311</v>
      </c>
      <c r="N178" s="17" t="s">
        <v>330</v>
      </c>
      <c r="O178" s="17" t="s">
        <v>331</v>
      </c>
      <c r="P178" s="17" t="s">
        <v>417</v>
      </c>
      <c r="Q178" s="25" t="s">
        <v>66</v>
      </c>
      <c r="R178" s="24" t="n">
        <v>1890</v>
      </c>
      <c r="S178" s="16" t="n">
        <v>5700</v>
      </c>
      <c r="T178" s="24" t="n">
        <v>3</v>
      </c>
      <c r="U178" s="1" t="str">
        <f aca="false">D178&amp;"-"&amp;E178&amp;"-"&amp;M178&amp;"-"&amp;O178&amp;"-"&amp;P178&amp;"-"&amp;Q178</f>
        <v>FREYA-SONIC-AC4892-Lime Green-40-E</v>
      </c>
      <c r="W178" s="1" t="s">
        <v>113</v>
      </c>
    </row>
    <row r="179" customFormat="false" ht="15" hidden="true" customHeight="false" outlineLevel="0" collapsed="false">
      <c r="B179" s="25" t="s">
        <v>420</v>
      </c>
      <c r="C179" s="17" t="s">
        <v>37</v>
      </c>
      <c r="D179" s="17" t="s">
        <v>38</v>
      </c>
      <c r="E179" s="25" t="s">
        <v>308</v>
      </c>
      <c r="F179" s="14" t="s">
        <v>309</v>
      </c>
      <c r="G179" s="26" t="s">
        <v>41</v>
      </c>
      <c r="H179" s="26" t="s">
        <v>42</v>
      </c>
      <c r="I179" s="14" t="s">
        <v>43</v>
      </c>
      <c r="J179" s="14"/>
      <c r="K179" s="4" t="s">
        <v>421</v>
      </c>
      <c r="L179" s="19"/>
      <c r="M179" s="24" t="s">
        <v>311</v>
      </c>
      <c r="N179" s="25" t="s">
        <v>315</v>
      </c>
      <c r="O179" s="17" t="s">
        <v>316</v>
      </c>
      <c r="P179" s="17" t="s">
        <v>417</v>
      </c>
      <c r="Q179" s="25" t="s">
        <v>66</v>
      </c>
      <c r="R179" s="24" t="n">
        <v>1890</v>
      </c>
      <c r="S179" s="16" t="n">
        <v>5700</v>
      </c>
      <c r="T179" s="24" t="n">
        <v>1</v>
      </c>
      <c r="U179" s="1" t="str">
        <f aca="false">D179&amp;"-"&amp;E179&amp;"-"&amp;M179&amp;"-"&amp;O179&amp;"-"&amp;P179&amp;"-"&amp;Q179</f>
        <v>FREYA-SONIC-AC4892-Khaki Green-40-E</v>
      </c>
      <c r="W179" s="1" t="s">
        <v>113</v>
      </c>
    </row>
    <row r="180" customFormat="false" ht="15" hidden="true" customHeight="false" outlineLevel="0" collapsed="false">
      <c r="B180" s="25" t="s">
        <v>422</v>
      </c>
      <c r="C180" s="17" t="s">
        <v>37</v>
      </c>
      <c r="D180" s="17" t="s">
        <v>38</v>
      </c>
      <c r="E180" s="25" t="s">
        <v>308</v>
      </c>
      <c r="F180" s="14" t="s">
        <v>309</v>
      </c>
      <c r="G180" s="26" t="s">
        <v>41</v>
      </c>
      <c r="H180" s="26" t="s">
        <v>42</v>
      </c>
      <c r="I180" s="14" t="s">
        <v>43</v>
      </c>
      <c r="J180" s="14"/>
      <c r="K180" s="4" t="s">
        <v>423</v>
      </c>
      <c r="L180" s="27"/>
      <c r="M180" s="24" t="s">
        <v>311</v>
      </c>
      <c r="N180" s="25" t="s">
        <v>424</v>
      </c>
      <c r="O180" s="25" t="s">
        <v>425</v>
      </c>
      <c r="P180" s="25" t="s">
        <v>417</v>
      </c>
      <c r="Q180" s="25" t="s">
        <v>50</v>
      </c>
      <c r="R180" s="24" t="n">
        <v>2880</v>
      </c>
      <c r="S180" s="16" t="n">
        <v>5700</v>
      </c>
      <c r="T180" s="24" t="n">
        <v>1</v>
      </c>
      <c r="U180" s="1" t="str">
        <f aca="false">D180&amp;"-"&amp;E180&amp;"-"&amp;M180&amp;"-"&amp;O180&amp;"-"&amp;P180&amp;"-"&amp;Q180</f>
        <v>FREYA-SONIC-AC4892-DARK PINK-40-F</v>
      </c>
      <c r="W180" s="1" t="s">
        <v>113</v>
      </c>
    </row>
    <row r="181" customFormat="false" ht="15" hidden="true" customHeight="false" outlineLevel="0" collapsed="false">
      <c r="B181" s="25" t="s">
        <v>426</v>
      </c>
      <c r="C181" s="17" t="s">
        <v>37</v>
      </c>
      <c r="D181" s="17" t="s">
        <v>38</v>
      </c>
      <c r="E181" s="25" t="s">
        <v>308</v>
      </c>
      <c r="F181" s="14" t="s">
        <v>309</v>
      </c>
      <c r="G181" s="26" t="s">
        <v>41</v>
      </c>
      <c r="H181" s="26" t="s">
        <v>42</v>
      </c>
      <c r="I181" s="14" t="s">
        <v>43</v>
      </c>
      <c r="J181" s="14"/>
      <c r="K181" s="4" t="s">
        <v>427</v>
      </c>
      <c r="L181" s="19"/>
      <c r="M181" s="24" t="s">
        <v>311</v>
      </c>
      <c r="N181" s="25" t="s">
        <v>315</v>
      </c>
      <c r="O181" s="17" t="s">
        <v>316</v>
      </c>
      <c r="P181" s="25" t="s">
        <v>417</v>
      </c>
      <c r="Q181" s="25" t="s">
        <v>50</v>
      </c>
      <c r="R181" s="24" t="n">
        <v>1890</v>
      </c>
      <c r="S181" s="16" t="n">
        <v>5700</v>
      </c>
      <c r="T181" s="24" t="n">
        <v>2</v>
      </c>
      <c r="U181" s="1" t="str">
        <f aca="false">D181&amp;"-"&amp;E181&amp;"-"&amp;M181&amp;"-"&amp;O181&amp;"-"&amp;P181&amp;"-"&amp;Q181</f>
        <v>FREYA-SONIC-AC4892-Khaki Green-40-F</v>
      </c>
      <c r="W181" s="1" t="s">
        <v>113</v>
      </c>
    </row>
    <row r="182" customFormat="false" ht="15" hidden="true" customHeight="false" outlineLevel="0" collapsed="false">
      <c r="B182" s="25" t="s">
        <v>428</v>
      </c>
      <c r="C182" s="17" t="s">
        <v>37</v>
      </c>
      <c r="D182" s="17" t="s">
        <v>38</v>
      </c>
      <c r="E182" s="25" t="s">
        <v>308</v>
      </c>
      <c r="F182" s="14" t="s">
        <v>309</v>
      </c>
      <c r="G182" s="26" t="s">
        <v>41</v>
      </c>
      <c r="H182" s="26" t="s">
        <v>42</v>
      </c>
      <c r="I182" s="14" t="s">
        <v>43</v>
      </c>
      <c r="J182" s="14"/>
      <c r="K182" s="4" t="s">
        <v>429</v>
      </c>
      <c r="L182" s="19"/>
      <c r="M182" s="24" t="s">
        <v>311</v>
      </c>
      <c r="N182" s="17" t="s">
        <v>319</v>
      </c>
      <c r="O182" s="17" t="s">
        <v>320</v>
      </c>
      <c r="P182" s="17" t="s">
        <v>417</v>
      </c>
      <c r="Q182" s="25" t="s">
        <v>56</v>
      </c>
      <c r="R182" s="24" t="n">
        <v>1890</v>
      </c>
      <c r="S182" s="16" t="n">
        <v>5700</v>
      </c>
      <c r="T182" s="24" t="n">
        <v>1</v>
      </c>
      <c r="U182" s="1" t="str">
        <f aca="false">D182&amp;"-"&amp;E182&amp;"-"&amp;M182&amp;"-"&amp;O182&amp;"-"&amp;P182&amp;"-"&amp;Q182</f>
        <v>FREYA-SONIC-AC4892-Navy Blue-40-DD</v>
      </c>
      <c r="W182" s="1" t="s">
        <v>113</v>
      </c>
    </row>
    <row r="183" customFormat="false" ht="15" hidden="false" customHeight="false" outlineLevel="0" collapsed="false">
      <c r="B183" s="29" t="s">
        <v>430</v>
      </c>
      <c r="C183" s="17" t="s">
        <v>37</v>
      </c>
      <c r="D183" s="29" t="s">
        <v>431</v>
      </c>
      <c r="E183" s="29" t="s">
        <v>432</v>
      </c>
      <c r="F183" s="14" t="s">
        <v>433</v>
      </c>
      <c r="G183" s="3" t="s">
        <v>41</v>
      </c>
      <c r="H183" s="14" t="s">
        <v>434</v>
      </c>
      <c r="I183" s="14" t="s">
        <v>43</v>
      </c>
      <c r="J183" s="14"/>
      <c r="K183" s="4" t="s">
        <v>435</v>
      </c>
      <c r="M183" s="29" t="s">
        <v>436</v>
      </c>
      <c r="N183" s="29" t="s">
        <v>76</v>
      </c>
      <c r="O183" s="17" t="s">
        <v>437</v>
      </c>
      <c r="P183" s="29" t="s">
        <v>417</v>
      </c>
      <c r="Q183" s="29" t="s">
        <v>66</v>
      </c>
      <c r="R183" s="1" t="n">
        <v>2520.8</v>
      </c>
      <c r="S183" s="1" t="n">
        <v>5700</v>
      </c>
      <c r="T183" s="30" t="n">
        <v>1</v>
      </c>
      <c r="U183" s="1" t="str">
        <f aca="false">D183&amp;"-"&amp;E183&amp;"-"&amp;M183&amp;"-"&amp;O183&amp;"-"&amp;P183&amp;"-"&amp;Q183</f>
        <v>GODDESS-YVETTE-GD6750-Black-40-E</v>
      </c>
      <c r="W183" s="1" t="s">
        <v>113</v>
      </c>
    </row>
    <row r="184" customFormat="false" ht="15" hidden="false" customHeight="false" outlineLevel="0" collapsed="false">
      <c r="B184" s="17" t="s">
        <v>438</v>
      </c>
      <c r="C184" s="17" t="s">
        <v>37</v>
      </c>
      <c r="D184" s="17" t="s">
        <v>431</v>
      </c>
      <c r="E184" s="29" t="s">
        <v>432</v>
      </c>
      <c r="F184" s="14" t="s">
        <v>433</v>
      </c>
      <c r="G184" s="3" t="s">
        <v>41</v>
      </c>
      <c r="H184" s="14" t="s">
        <v>434</v>
      </c>
      <c r="I184" s="14" t="s">
        <v>43</v>
      </c>
      <c r="J184" s="14"/>
      <c r="K184" s="4" t="s">
        <v>439</v>
      </c>
      <c r="M184" s="29" t="s">
        <v>436</v>
      </c>
      <c r="N184" s="29" t="s">
        <v>76</v>
      </c>
      <c r="O184" s="17" t="s">
        <v>437</v>
      </c>
      <c r="P184" s="17" t="s">
        <v>440</v>
      </c>
      <c r="Q184" s="17" t="s">
        <v>66</v>
      </c>
      <c r="R184" s="1" t="n">
        <v>2520</v>
      </c>
      <c r="S184" s="1" t="n">
        <v>5700</v>
      </c>
      <c r="T184" s="30" t="n">
        <v>1</v>
      </c>
      <c r="U184" s="1" t="str">
        <f aca="false">D184&amp;"-"&amp;E184&amp;"-"&amp;M184&amp;"-"&amp;O184&amp;"-"&amp;P184&amp;"-"&amp;Q184</f>
        <v>GODDESS-YVETTE-GD6750-Black-42-E</v>
      </c>
      <c r="W184" s="1" t="s">
        <v>113</v>
      </c>
    </row>
    <row r="185" customFormat="false" ht="15" hidden="false" customHeight="false" outlineLevel="0" collapsed="false">
      <c r="B185" s="29" t="s">
        <v>441</v>
      </c>
      <c r="C185" s="17" t="s">
        <v>37</v>
      </c>
      <c r="D185" s="29" t="s">
        <v>431</v>
      </c>
      <c r="E185" s="29" t="s">
        <v>432</v>
      </c>
      <c r="F185" s="14" t="s">
        <v>433</v>
      </c>
      <c r="G185" s="3" t="s">
        <v>41</v>
      </c>
      <c r="H185" s="14" t="s">
        <v>434</v>
      </c>
      <c r="I185" s="14" t="s">
        <v>43</v>
      </c>
      <c r="J185" s="14"/>
      <c r="K185" s="4" t="s">
        <v>442</v>
      </c>
      <c r="M185" s="29" t="s">
        <v>436</v>
      </c>
      <c r="N185" s="29" t="s">
        <v>76</v>
      </c>
      <c r="O185" s="17" t="s">
        <v>437</v>
      </c>
      <c r="P185" s="29" t="s">
        <v>154</v>
      </c>
      <c r="Q185" s="29" t="s">
        <v>50</v>
      </c>
      <c r="R185" s="1" t="n">
        <v>2520</v>
      </c>
      <c r="S185" s="1" t="n">
        <v>5700</v>
      </c>
      <c r="T185" s="30" t="n">
        <v>1</v>
      </c>
      <c r="U185" s="1" t="str">
        <f aca="false">D185&amp;"-"&amp;E185&amp;"-"&amp;M185&amp;"-"&amp;O185&amp;"-"&amp;P185&amp;"-"&amp;Q185</f>
        <v>GODDESS-YVETTE-GD6750-Black-38-F</v>
      </c>
      <c r="W185" s="1" t="s">
        <v>113</v>
      </c>
    </row>
    <row r="186" customFormat="false" ht="15" hidden="false" customHeight="false" outlineLevel="0" collapsed="false">
      <c r="B186" s="17" t="s">
        <v>443</v>
      </c>
      <c r="C186" s="17" t="s">
        <v>37</v>
      </c>
      <c r="D186" s="17" t="s">
        <v>431</v>
      </c>
      <c r="E186" s="29" t="s">
        <v>432</v>
      </c>
      <c r="F186" s="14" t="s">
        <v>433</v>
      </c>
      <c r="G186" s="3" t="s">
        <v>41</v>
      </c>
      <c r="H186" s="14" t="s">
        <v>434</v>
      </c>
      <c r="I186" s="14" t="s">
        <v>43</v>
      </c>
      <c r="J186" s="14"/>
      <c r="K186" s="4" t="s">
        <v>444</v>
      </c>
      <c r="M186" s="29" t="s">
        <v>436</v>
      </c>
      <c r="N186" s="29" t="s">
        <v>76</v>
      </c>
      <c r="O186" s="17" t="s">
        <v>437</v>
      </c>
      <c r="P186" s="17" t="s">
        <v>417</v>
      </c>
      <c r="Q186" s="17" t="s">
        <v>50</v>
      </c>
      <c r="R186" s="1" t="n">
        <v>2520</v>
      </c>
      <c r="S186" s="1" t="n">
        <v>5700</v>
      </c>
      <c r="T186" s="30" t="n">
        <v>1</v>
      </c>
      <c r="U186" s="1" t="str">
        <f aca="false">D186&amp;"-"&amp;E186&amp;"-"&amp;M186&amp;"-"&amp;O186&amp;"-"&amp;P186&amp;"-"&amp;Q186</f>
        <v>GODDESS-YVETTE-GD6750-Black-40-F</v>
      </c>
      <c r="W186" s="1" t="s">
        <v>113</v>
      </c>
    </row>
    <row r="187" customFormat="false" ht="15" hidden="false" customHeight="false" outlineLevel="0" collapsed="false">
      <c r="B187" s="17" t="s">
        <v>445</v>
      </c>
      <c r="C187" s="17" t="s">
        <v>37</v>
      </c>
      <c r="D187" s="17" t="s">
        <v>431</v>
      </c>
      <c r="E187" s="29" t="s">
        <v>432</v>
      </c>
      <c r="F187" s="14" t="s">
        <v>433</v>
      </c>
      <c r="G187" s="3" t="s">
        <v>41</v>
      </c>
      <c r="H187" s="14" t="s">
        <v>434</v>
      </c>
      <c r="I187" s="14" t="s">
        <v>43</v>
      </c>
      <c r="J187" s="14"/>
      <c r="K187" s="4" t="s">
        <v>446</v>
      </c>
      <c r="M187" s="29" t="s">
        <v>436</v>
      </c>
      <c r="N187" s="29" t="s">
        <v>76</v>
      </c>
      <c r="O187" s="17" t="s">
        <v>437</v>
      </c>
      <c r="P187" s="17" t="s">
        <v>440</v>
      </c>
      <c r="Q187" s="17" t="s">
        <v>50</v>
      </c>
      <c r="R187" s="1" t="n">
        <v>2520.8</v>
      </c>
      <c r="S187" s="1" t="n">
        <v>5700</v>
      </c>
      <c r="T187" s="30" t="n">
        <v>2</v>
      </c>
      <c r="U187" s="1" t="str">
        <f aca="false">D187&amp;"-"&amp;E187&amp;"-"&amp;M187&amp;"-"&amp;O187&amp;"-"&amp;P187&amp;"-"&amp;Q187</f>
        <v>GODDESS-YVETTE-GD6750-Black-42-F</v>
      </c>
      <c r="W187" s="1" t="s">
        <v>113</v>
      </c>
    </row>
    <row r="188" customFormat="false" ht="15" hidden="false" customHeight="false" outlineLevel="0" collapsed="false">
      <c r="B188" s="29" t="s">
        <v>447</v>
      </c>
      <c r="C188" s="17" t="s">
        <v>37</v>
      </c>
      <c r="D188" s="29" t="s">
        <v>431</v>
      </c>
      <c r="E188" s="29" t="s">
        <v>432</v>
      </c>
      <c r="F188" s="14" t="s">
        <v>433</v>
      </c>
      <c r="G188" s="3" t="s">
        <v>41</v>
      </c>
      <c r="H188" s="14" t="s">
        <v>434</v>
      </c>
      <c r="I188" s="14" t="s">
        <v>43</v>
      </c>
      <c r="J188" s="14"/>
      <c r="K188" s="4" t="s">
        <v>448</v>
      </c>
      <c r="M188" s="29" t="s">
        <v>436</v>
      </c>
      <c r="N188" s="29" t="s">
        <v>76</v>
      </c>
      <c r="O188" s="17" t="s">
        <v>437</v>
      </c>
      <c r="P188" s="29" t="s">
        <v>449</v>
      </c>
      <c r="Q188" s="29" t="s">
        <v>50</v>
      </c>
      <c r="R188" s="1" t="n">
        <v>2520</v>
      </c>
      <c r="S188" s="1" t="n">
        <v>5700</v>
      </c>
      <c r="T188" s="23" t="n">
        <v>0</v>
      </c>
      <c r="U188" s="1" t="str">
        <f aca="false">D188&amp;"-"&amp;E188&amp;"-"&amp;M188&amp;"-"&amp;O188&amp;"-"&amp;P188&amp;"-"&amp;Q188</f>
        <v>GODDESS-YVETTE-GD6750-Black-44-F</v>
      </c>
      <c r="W188" s="1" t="s">
        <v>113</v>
      </c>
    </row>
    <row r="189" customFormat="false" ht="15" hidden="false" customHeight="false" outlineLevel="0" collapsed="false">
      <c r="B189" s="29" t="s">
        <v>450</v>
      </c>
      <c r="C189" s="17" t="s">
        <v>37</v>
      </c>
      <c r="D189" s="29" t="s">
        <v>431</v>
      </c>
      <c r="E189" s="29" t="s">
        <v>432</v>
      </c>
      <c r="F189" s="14" t="s">
        <v>433</v>
      </c>
      <c r="G189" s="3" t="s">
        <v>41</v>
      </c>
      <c r="H189" s="14" t="s">
        <v>434</v>
      </c>
      <c r="I189" s="14" t="s">
        <v>43</v>
      </c>
      <c r="J189" s="14"/>
      <c r="K189" s="4" t="s">
        <v>451</v>
      </c>
      <c r="M189" s="29" t="s">
        <v>436</v>
      </c>
      <c r="N189" s="29" t="s">
        <v>76</v>
      </c>
      <c r="O189" s="17" t="s">
        <v>437</v>
      </c>
      <c r="P189" s="29" t="s">
        <v>65</v>
      </c>
      <c r="Q189" s="29" t="s">
        <v>62</v>
      </c>
      <c r="R189" s="1" t="n">
        <v>2520.8</v>
      </c>
      <c r="S189" s="1" t="n">
        <v>5700</v>
      </c>
      <c r="T189" s="23" t="n">
        <v>1</v>
      </c>
      <c r="U189" s="1" t="str">
        <f aca="false">D189&amp;"-"&amp;E189&amp;"-"&amp;M189&amp;"-"&amp;O189&amp;"-"&amp;P189&amp;"-"&amp;Q189</f>
        <v>GODDESS-YVETTE-GD6750-Black-36-FF</v>
      </c>
      <c r="W189" s="1" t="s">
        <v>113</v>
      </c>
    </row>
    <row r="190" customFormat="false" ht="15" hidden="false" customHeight="false" outlineLevel="0" collapsed="false">
      <c r="B190" s="17" t="s">
        <v>452</v>
      </c>
      <c r="C190" s="17" t="s">
        <v>37</v>
      </c>
      <c r="D190" s="17" t="s">
        <v>431</v>
      </c>
      <c r="E190" s="29" t="s">
        <v>432</v>
      </c>
      <c r="F190" s="14" t="s">
        <v>433</v>
      </c>
      <c r="G190" s="3" t="s">
        <v>41</v>
      </c>
      <c r="H190" s="14" t="s">
        <v>434</v>
      </c>
      <c r="I190" s="14" t="s">
        <v>43</v>
      </c>
      <c r="J190" s="14"/>
      <c r="K190" s="4" t="s">
        <v>453</v>
      </c>
      <c r="M190" s="29" t="s">
        <v>436</v>
      </c>
      <c r="N190" s="29" t="s">
        <v>76</v>
      </c>
      <c r="O190" s="17" t="s">
        <v>437</v>
      </c>
      <c r="P190" s="17" t="s">
        <v>417</v>
      </c>
      <c r="Q190" s="17" t="s">
        <v>62</v>
      </c>
      <c r="R190" s="1" t="n">
        <v>2520</v>
      </c>
      <c r="S190" s="1" t="n">
        <v>5700</v>
      </c>
      <c r="T190" s="30" t="n">
        <v>1</v>
      </c>
      <c r="U190" s="1" t="str">
        <f aca="false">D190&amp;"-"&amp;E190&amp;"-"&amp;M190&amp;"-"&amp;O190&amp;"-"&amp;P190&amp;"-"&amp;Q190</f>
        <v>GODDESS-YVETTE-GD6750-Black-40-FF</v>
      </c>
      <c r="W190" s="1" t="s">
        <v>113</v>
      </c>
    </row>
    <row r="191" customFormat="false" ht="15" hidden="false" customHeight="false" outlineLevel="0" collapsed="false">
      <c r="B191" s="29" t="s">
        <v>454</v>
      </c>
      <c r="C191" s="17" t="s">
        <v>37</v>
      </c>
      <c r="D191" s="29" t="s">
        <v>431</v>
      </c>
      <c r="E191" s="29" t="s">
        <v>432</v>
      </c>
      <c r="F191" s="14" t="s">
        <v>433</v>
      </c>
      <c r="G191" s="3" t="s">
        <v>41</v>
      </c>
      <c r="H191" s="14" t="s">
        <v>434</v>
      </c>
      <c r="I191" s="14" t="s">
        <v>43</v>
      </c>
      <c r="J191" s="14"/>
      <c r="K191" s="4" t="s">
        <v>455</v>
      </c>
      <c r="M191" s="29" t="s">
        <v>436</v>
      </c>
      <c r="N191" s="29" t="s">
        <v>76</v>
      </c>
      <c r="O191" s="17" t="s">
        <v>437</v>
      </c>
      <c r="P191" s="29" t="s">
        <v>440</v>
      </c>
      <c r="Q191" s="29" t="s">
        <v>62</v>
      </c>
      <c r="R191" s="1" t="n">
        <v>2520.8</v>
      </c>
      <c r="S191" s="1" t="n">
        <v>5700</v>
      </c>
      <c r="T191" s="30" t="n">
        <v>1</v>
      </c>
      <c r="U191" s="1" t="str">
        <f aca="false">D191&amp;"-"&amp;E191&amp;"-"&amp;M191&amp;"-"&amp;O191&amp;"-"&amp;P191&amp;"-"&amp;Q191</f>
        <v>GODDESS-YVETTE-GD6750-Black-42-FF</v>
      </c>
      <c r="W191" s="1" t="s">
        <v>113</v>
      </c>
    </row>
    <row r="192" customFormat="false" ht="15" hidden="false" customHeight="false" outlineLevel="0" collapsed="false">
      <c r="B192" s="29" t="s">
        <v>456</v>
      </c>
      <c r="C192" s="17" t="s">
        <v>37</v>
      </c>
      <c r="D192" s="29" t="s">
        <v>431</v>
      </c>
      <c r="E192" s="29" t="s">
        <v>432</v>
      </c>
      <c r="F192" s="14" t="s">
        <v>433</v>
      </c>
      <c r="G192" s="3" t="s">
        <v>41</v>
      </c>
      <c r="H192" s="14" t="s">
        <v>434</v>
      </c>
      <c r="I192" s="14" t="s">
        <v>43</v>
      </c>
      <c r="J192" s="14"/>
      <c r="K192" s="4" t="s">
        <v>457</v>
      </c>
      <c r="M192" s="29" t="s">
        <v>436</v>
      </c>
      <c r="N192" s="29" t="s">
        <v>76</v>
      </c>
      <c r="O192" s="17" t="s">
        <v>437</v>
      </c>
      <c r="P192" s="29" t="s">
        <v>440</v>
      </c>
      <c r="Q192" s="29" t="s">
        <v>105</v>
      </c>
      <c r="R192" s="1" t="n">
        <v>2520.8</v>
      </c>
      <c r="S192" s="1" t="n">
        <v>5700</v>
      </c>
      <c r="T192" s="23" t="n">
        <v>1</v>
      </c>
      <c r="U192" s="1" t="str">
        <f aca="false">D192&amp;"-"&amp;E192&amp;"-"&amp;M192&amp;"-"&amp;O192&amp;"-"&amp;P192&amp;"-"&amp;Q192</f>
        <v>GODDESS-YVETTE-GD6750-Black-42-G</v>
      </c>
      <c r="W192" s="1" t="s">
        <v>113</v>
      </c>
    </row>
    <row r="193" customFormat="false" ht="15" hidden="false" customHeight="false" outlineLevel="0" collapsed="false">
      <c r="B193" s="17" t="s">
        <v>458</v>
      </c>
      <c r="C193" s="17" t="s">
        <v>37</v>
      </c>
      <c r="D193" s="17" t="s">
        <v>431</v>
      </c>
      <c r="E193" s="29" t="s">
        <v>432</v>
      </c>
      <c r="F193" s="14" t="s">
        <v>433</v>
      </c>
      <c r="G193" s="3" t="s">
        <v>41</v>
      </c>
      <c r="H193" s="14" t="s">
        <v>434</v>
      </c>
      <c r="I193" s="14" t="s">
        <v>43</v>
      </c>
      <c r="J193" s="14"/>
      <c r="K193" s="4" t="s">
        <v>459</v>
      </c>
      <c r="M193" s="29" t="s">
        <v>436</v>
      </c>
      <c r="N193" s="29" t="s">
        <v>76</v>
      </c>
      <c r="O193" s="17" t="s">
        <v>437</v>
      </c>
      <c r="P193" s="17" t="s">
        <v>65</v>
      </c>
      <c r="Q193" s="17" t="s">
        <v>129</v>
      </c>
      <c r="R193" s="1" t="n">
        <v>2772</v>
      </c>
      <c r="S193" s="1" t="n">
        <v>5700</v>
      </c>
      <c r="T193" s="23" t="n">
        <v>1</v>
      </c>
      <c r="U193" s="1" t="str">
        <f aca="false">D193&amp;"-"&amp;E193&amp;"-"&amp;M193&amp;"-"&amp;O193&amp;"-"&amp;P193&amp;"-"&amp;Q193</f>
        <v>GODDESS-YVETTE-GD6750-Black-36-GG</v>
      </c>
      <c r="W193" s="1" t="s">
        <v>113</v>
      </c>
    </row>
    <row r="194" customFormat="false" ht="15" hidden="false" customHeight="false" outlineLevel="0" collapsed="false">
      <c r="B194" s="17" t="s">
        <v>460</v>
      </c>
      <c r="C194" s="17" t="s">
        <v>37</v>
      </c>
      <c r="D194" s="17" t="s">
        <v>431</v>
      </c>
      <c r="E194" s="29" t="s">
        <v>432</v>
      </c>
      <c r="F194" s="14" t="s">
        <v>433</v>
      </c>
      <c r="G194" s="3" t="s">
        <v>41</v>
      </c>
      <c r="H194" s="14" t="s">
        <v>434</v>
      </c>
      <c r="I194" s="14" t="s">
        <v>43</v>
      </c>
      <c r="J194" s="14"/>
      <c r="K194" s="4" t="s">
        <v>461</v>
      </c>
      <c r="M194" s="29" t="s">
        <v>436</v>
      </c>
      <c r="N194" s="29" t="s">
        <v>76</v>
      </c>
      <c r="O194" s="17" t="s">
        <v>437</v>
      </c>
      <c r="P194" s="17" t="s">
        <v>440</v>
      </c>
      <c r="Q194" s="17" t="s">
        <v>129</v>
      </c>
      <c r="R194" s="1" t="n">
        <v>2520.8</v>
      </c>
      <c r="S194" s="1" t="n">
        <v>5700</v>
      </c>
      <c r="T194" s="30" t="n">
        <v>2</v>
      </c>
      <c r="U194" s="1" t="str">
        <f aca="false">D194&amp;"-"&amp;E194&amp;"-"&amp;M194&amp;"-"&amp;O194&amp;"-"&amp;P194&amp;"-"&amp;Q194</f>
        <v>GODDESS-YVETTE-GD6750-Black-42-GG</v>
      </c>
      <c r="W194" s="1" t="s">
        <v>113</v>
      </c>
    </row>
    <row r="195" customFormat="false" ht="15" hidden="false" customHeight="false" outlineLevel="0" collapsed="false">
      <c r="B195" s="29" t="s">
        <v>462</v>
      </c>
      <c r="C195" s="17" t="s">
        <v>37</v>
      </c>
      <c r="D195" s="29" t="s">
        <v>431</v>
      </c>
      <c r="E195" s="29" t="s">
        <v>432</v>
      </c>
      <c r="F195" s="14" t="s">
        <v>433</v>
      </c>
      <c r="G195" s="3" t="s">
        <v>41</v>
      </c>
      <c r="H195" s="14" t="s">
        <v>434</v>
      </c>
      <c r="I195" s="14" t="s">
        <v>43</v>
      </c>
      <c r="J195" s="14"/>
      <c r="K195" s="4" t="s">
        <v>463</v>
      </c>
      <c r="M195" s="29" t="s">
        <v>436</v>
      </c>
      <c r="N195" s="29" t="s">
        <v>464</v>
      </c>
      <c r="O195" s="17" t="s">
        <v>465</v>
      </c>
      <c r="P195" s="29" t="s">
        <v>417</v>
      </c>
      <c r="Q195" s="29" t="s">
        <v>66</v>
      </c>
      <c r="R195" s="1" t="n">
        <v>2520</v>
      </c>
      <c r="S195" s="1" t="n">
        <v>5700</v>
      </c>
      <c r="T195" s="23" t="n">
        <v>1</v>
      </c>
      <c r="U195" s="1" t="str">
        <f aca="false">D195&amp;"-"&amp;E195&amp;"-"&amp;M195&amp;"-"&amp;O195&amp;"-"&amp;P195&amp;"-"&amp;Q195</f>
        <v>GODDESS-YVETTE-GD6750-SKIN-40-E</v>
      </c>
      <c r="W195" s="1" t="s">
        <v>113</v>
      </c>
    </row>
    <row r="196" customFormat="false" ht="15" hidden="true" customHeight="false" outlineLevel="0" collapsed="false">
      <c r="B196" s="17" t="s">
        <v>466</v>
      </c>
      <c r="C196" s="17" t="s">
        <v>37</v>
      </c>
      <c r="D196" s="17" t="s">
        <v>431</v>
      </c>
      <c r="E196" s="29" t="s">
        <v>432</v>
      </c>
      <c r="F196" s="14" t="s">
        <v>80</v>
      </c>
      <c r="G196" s="3" t="s">
        <v>41</v>
      </c>
      <c r="H196" s="14" t="s">
        <v>70</v>
      </c>
      <c r="I196" s="14" t="s">
        <v>43</v>
      </c>
      <c r="J196" s="14"/>
      <c r="M196" s="29" t="s">
        <v>436</v>
      </c>
      <c r="N196" s="29" t="s">
        <v>464</v>
      </c>
      <c r="O196" s="17" t="s">
        <v>467</v>
      </c>
      <c r="P196" s="17" t="s">
        <v>65</v>
      </c>
      <c r="Q196" s="17" t="s">
        <v>129</v>
      </c>
      <c r="R196" s="1" t="n">
        <v>2772</v>
      </c>
      <c r="S196" s="1" t="n">
        <v>5700</v>
      </c>
      <c r="T196" s="23" t="n">
        <v>1</v>
      </c>
      <c r="U196" s="1" t="str">
        <f aca="false">D196&amp;"-"&amp;E196&amp;"-"&amp;M196&amp;"-"&amp;O196&amp;"-"&amp;P196&amp;"-"&amp;Q196</f>
        <v>GODDESS-YVETTE-GD6750-SAND-36-GG</v>
      </c>
    </row>
    <row r="197" customFormat="false" ht="15" hidden="false" customHeight="false" outlineLevel="0" collapsed="false">
      <c r="B197" s="17" t="s">
        <v>468</v>
      </c>
      <c r="C197" s="17" t="s">
        <v>37</v>
      </c>
      <c r="D197" s="17" t="s">
        <v>431</v>
      </c>
      <c r="E197" s="29" t="s">
        <v>432</v>
      </c>
      <c r="F197" s="14" t="s">
        <v>433</v>
      </c>
      <c r="G197" s="3" t="s">
        <v>41</v>
      </c>
      <c r="H197" s="14" t="s">
        <v>434</v>
      </c>
      <c r="I197" s="14" t="s">
        <v>43</v>
      </c>
      <c r="J197" s="14"/>
      <c r="K197" s="4" t="s">
        <v>469</v>
      </c>
      <c r="M197" s="29" t="s">
        <v>436</v>
      </c>
      <c r="N197" s="29" t="s">
        <v>464</v>
      </c>
      <c r="O197" s="17" t="s">
        <v>467</v>
      </c>
      <c r="P197" s="17" t="s">
        <v>65</v>
      </c>
      <c r="Q197" s="17" t="s">
        <v>105</v>
      </c>
      <c r="R197" s="1" t="n">
        <v>2688</v>
      </c>
      <c r="S197" s="1" t="n">
        <v>5700</v>
      </c>
      <c r="T197" s="23" t="n">
        <v>0</v>
      </c>
      <c r="U197" s="1" t="str">
        <f aca="false">D197&amp;"-"&amp;E197&amp;"-"&amp;M197&amp;"-"&amp;O197&amp;"-"&amp;P197&amp;"-"&amp;Q197</f>
        <v>GODDESS-YVETTE-GD6750-SAND-36-G</v>
      </c>
      <c r="W197" s="1" t="s">
        <v>113</v>
      </c>
    </row>
    <row r="198" customFormat="false" ht="15" hidden="false" customHeight="false" outlineLevel="0" collapsed="false">
      <c r="B198" s="17" t="s">
        <v>470</v>
      </c>
      <c r="C198" s="17" t="s">
        <v>37</v>
      </c>
      <c r="D198" s="17" t="s">
        <v>431</v>
      </c>
      <c r="E198" s="29" t="s">
        <v>432</v>
      </c>
      <c r="F198" s="14" t="s">
        <v>433</v>
      </c>
      <c r="G198" s="3" t="s">
        <v>41</v>
      </c>
      <c r="H198" s="14" t="s">
        <v>434</v>
      </c>
      <c r="I198" s="14" t="s">
        <v>43</v>
      </c>
      <c r="J198" s="14"/>
      <c r="K198" s="4" t="s">
        <v>471</v>
      </c>
      <c r="M198" s="29" t="s">
        <v>436</v>
      </c>
      <c r="N198" s="17" t="s">
        <v>464</v>
      </c>
      <c r="O198" s="17" t="s">
        <v>465</v>
      </c>
      <c r="P198" s="17" t="s">
        <v>154</v>
      </c>
      <c r="Q198" s="17" t="s">
        <v>50</v>
      </c>
      <c r="R198" s="1" t="n">
        <v>2520</v>
      </c>
      <c r="S198" s="1" t="n">
        <v>5700</v>
      </c>
      <c r="T198" s="30" t="n">
        <v>1</v>
      </c>
      <c r="U198" s="1" t="str">
        <f aca="false">D198&amp;"-"&amp;E198&amp;"-"&amp;M198&amp;"-"&amp;O198&amp;"-"&amp;P198&amp;"-"&amp;Q198</f>
        <v>GODDESS-YVETTE-GD6750-SKIN-38-F</v>
      </c>
      <c r="W198" s="1" t="s">
        <v>113</v>
      </c>
    </row>
    <row r="199" customFormat="false" ht="15" hidden="false" customHeight="false" outlineLevel="0" collapsed="false">
      <c r="B199" s="17" t="s">
        <v>472</v>
      </c>
      <c r="C199" s="17" t="s">
        <v>37</v>
      </c>
      <c r="D199" s="17" t="s">
        <v>431</v>
      </c>
      <c r="E199" s="29" t="s">
        <v>432</v>
      </c>
      <c r="F199" s="14" t="s">
        <v>433</v>
      </c>
      <c r="G199" s="3" t="s">
        <v>41</v>
      </c>
      <c r="H199" s="14" t="s">
        <v>434</v>
      </c>
      <c r="I199" s="14" t="s">
        <v>43</v>
      </c>
      <c r="J199" s="14"/>
      <c r="K199" s="4" t="s">
        <v>473</v>
      </c>
      <c r="M199" s="29" t="s">
        <v>436</v>
      </c>
      <c r="N199" s="17" t="s">
        <v>464</v>
      </c>
      <c r="O199" s="17" t="s">
        <v>465</v>
      </c>
      <c r="P199" s="17" t="s">
        <v>154</v>
      </c>
      <c r="Q199" s="17" t="s">
        <v>62</v>
      </c>
      <c r="R199" s="1" t="n">
        <v>2520</v>
      </c>
      <c r="S199" s="1" t="n">
        <v>5700</v>
      </c>
      <c r="T199" s="30" t="n">
        <v>0</v>
      </c>
      <c r="U199" s="1" t="str">
        <f aca="false">D199&amp;"-"&amp;E199&amp;"-"&amp;M199&amp;"-"&amp;O199&amp;"-"&amp;P199&amp;"-"&amp;Q199</f>
        <v>GODDESS-YVETTE-GD6750-SKIN-38-FF</v>
      </c>
      <c r="W199" s="1" t="s">
        <v>113</v>
      </c>
    </row>
    <row r="200" customFormat="false" ht="15" hidden="false" customHeight="false" outlineLevel="0" collapsed="false">
      <c r="B200" s="29" t="s">
        <v>474</v>
      </c>
      <c r="C200" s="17" t="s">
        <v>37</v>
      </c>
      <c r="D200" s="29" t="s">
        <v>431</v>
      </c>
      <c r="E200" s="29" t="s">
        <v>432</v>
      </c>
      <c r="F200" s="14" t="s">
        <v>433</v>
      </c>
      <c r="G200" s="3" t="s">
        <v>41</v>
      </c>
      <c r="H200" s="14" t="s">
        <v>434</v>
      </c>
      <c r="I200" s="14" t="s">
        <v>43</v>
      </c>
      <c r="J200" s="14"/>
      <c r="K200" s="4" t="s">
        <v>475</v>
      </c>
      <c r="M200" s="29" t="s">
        <v>436</v>
      </c>
      <c r="N200" s="29" t="s">
        <v>464</v>
      </c>
      <c r="O200" s="17" t="s">
        <v>465</v>
      </c>
      <c r="P200" s="29" t="s">
        <v>154</v>
      </c>
      <c r="Q200" s="29" t="s">
        <v>105</v>
      </c>
      <c r="R200" s="1" t="n">
        <v>2520</v>
      </c>
      <c r="S200" s="1" t="n">
        <v>5700</v>
      </c>
      <c r="T200" s="30" t="n">
        <v>1</v>
      </c>
      <c r="U200" s="1" t="str">
        <f aca="false">D200&amp;"-"&amp;E200&amp;"-"&amp;M200&amp;"-"&amp;O200&amp;"-"&amp;P200&amp;"-"&amp;Q200</f>
        <v>GODDESS-YVETTE-GD6750-SKIN-38-G</v>
      </c>
      <c r="W200" s="1" t="s">
        <v>113</v>
      </c>
    </row>
    <row r="201" customFormat="false" ht="15" hidden="false" customHeight="false" outlineLevel="0" collapsed="false">
      <c r="B201" s="17" t="s">
        <v>476</v>
      </c>
      <c r="C201" s="17" t="s">
        <v>37</v>
      </c>
      <c r="D201" s="17" t="s">
        <v>431</v>
      </c>
      <c r="E201" s="29" t="s">
        <v>432</v>
      </c>
      <c r="F201" s="14" t="s">
        <v>433</v>
      </c>
      <c r="G201" s="3" t="s">
        <v>41</v>
      </c>
      <c r="H201" s="14" t="s">
        <v>434</v>
      </c>
      <c r="I201" s="14" t="s">
        <v>43</v>
      </c>
      <c r="J201" s="14"/>
      <c r="K201" s="4" t="s">
        <v>477</v>
      </c>
      <c r="M201" s="29" t="s">
        <v>436</v>
      </c>
      <c r="N201" s="17" t="s">
        <v>464</v>
      </c>
      <c r="O201" s="17" t="s">
        <v>465</v>
      </c>
      <c r="P201" s="17" t="s">
        <v>417</v>
      </c>
      <c r="Q201" s="17" t="s">
        <v>50</v>
      </c>
      <c r="R201" s="1" t="n">
        <v>2520</v>
      </c>
      <c r="S201" s="1" t="n">
        <v>5700</v>
      </c>
      <c r="T201" s="30" t="n">
        <v>1</v>
      </c>
      <c r="U201" s="1" t="str">
        <f aca="false">D201&amp;"-"&amp;E201&amp;"-"&amp;M201&amp;"-"&amp;O201&amp;"-"&amp;P201&amp;"-"&amp;Q201</f>
        <v>GODDESS-YVETTE-GD6750-SKIN-40-F</v>
      </c>
      <c r="W201" s="1" t="s">
        <v>113</v>
      </c>
    </row>
    <row r="202" customFormat="false" ht="15" hidden="false" customHeight="false" outlineLevel="0" collapsed="false">
      <c r="B202" s="29" t="s">
        <v>478</v>
      </c>
      <c r="C202" s="17" t="s">
        <v>37</v>
      </c>
      <c r="D202" s="29" t="s">
        <v>431</v>
      </c>
      <c r="E202" s="29" t="s">
        <v>432</v>
      </c>
      <c r="F202" s="14" t="s">
        <v>433</v>
      </c>
      <c r="G202" s="3" t="s">
        <v>41</v>
      </c>
      <c r="H202" s="14" t="s">
        <v>434</v>
      </c>
      <c r="I202" s="14" t="s">
        <v>43</v>
      </c>
      <c r="J202" s="14"/>
      <c r="K202" s="4" t="s">
        <v>479</v>
      </c>
      <c r="M202" s="29" t="s">
        <v>436</v>
      </c>
      <c r="N202" s="29" t="s">
        <v>464</v>
      </c>
      <c r="O202" s="17" t="s">
        <v>465</v>
      </c>
      <c r="P202" s="29" t="s">
        <v>417</v>
      </c>
      <c r="Q202" s="29" t="s">
        <v>62</v>
      </c>
      <c r="R202" s="1" t="n">
        <v>2688</v>
      </c>
      <c r="S202" s="1" t="n">
        <v>5700</v>
      </c>
      <c r="T202" s="30" t="n">
        <v>1</v>
      </c>
      <c r="U202" s="1" t="str">
        <f aca="false">D202&amp;"-"&amp;E202&amp;"-"&amp;M202&amp;"-"&amp;O202&amp;"-"&amp;P202&amp;"-"&amp;Q202</f>
        <v>GODDESS-YVETTE-GD6750-SKIN-40-FF</v>
      </c>
      <c r="W202" s="1" t="s">
        <v>113</v>
      </c>
    </row>
    <row r="203" customFormat="false" ht="15" hidden="false" customHeight="false" outlineLevel="0" collapsed="false">
      <c r="B203" s="17" t="s">
        <v>480</v>
      </c>
      <c r="C203" s="17" t="s">
        <v>37</v>
      </c>
      <c r="D203" s="17" t="s">
        <v>431</v>
      </c>
      <c r="E203" s="29" t="s">
        <v>432</v>
      </c>
      <c r="F203" s="14" t="s">
        <v>433</v>
      </c>
      <c r="G203" s="3" t="s">
        <v>41</v>
      </c>
      <c r="H203" s="14" t="s">
        <v>434</v>
      </c>
      <c r="I203" s="14" t="s">
        <v>43</v>
      </c>
      <c r="J203" s="14"/>
      <c r="K203" s="4" t="s">
        <v>481</v>
      </c>
      <c r="M203" s="29" t="s">
        <v>436</v>
      </c>
      <c r="N203" s="17" t="s">
        <v>464</v>
      </c>
      <c r="O203" s="17" t="s">
        <v>465</v>
      </c>
      <c r="P203" s="17" t="s">
        <v>417</v>
      </c>
      <c r="Q203" s="17" t="s">
        <v>129</v>
      </c>
      <c r="R203" s="1" t="n">
        <v>2772</v>
      </c>
      <c r="S203" s="1" t="n">
        <v>5700</v>
      </c>
      <c r="T203" s="23" t="n">
        <v>0</v>
      </c>
      <c r="U203" s="1" t="str">
        <f aca="false">D203&amp;"-"&amp;E203&amp;"-"&amp;M203&amp;"-"&amp;O203&amp;"-"&amp;P203&amp;"-"&amp;Q203</f>
        <v>GODDESS-YVETTE-GD6750-SKIN-40-GG</v>
      </c>
      <c r="W203" s="1" t="s">
        <v>113</v>
      </c>
    </row>
    <row r="204" customFormat="false" ht="15" hidden="false" customHeight="false" outlineLevel="0" collapsed="false">
      <c r="B204" s="17" t="s">
        <v>482</v>
      </c>
      <c r="C204" s="17" t="s">
        <v>37</v>
      </c>
      <c r="D204" s="17" t="s">
        <v>431</v>
      </c>
      <c r="E204" s="29" t="s">
        <v>432</v>
      </c>
      <c r="F204" s="14" t="s">
        <v>433</v>
      </c>
      <c r="G204" s="3" t="s">
        <v>41</v>
      </c>
      <c r="H204" s="14" t="s">
        <v>434</v>
      </c>
      <c r="I204" s="14" t="s">
        <v>43</v>
      </c>
      <c r="J204" s="14"/>
      <c r="K204" s="4" t="s">
        <v>483</v>
      </c>
      <c r="M204" s="29" t="s">
        <v>436</v>
      </c>
      <c r="N204" s="17" t="s">
        <v>464</v>
      </c>
      <c r="O204" s="17" t="s">
        <v>465</v>
      </c>
      <c r="P204" s="17" t="s">
        <v>440</v>
      </c>
      <c r="Q204" s="17" t="s">
        <v>50</v>
      </c>
      <c r="R204" s="1" t="n">
        <v>2520.8</v>
      </c>
      <c r="S204" s="1" t="n">
        <v>5700</v>
      </c>
      <c r="T204" s="30" t="n">
        <v>2</v>
      </c>
      <c r="U204" s="1" t="str">
        <f aca="false">D204&amp;"-"&amp;E204&amp;"-"&amp;M204&amp;"-"&amp;O204&amp;"-"&amp;P204&amp;"-"&amp;Q204</f>
        <v>GODDESS-YVETTE-GD6750-SKIN-42-F</v>
      </c>
      <c r="W204" s="1" t="s">
        <v>113</v>
      </c>
    </row>
    <row r="205" customFormat="false" ht="15" hidden="false" customHeight="false" outlineLevel="0" collapsed="false">
      <c r="B205" s="29" t="s">
        <v>484</v>
      </c>
      <c r="C205" s="17" t="s">
        <v>37</v>
      </c>
      <c r="D205" s="29" t="s">
        <v>431</v>
      </c>
      <c r="E205" s="29" t="s">
        <v>432</v>
      </c>
      <c r="F205" s="14" t="s">
        <v>433</v>
      </c>
      <c r="G205" s="3" t="s">
        <v>41</v>
      </c>
      <c r="H205" s="14" t="s">
        <v>434</v>
      </c>
      <c r="I205" s="14" t="s">
        <v>43</v>
      </c>
      <c r="J205" s="14"/>
      <c r="K205" s="4" t="s">
        <v>485</v>
      </c>
      <c r="M205" s="29" t="s">
        <v>436</v>
      </c>
      <c r="N205" s="29" t="s">
        <v>464</v>
      </c>
      <c r="O205" s="17" t="s">
        <v>465</v>
      </c>
      <c r="P205" s="29" t="s">
        <v>440</v>
      </c>
      <c r="Q205" s="29" t="s">
        <v>62</v>
      </c>
      <c r="R205" s="1" t="n">
        <v>2688</v>
      </c>
      <c r="S205" s="1" t="n">
        <v>5700</v>
      </c>
      <c r="T205" s="30" t="n">
        <v>1</v>
      </c>
      <c r="U205" s="1" t="str">
        <f aca="false">D205&amp;"-"&amp;E205&amp;"-"&amp;M205&amp;"-"&amp;O205&amp;"-"&amp;P205&amp;"-"&amp;Q205</f>
        <v>GODDESS-YVETTE-GD6750-SKIN-42-FF</v>
      </c>
      <c r="W205" s="1" t="s">
        <v>113</v>
      </c>
    </row>
    <row r="206" customFormat="false" ht="15" hidden="false" customHeight="false" outlineLevel="0" collapsed="false">
      <c r="B206" s="17" t="s">
        <v>486</v>
      </c>
      <c r="C206" s="17" t="s">
        <v>37</v>
      </c>
      <c r="D206" s="17" t="s">
        <v>431</v>
      </c>
      <c r="E206" s="29" t="s">
        <v>432</v>
      </c>
      <c r="F206" s="14" t="s">
        <v>433</v>
      </c>
      <c r="G206" s="3" t="s">
        <v>41</v>
      </c>
      <c r="H206" s="14" t="s">
        <v>434</v>
      </c>
      <c r="I206" s="14" t="s">
        <v>43</v>
      </c>
      <c r="J206" s="14"/>
      <c r="K206" s="4" t="s">
        <v>487</v>
      </c>
      <c r="M206" s="29" t="s">
        <v>436</v>
      </c>
      <c r="N206" s="17" t="s">
        <v>464</v>
      </c>
      <c r="O206" s="17" t="s">
        <v>465</v>
      </c>
      <c r="P206" s="17" t="s">
        <v>440</v>
      </c>
      <c r="Q206" s="17" t="s">
        <v>105</v>
      </c>
      <c r="R206" s="1" t="n">
        <v>2688</v>
      </c>
      <c r="S206" s="1" t="n">
        <v>5700</v>
      </c>
      <c r="T206" s="30" t="n">
        <v>0</v>
      </c>
      <c r="U206" s="1" t="str">
        <f aca="false">D206&amp;"-"&amp;E206&amp;"-"&amp;M206&amp;"-"&amp;O206&amp;"-"&amp;P206&amp;"-"&amp;Q206</f>
        <v>GODDESS-YVETTE-GD6750-SKIN-42-G</v>
      </c>
      <c r="W206" s="1" t="s">
        <v>113</v>
      </c>
    </row>
    <row r="207" customFormat="false" ht="15" hidden="false" customHeight="false" outlineLevel="0" collapsed="false">
      <c r="B207" s="29" t="s">
        <v>488</v>
      </c>
      <c r="C207" s="17" t="s">
        <v>37</v>
      </c>
      <c r="D207" s="29" t="s">
        <v>431</v>
      </c>
      <c r="E207" s="29" t="s">
        <v>432</v>
      </c>
      <c r="F207" s="14" t="s">
        <v>433</v>
      </c>
      <c r="G207" s="3" t="s">
        <v>41</v>
      </c>
      <c r="H207" s="14" t="s">
        <v>434</v>
      </c>
      <c r="I207" s="14" t="s">
        <v>43</v>
      </c>
      <c r="J207" s="14"/>
      <c r="K207" s="4" t="s">
        <v>489</v>
      </c>
      <c r="M207" s="29" t="s">
        <v>436</v>
      </c>
      <c r="N207" s="29" t="s">
        <v>464</v>
      </c>
      <c r="O207" s="17" t="s">
        <v>465</v>
      </c>
      <c r="P207" s="29" t="s">
        <v>440</v>
      </c>
      <c r="Q207" s="29" t="s">
        <v>129</v>
      </c>
      <c r="R207" s="1" t="n">
        <v>2520.8</v>
      </c>
      <c r="S207" s="1" t="n">
        <v>5700</v>
      </c>
      <c r="T207" s="30" t="n">
        <v>2</v>
      </c>
      <c r="U207" s="1" t="str">
        <f aca="false">D207&amp;"-"&amp;E207&amp;"-"&amp;M207&amp;"-"&amp;O207&amp;"-"&amp;P207&amp;"-"&amp;Q207</f>
        <v>GODDESS-YVETTE-GD6750-SKIN-42-GG</v>
      </c>
      <c r="W207" s="1" t="s">
        <v>113</v>
      </c>
    </row>
    <row r="208" customFormat="false" ht="15" hidden="false" customHeight="false" outlineLevel="0" collapsed="false">
      <c r="B208" s="17" t="s">
        <v>490</v>
      </c>
      <c r="C208" s="17" t="s">
        <v>37</v>
      </c>
      <c r="D208" s="17" t="s">
        <v>431</v>
      </c>
      <c r="E208" s="29" t="s">
        <v>432</v>
      </c>
      <c r="F208" s="14" t="s">
        <v>433</v>
      </c>
      <c r="G208" s="3" t="s">
        <v>41</v>
      </c>
      <c r="H208" s="14" t="s">
        <v>434</v>
      </c>
      <c r="I208" s="14" t="s">
        <v>43</v>
      </c>
      <c r="J208" s="14"/>
      <c r="K208" s="4" t="s">
        <v>491</v>
      </c>
      <c r="M208" s="29" t="s">
        <v>436</v>
      </c>
      <c r="N208" s="17" t="s">
        <v>464</v>
      </c>
      <c r="O208" s="17" t="s">
        <v>465</v>
      </c>
      <c r="P208" s="17" t="s">
        <v>449</v>
      </c>
      <c r="Q208" s="17" t="s">
        <v>62</v>
      </c>
      <c r="R208" s="1" t="n">
        <v>2520</v>
      </c>
      <c r="S208" s="1" t="n">
        <v>5700</v>
      </c>
      <c r="T208" s="23" t="n">
        <v>0</v>
      </c>
      <c r="U208" s="1" t="str">
        <f aca="false">D208&amp;"-"&amp;E208&amp;"-"&amp;M208&amp;"-"&amp;O208&amp;"-"&amp;P208&amp;"-"&amp;Q208</f>
        <v>GODDESS-YVETTE-GD6750-SKIN-44-FF</v>
      </c>
      <c r="W208" s="1" t="s">
        <v>113</v>
      </c>
    </row>
    <row r="209" customFormat="false" ht="15" hidden="false" customHeight="false" outlineLevel="0" collapsed="false">
      <c r="B209" s="17" t="s">
        <v>492</v>
      </c>
      <c r="C209" s="17" t="s">
        <v>37</v>
      </c>
      <c r="D209" s="17" t="s">
        <v>431</v>
      </c>
      <c r="E209" s="29" t="s">
        <v>432</v>
      </c>
      <c r="F209" s="14" t="s">
        <v>433</v>
      </c>
      <c r="G209" s="3" t="s">
        <v>41</v>
      </c>
      <c r="H209" s="14" t="s">
        <v>434</v>
      </c>
      <c r="I209" s="14" t="s">
        <v>43</v>
      </c>
      <c r="J209" s="14"/>
      <c r="K209" s="4" t="s">
        <v>493</v>
      </c>
      <c r="M209" s="29" t="s">
        <v>436</v>
      </c>
      <c r="N209" s="29" t="s">
        <v>76</v>
      </c>
      <c r="O209" s="17" t="s">
        <v>437</v>
      </c>
      <c r="P209" s="17" t="s">
        <v>417</v>
      </c>
      <c r="Q209" s="17" t="s">
        <v>105</v>
      </c>
      <c r="R209" s="1" t="n">
        <v>2772</v>
      </c>
      <c r="S209" s="1" t="n">
        <v>5700</v>
      </c>
      <c r="T209" s="30" t="n">
        <v>1</v>
      </c>
      <c r="U209" s="1" t="str">
        <f aca="false">D209&amp;"-"&amp;E209&amp;"-"&amp;M209&amp;"-"&amp;O209&amp;"-"&amp;P209&amp;"-"&amp;Q209</f>
        <v>GODDESS-YVETTE-GD6750-Black-40-G</v>
      </c>
      <c r="W209" s="1" t="s">
        <v>113</v>
      </c>
    </row>
    <row r="210" customFormat="false" ht="15" hidden="false" customHeight="false" outlineLevel="0" collapsed="false">
      <c r="B210" s="17" t="s">
        <v>494</v>
      </c>
      <c r="C210" s="17" t="s">
        <v>37</v>
      </c>
      <c r="D210" s="17" t="s">
        <v>431</v>
      </c>
      <c r="E210" s="29" t="s">
        <v>432</v>
      </c>
      <c r="F210" s="14" t="s">
        <v>433</v>
      </c>
      <c r="G210" s="3" t="s">
        <v>41</v>
      </c>
      <c r="H210" s="14" t="s">
        <v>434</v>
      </c>
      <c r="I210" s="14" t="s">
        <v>43</v>
      </c>
      <c r="J210" s="14"/>
      <c r="K210" s="4" t="s">
        <v>495</v>
      </c>
      <c r="M210" s="29" t="s">
        <v>436</v>
      </c>
      <c r="N210" s="17" t="s">
        <v>496</v>
      </c>
      <c r="O210" s="17" t="s">
        <v>497</v>
      </c>
      <c r="P210" s="17" t="s">
        <v>417</v>
      </c>
      <c r="Q210" s="17" t="s">
        <v>105</v>
      </c>
      <c r="R210" s="1" t="n">
        <v>2772</v>
      </c>
      <c r="S210" s="1" t="n">
        <v>5700</v>
      </c>
      <c r="T210" s="30" t="n">
        <v>1</v>
      </c>
      <c r="U210" s="1" t="str">
        <f aca="false">D210&amp;"-"&amp;E210&amp;"-"&amp;M210&amp;"-"&amp;O210&amp;"-"&amp;P210&amp;"-"&amp;Q210</f>
        <v>GODDESS-YVETTE-GD6750-Choclate-40-G</v>
      </c>
      <c r="W210" s="1" t="s">
        <v>113</v>
      </c>
    </row>
    <row r="211" customFormat="false" ht="15" hidden="false" customHeight="false" outlineLevel="0" collapsed="false">
      <c r="B211" s="29" t="s">
        <v>498</v>
      </c>
      <c r="C211" s="17" t="s">
        <v>37</v>
      </c>
      <c r="D211" s="29" t="s">
        <v>431</v>
      </c>
      <c r="E211" s="29" t="s">
        <v>499</v>
      </c>
      <c r="F211" s="14" t="s">
        <v>500</v>
      </c>
      <c r="G211" s="3" t="s">
        <v>41</v>
      </c>
      <c r="H211" s="14" t="s">
        <v>501</v>
      </c>
      <c r="I211" s="14" t="s">
        <v>43</v>
      </c>
      <c r="J211" s="14"/>
      <c r="K211" s="4" t="s">
        <v>502</v>
      </c>
      <c r="M211" s="29" t="s">
        <v>503</v>
      </c>
      <c r="N211" s="29" t="s">
        <v>504</v>
      </c>
      <c r="O211" s="29" t="s">
        <v>465</v>
      </c>
      <c r="P211" s="29" t="s">
        <v>65</v>
      </c>
      <c r="Q211" s="29" t="s">
        <v>131</v>
      </c>
      <c r="R211" s="1" t="n">
        <v>2688</v>
      </c>
      <c r="S211" s="1" t="n">
        <v>5700</v>
      </c>
      <c r="T211" s="23" t="n">
        <v>0</v>
      </c>
      <c r="U211" s="1" t="str">
        <f aca="false">D211&amp;"-"&amp;E211&amp;"-"&amp;M211&amp;"-"&amp;O211&amp;"-"&amp;P211&amp;"-"&amp;Q211</f>
        <v>GODDESS-VERITY-GD700204-SKIN-36-HH</v>
      </c>
      <c r="W211" s="1" t="s">
        <v>113</v>
      </c>
    </row>
    <row r="212" customFormat="false" ht="15" hidden="false" customHeight="false" outlineLevel="0" collapsed="false">
      <c r="B212" s="17" t="s">
        <v>505</v>
      </c>
      <c r="C212" s="17" t="s">
        <v>37</v>
      </c>
      <c r="D212" s="17" t="s">
        <v>431</v>
      </c>
      <c r="E212" s="29" t="s">
        <v>499</v>
      </c>
      <c r="F212" s="14" t="s">
        <v>500</v>
      </c>
      <c r="G212" s="3" t="s">
        <v>41</v>
      </c>
      <c r="H212" s="14" t="s">
        <v>501</v>
      </c>
      <c r="I212" s="14" t="s">
        <v>43</v>
      </c>
      <c r="J212" s="14"/>
      <c r="K212" s="4" t="s">
        <v>506</v>
      </c>
      <c r="M212" s="17" t="s">
        <v>503</v>
      </c>
      <c r="N212" s="17" t="s">
        <v>504</v>
      </c>
      <c r="O212" s="17" t="s">
        <v>465</v>
      </c>
      <c r="P212" s="17" t="s">
        <v>417</v>
      </c>
      <c r="Q212" s="17" t="s">
        <v>105</v>
      </c>
      <c r="R212" s="1" t="n">
        <v>3168</v>
      </c>
      <c r="S212" s="1" t="n">
        <v>5700</v>
      </c>
      <c r="T212" s="30" t="n">
        <v>1</v>
      </c>
      <c r="U212" s="1" t="str">
        <f aca="false">D212&amp;"-"&amp;E212&amp;"-"&amp;M212&amp;"-"&amp;O212&amp;"-"&amp;P212&amp;"-"&amp;Q212</f>
        <v>GODDESS-VERITY-GD700204-SKIN-40-G</v>
      </c>
      <c r="W212" s="1" t="s">
        <v>113</v>
      </c>
    </row>
    <row r="213" customFormat="false" ht="15" hidden="false" customHeight="false" outlineLevel="0" collapsed="false">
      <c r="B213" s="29" t="s">
        <v>507</v>
      </c>
      <c r="C213" s="17" t="s">
        <v>37</v>
      </c>
      <c r="D213" s="29" t="s">
        <v>431</v>
      </c>
      <c r="E213" s="29" t="s">
        <v>499</v>
      </c>
      <c r="F213" s="14" t="s">
        <v>500</v>
      </c>
      <c r="G213" s="3" t="s">
        <v>41</v>
      </c>
      <c r="H213" s="14" t="s">
        <v>501</v>
      </c>
      <c r="I213" s="14" t="s">
        <v>43</v>
      </c>
      <c r="J213" s="14"/>
      <c r="K213" s="4" t="s">
        <v>508</v>
      </c>
      <c r="M213" s="29" t="s">
        <v>503</v>
      </c>
      <c r="N213" s="29" t="s">
        <v>504</v>
      </c>
      <c r="O213" s="29" t="s">
        <v>465</v>
      </c>
      <c r="P213" s="29" t="s">
        <v>417</v>
      </c>
      <c r="Q213" s="29" t="s">
        <v>131</v>
      </c>
      <c r="R213" s="1" t="n">
        <v>2688</v>
      </c>
      <c r="S213" s="1" t="n">
        <v>5700</v>
      </c>
      <c r="T213" s="30" t="n">
        <v>1</v>
      </c>
      <c r="U213" s="1" t="str">
        <f aca="false">D213&amp;"-"&amp;E213&amp;"-"&amp;M213&amp;"-"&amp;O213&amp;"-"&amp;P213&amp;"-"&amp;Q213</f>
        <v>GODDESS-VERITY-GD700204-SKIN-40-HH</v>
      </c>
      <c r="W213" s="1" t="s">
        <v>113</v>
      </c>
    </row>
    <row r="214" customFormat="false" ht="15" hidden="false" customHeight="false" outlineLevel="0" collapsed="false">
      <c r="B214" s="17" t="s">
        <v>509</v>
      </c>
      <c r="C214" s="17" t="s">
        <v>37</v>
      </c>
      <c r="D214" s="17" t="s">
        <v>431</v>
      </c>
      <c r="E214" s="29" t="s">
        <v>499</v>
      </c>
      <c r="F214" s="14" t="s">
        <v>500</v>
      </c>
      <c r="G214" s="3" t="s">
        <v>41</v>
      </c>
      <c r="H214" s="14" t="s">
        <v>501</v>
      </c>
      <c r="I214" s="14" t="s">
        <v>43</v>
      </c>
      <c r="J214" s="14"/>
      <c r="K214" s="4" t="s">
        <v>510</v>
      </c>
      <c r="M214" s="17" t="s">
        <v>503</v>
      </c>
      <c r="N214" s="17" t="s">
        <v>504</v>
      </c>
      <c r="O214" s="17" t="s">
        <v>465</v>
      </c>
      <c r="P214" s="17" t="s">
        <v>440</v>
      </c>
      <c r="Q214" s="17" t="s">
        <v>143</v>
      </c>
      <c r="R214" s="1" t="n">
        <v>2688</v>
      </c>
      <c r="S214" s="1" t="n">
        <v>5700</v>
      </c>
      <c r="T214" s="23" t="n">
        <v>1</v>
      </c>
      <c r="U214" s="1" t="str">
        <f aca="false">D214&amp;"-"&amp;E214&amp;"-"&amp;M214&amp;"-"&amp;O214&amp;"-"&amp;P214&amp;"-"&amp;Q214</f>
        <v>GODDESS-VERITY-GD700204-SKIN-42-H</v>
      </c>
      <c r="W214" s="1" t="s">
        <v>113</v>
      </c>
    </row>
    <row r="215" customFormat="false" ht="15" hidden="false" customHeight="false" outlineLevel="0" collapsed="false">
      <c r="B215" s="29" t="s">
        <v>511</v>
      </c>
      <c r="C215" s="17" t="s">
        <v>37</v>
      </c>
      <c r="D215" s="29" t="s">
        <v>431</v>
      </c>
      <c r="E215" s="29" t="s">
        <v>499</v>
      </c>
      <c r="F215" s="14" t="s">
        <v>500</v>
      </c>
      <c r="G215" s="3" t="s">
        <v>41</v>
      </c>
      <c r="H215" s="14" t="s">
        <v>501</v>
      </c>
      <c r="I215" s="14" t="s">
        <v>43</v>
      </c>
      <c r="J215" s="14"/>
      <c r="K215" s="4" t="s">
        <v>512</v>
      </c>
      <c r="M215" s="29" t="s">
        <v>503</v>
      </c>
      <c r="N215" s="29" t="s">
        <v>504</v>
      </c>
      <c r="O215" s="29" t="s">
        <v>465</v>
      </c>
      <c r="P215" s="29" t="s">
        <v>449</v>
      </c>
      <c r="Q215" s="29" t="s">
        <v>105</v>
      </c>
      <c r="R215" s="1" t="n">
        <v>2688</v>
      </c>
      <c r="S215" s="1" t="n">
        <v>5700</v>
      </c>
      <c r="T215" s="30" t="n">
        <v>0</v>
      </c>
      <c r="U215" s="1" t="str">
        <f aca="false">D215&amp;"-"&amp;E215&amp;"-"&amp;M215&amp;"-"&amp;O215&amp;"-"&amp;P215&amp;"-"&amp;Q215</f>
        <v>GODDESS-VERITY-GD700204-SKIN-44-G</v>
      </c>
      <c r="W215" s="1" t="s">
        <v>113</v>
      </c>
    </row>
    <row r="216" customFormat="false" ht="15" hidden="false" customHeight="false" outlineLevel="0" collapsed="false">
      <c r="B216" s="17" t="s">
        <v>513</v>
      </c>
      <c r="C216" s="17" t="s">
        <v>37</v>
      </c>
      <c r="D216" s="17" t="s">
        <v>431</v>
      </c>
      <c r="E216" s="29" t="s">
        <v>499</v>
      </c>
      <c r="F216" s="14" t="s">
        <v>500</v>
      </c>
      <c r="G216" s="3" t="s">
        <v>41</v>
      </c>
      <c r="H216" s="14" t="s">
        <v>501</v>
      </c>
      <c r="I216" s="14" t="s">
        <v>43</v>
      </c>
      <c r="J216" s="14"/>
      <c r="K216" s="4" t="s">
        <v>514</v>
      </c>
      <c r="M216" s="17" t="s">
        <v>503</v>
      </c>
      <c r="N216" s="17" t="s">
        <v>504</v>
      </c>
      <c r="O216" s="29" t="s">
        <v>465</v>
      </c>
      <c r="P216" s="17" t="s">
        <v>515</v>
      </c>
      <c r="Q216" s="17" t="s">
        <v>62</v>
      </c>
      <c r="R216" s="1" t="n">
        <v>2688</v>
      </c>
      <c r="S216" s="1" t="n">
        <v>5700</v>
      </c>
      <c r="T216" s="30" t="n">
        <v>0</v>
      </c>
      <c r="U216" s="1" t="str">
        <f aca="false">D216&amp;"-"&amp;E216&amp;"-"&amp;M216&amp;"-"&amp;O216&amp;"-"&amp;P216&amp;"-"&amp;Q216</f>
        <v>GODDESS-VERITY-GD700204-SKIN-46-FF</v>
      </c>
      <c r="W216" s="1" t="s">
        <v>113</v>
      </c>
    </row>
    <row r="217" customFormat="false" ht="15" hidden="false" customHeight="false" outlineLevel="0" collapsed="false">
      <c r="B217" s="29" t="s">
        <v>516</v>
      </c>
      <c r="C217" s="17" t="s">
        <v>37</v>
      </c>
      <c r="D217" s="29" t="s">
        <v>431</v>
      </c>
      <c r="E217" s="29" t="s">
        <v>499</v>
      </c>
      <c r="F217" s="14" t="s">
        <v>500</v>
      </c>
      <c r="G217" s="3" t="s">
        <v>41</v>
      </c>
      <c r="H217" s="14" t="s">
        <v>501</v>
      </c>
      <c r="I217" s="14" t="s">
        <v>43</v>
      </c>
      <c r="J217" s="14"/>
      <c r="K217" s="4" t="s">
        <v>517</v>
      </c>
      <c r="M217" s="29" t="s">
        <v>503</v>
      </c>
      <c r="N217" s="29" t="s">
        <v>504</v>
      </c>
      <c r="O217" s="29" t="s">
        <v>465</v>
      </c>
      <c r="P217" s="29" t="s">
        <v>515</v>
      </c>
      <c r="Q217" s="29" t="s">
        <v>105</v>
      </c>
      <c r="R217" s="1" t="n">
        <v>2688</v>
      </c>
      <c r="S217" s="1" t="n">
        <v>5700</v>
      </c>
      <c r="T217" s="30" t="n">
        <v>1</v>
      </c>
      <c r="U217" s="1" t="str">
        <f aca="false">D217&amp;"-"&amp;E217&amp;"-"&amp;M217&amp;"-"&amp;O217&amp;"-"&amp;P217&amp;"-"&amp;Q217</f>
        <v>GODDESS-VERITY-GD700204-SKIN-46-G</v>
      </c>
      <c r="W217" s="1" t="s">
        <v>113</v>
      </c>
    </row>
    <row r="218" customFormat="false" ht="15" hidden="false" customHeight="false" outlineLevel="0" collapsed="false">
      <c r="B218" s="29" t="s">
        <v>518</v>
      </c>
      <c r="C218" s="17" t="s">
        <v>37</v>
      </c>
      <c r="D218" s="17" t="s">
        <v>431</v>
      </c>
      <c r="E218" s="29" t="s">
        <v>499</v>
      </c>
      <c r="F218" s="14" t="s">
        <v>500</v>
      </c>
      <c r="G218" s="3" t="s">
        <v>41</v>
      </c>
      <c r="H218" s="14" t="s">
        <v>501</v>
      </c>
      <c r="I218" s="14" t="s">
        <v>43</v>
      </c>
      <c r="J218" s="14"/>
      <c r="K218" s="4" t="s">
        <v>519</v>
      </c>
      <c r="M218" s="29" t="s">
        <v>503</v>
      </c>
      <c r="N218" s="29" t="s">
        <v>76</v>
      </c>
      <c r="O218" s="29" t="s">
        <v>465</v>
      </c>
      <c r="P218" s="29" t="s">
        <v>520</v>
      </c>
      <c r="Q218" s="29" t="s">
        <v>143</v>
      </c>
      <c r="R218" s="1" t="n">
        <v>3772</v>
      </c>
      <c r="S218" s="1" t="n">
        <v>5700</v>
      </c>
      <c r="T218" s="23" t="n">
        <v>0</v>
      </c>
      <c r="U218" s="1" t="str">
        <f aca="false">D218&amp;"-"&amp;E218&amp;"-"&amp;M218&amp;"-"&amp;O218&amp;"-"&amp;P218&amp;"-"&amp;Q218</f>
        <v>GODDESS-VERITY-GD700204-SKIN-48-H</v>
      </c>
      <c r="W218" s="1" t="s">
        <v>113</v>
      </c>
    </row>
    <row r="219" customFormat="false" ht="15" hidden="false" customHeight="false" outlineLevel="0" collapsed="false">
      <c r="B219" s="17" t="s">
        <v>521</v>
      </c>
      <c r="C219" s="17" t="s">
        <v>37</v>
      </c>
      <c r="D219" s="17" t="s">
        <v>431</v>
      </c>
      <c r="E219" s="29" t="s">
        <v>499</v>
      </c>
      <c r="F219" s="14" t="s">
        <v>500</v>
      </c>
      <c r="G219" s="3" t="s">
        <v>41</v>
      </c>
      <c r="H219" s="14" t="s">
        <v>501</v>
      </c>
      <c r="I219" s="14" t="s">
        <v>43</v>
      </c>
      <c r="J219" s="14"/>
      <c r="K219" s="4" t="s">
        <v>522</v>
      </c>
      <c r="M219" s="17" t="s">
        <v>503</v>
      </c>
      <c r="N219" s="17" t="s">
        <v>504</v>
      </c>
      <c r="O219" s="29" t="s">
        <v>465</v>
      </c>
      <c r="P219" s="17" t="s">
        <v>520</v>
      </c>
      <c r="Q219" s="17" t="s">
        <v>143</v>
      </c>
      <c r="R219" s="1" t="n">
        <v>2688</v>
      </c>
      <c r="S219" s="1" t="n">
        <v>5700</v>
      </c>
      <c r="T219" s="23" t="n">
        <v>0</v>
      </c>
      <c r="U219" s="1" t="str">
        <f aca="false">D219&amp;"-"&amp;E219&amp;"-"&amp;M219&amp;"-"&amp;O219&amp;"-"&amp;P219&amp;"-"&amp;Q219</f>
        <v>GODDESS-VERITY-GD700204-SKIN-48-H</v>
      </c>
      <c r="W219" s="1" t="s">
        <v>113</v>
      </c>
    </row>
    <row r="220" customFormat="false" ht="15" hidden="false" customHeight="false" outlineLevel="0" collapsed="false">
      <c r="B220" s="17" t="s">
        <v>523</v>
      </c>
      <c r="C220" s="17" t="s">
        <v>37</v>
      </c>
      <c r="D220" s="17" t="s">
        <v>431</v>
      </c>
      <c r="E220" s="29" t="s">
        <v>499</v>
      </c>
      <c r="F220" s="14" t="s">
        <v>500</v>
      </c>
      <c r="G220" s="3" t="s">
        <v>41</v>
      </c>
      <c r="H220" s="14" t="s">
        <v>501</v>
      </c>
      <c r="I220" s="14" t="s">
        <v>43</v>
      </c>
      <c r="J220" s="14"/>
      <c r="K220" s="4" t="s">
        <v>524</v>
      </c>
      <c r="M220" s="17" t="s">
        <v>503</v>
      </c>
      <c r="N220" s="17" t="s">
        <v>504</v>
      </c>
      <c r="O220" s="29" t="s">
        <v>465</v>
      </c>
      <c r="P220" s="17" t="s">
        <v>520</v>
      </c>
      <c r="Q220" s="17" t="s">
        <v>131</v>
      </c>
      <c r="R220" s="1" t="n">
        <v>2688</v>
      </c>
      <c r="S220" s="1" t="n">
        <v>5700</v>
      </c>
      <c r="T220" s="30" t="n">
        <v>1</v>
      </c>
      <c r="U220" s="1" t="str">
        <f aca="false">D220&amp;"-"&amp;E220&amp;"-"&amp;M220&amp;"-"&amp;O220&amp;"-"&amp;P220&amp;"-"&amp;Q220</f>
        <v>GODDESS-VERITY-GD700204-SKIN-48-HH</v>
      </c>
      <c r="W220" s="1" t="s">
        <v>113</v>
      </c>
    </row>
    <row r="221" customFormat="false" ht="15" hidden="false" customHeight="false" outlineLevel="0" collapsed="false">
      <c r="B221" s="29" t="s">
        <v>525</v>
      </c>
      <c r="C221" s="17" t="s">
        <v>37</v>
      </c>
      <c r="D221" s="17" t="s">
        <v>431</v>
      </c>
      <c r="E221" s="29" t="s">
        <v>499</v>
      </c>
      <c r="F221" s="14" t="s">
        <v>500</v>
      </c>
      <c r="G221" s="3" t="s">
        <v>41</v>
      </c>
      <c r="H221" s="14" t="s">
        <v>501</v>
      </c>
      <c r="I221" s="14" t="s">
        <v>43</v>
      </c>
      <c r="J221" s="14"/>
      <c r="K221" s="4" t="s">
        <v>526</v>
      </c>
      <c r="M221" s="29" t="s">
        <v>503</v>
      </c>
      <c r="N221" s="29" t="s">
        <v>527</v>
      </c>
      <c r="O221" s="29" t="s">
        <v>528</v>
      </c>
      <c r="P221" s="29" t="s">
        <v>134</v>
      </c>
      <c r="Q221" s="29" t="s">
        <v>131</v>
      </c>
      <c r="R221" s="1" t="n">
        <v>2688</v>
      </c>
      <c r="S221" s="1" t="n">
        <v>5700</v>
      </c>
      <c r="T221" s="23" t="n">
        <v>0</v>
      </c>
      <c r="U221" s="1" t="str">
        <f aca="false">D221&amp;"-"&amp;E221&amp;"-"&amp;M221&amp;"-"&amp;O221&amp;"-"&amp;P221&amp;"-"&amp;Q221</f>
        <v>GODDESS-VERITY-GD700204-RED-34-HH</v>
      </c>
      <c r="W221" s="1" t="s">
        <v>113</v>
      </c>
    </row>
    <row r="222" customFormat="false" ht="15" hidden="false" customHeight="false" outlineLevel="0" collapsed="false">
      <c r="B222" s="29" t="s">
        <v>529</v>
      </c>
      <c r="C222" s="17" t="s">
        <v>37</v>
      </c>
      <c r="D222" s="17" t="s">
        <v>431</v>
      </c>
      <c r="E222" s="29" t="s">
        <v>499</v>
      </c>
      <c r="F222" s="14" t="s">
        <v>500</v>
      </c>
      <c r="G222" s="3" t="s">
        <v>41</v>
      </c>
      <c r="H222" s="14" t="s">
        <v>501</v>
      </c>
      <c r="I222" s="14" t="s">
        <v>43</v>
      </c>
      <c r="J222" s="14"/>
      <c r="K222" s="4" t="s">
        <v>530</v>
      </c>
      <c r="M222" s="29" t="s">
        <v>503</v>
      </c>
      <c r="N222" s="29" t="s">
        <v>527</v>
      </c>
      <c r="O222" s="29" t="s">
        <v>528</v>
      </c>
      <c r="P222" s="29" t="s">
        <v>65</v>
      </c>
      <c r="Q222" s="29" t="s">
        <v>143</v>
      </c>
      <c r="R222" s="1" t="n">
        <v>2688</v>
      </c>
      <c r="S222" s="1" t="n">
        <v>5700</v>
      </c>
      <c r="T222" s="23" t="n">
        <v>0</v>
      </c>
      <c r="U222" s="1" t="str">
        <f aca="false">D222&amp;"-"&amp;E222&amp;"-"&amp;M222&amp;"-"&amp;O222&amp;"-"&amp;P222&amp;"-"&amp;Q222</f>
        <v>GODDESS-VERITY-GD700204-RED-36-H</v>
      </c>
      <c r="W222" s="1" t="s">
        <v>113</v>
      </c>
    </row>
    <row r="223" customFormat="false" ht="15" hidden="false" customHeight="false" outlineLevel="0" collapsed="false">
      <c r="B223" s="17" t="s">
        <v>531</v>
      </c>
      <c r="C223" s="17" t="s">
        <v>37</v>
      </c>
      <c r="D223" s="17" t="s">
        <v>431</v>
      </c>
      <c r="E223" s="29" t="s">
        <v>499</v>
      </c>
      <c r="F223" s="14" t="s">
        <v>500</v>
      </c>
      <c r="G223" s="3" t="s">
        <v>41</v>
      </c>
      <c r="H223" s="14" t="s">
        <v>501</v>
      </c>
      <c r="I223" s="14" t="s">
        <v>43</v>
      </c>
      <c r="J223" s="14"/>
      <c r="K223" s="4" t="s">
        <v>532</v>
      </c>
      <c r="M223" s="17" t="s">
        <v>503</v>
      </c>
      <c r="N223" s="17" t="s">
        <v>527</v>
      </c>
      <c r="O223" s="29" t="s">
        <v>528</v>
      </c>
      <c r="P223" s="17" t="s">
        <v>65</v>
      </c>
      <c r="Q223" s="17" t="s">
        <v>129</v>
      </c>
      <c r="R223" s="1" t="n">
        <v>2167.2</v>
      </c>
      <c r="S223" s="1" t="n">
        <v>5700</v>
      </c>
      <c r="T223" s="23" t="n">
        <v>1</v>
      </c>
      <c r="U223" s="1" t="str">
        <f aca="false">D223&amp;"-"&amp;E223&amp;"-"&amp;M223&amp;"-"&amp;O223&amp;"-"&amp;P223&amp;"-"&amp;Q223</f>
        <v>GODDESS-VERITY-GD700204-RED-36-GG</v>
      </c>
      <c r="W223" s="1" t="s">
        <v>113</v>
      </c>
    </row>
    <row r="224" customFormat="false" ht="15" hidden="false" customHeight="false" outlineLevel="0" collapsed="false">
      <c r="B224" s="17" t="s">
        <v>533</v>
      </c>
      <c r="C224" s="17" t="s">
        <v>37</v>
      </c>
      <c r="D224" s="17" t="s">
        <v>431</v>
      </c>
      <c r="E224" s="29" t="s">
        <v>499</v>
      </c>
      <c r="F224" s="14" t="s">
        <v>500</v>
      </c>
      <c r="G224" s="3" t="s">
        <v>41</v>
      </c>
      <c r="H224" s="14" t="s">
        <v>501</v>
      </c>
      <c r="I224" s="14" t="s">
        <v>43</v>
      </c>
      <c r="J224" s="14"/>
      <c r="K224" s="4" t="s">
        <v>534</v>
      </c>
      <c r="M224" s="17" t="s">
        <v>503</v>
      </c>
      <c r="N224" s="17" t="s">
        <v>527</v>
      </c>
      <c r="O224" s="29" t="s">
        <v>528</v>
      </c>
      <c r="P224" s="17" t="s">
        <v>154</v>
      </c>
      <c r="Q224" s="17" t="s">
        <v>129</v>
      </c>
      <c r="R224" s="1" t="n">
        <v>2688</v>
      </c>
      <c r="S224" s="1" t="n">
        <v>5700</v>
      </c>
      <c r="T224" s="30" t="n">
        <v>1</v>
      </c>
      <c r="U224" s="1" t="str">
        <f aca="false">D224&amp;"-"&amp;E224&amp;"-"&amp;M224&amp;"-"&amp;O224&amp;"-"&amp;P224&amp;"-"&amp;Q224</f>
        <v>GODDESS-VERITY-GD700204-RED-38-GG</v>
      </c>
      <c r="W224" s="1" t="s">
        <v>113</v>
      </c>
    </row>
    <row r="225" customFormat="false" ht="15" hidden="false" customHeight="false" outlineLevel="0" collapsed="false">
      <c r="B225" s="29" t="s">
        <v>535</v>
      </c>
      <c r="C225" s="17" t="s">
        <v>37</v>
      </c>
      <c r="D225" s="17" t="s">
        <v>431</v>
      </c>
      <c r="E225" s="29" t="s">
        <v>499</v>
      </c>
      <c r="F225" s="14" t="s">
        <v>500</v>
      </c>
      <c r="G225" s="3" t="s">
        <v>41</v>
      </c>
      <c r="H225" s="14" t="s">
        <v>501</v>
      </c>
      <c r="I225" s="14" t="s">
        <v>43</v>
      </c>
      <c r="J225" s="14"/>
      <c r="K225" s="4" t="s">
        <v>536</v>
      </c>
      <c r="M225" s="29" t="s">
        <v>503</v>
      </c>
      <c r="N225" s="29" t="s">
        <v>527</v>
      </c>
      <c r="O225" s="29" t="s">
        <v>528</v>
      </c>
      <c r="P225" s="29" t="s">
        <v>154</v>
      </c>
      <c r="Q225" s="29" t="s">
        <v>131</v>
      </c>
      <c r="R225" s="1" t="n">
        <v>2688</v>
      </c>
      <c r="S225" s="1" t="n">
        <v>5700</v>
      </c>
      <c r="T225" s="23" t="n">
        <v>0</v>
      </c>
      <c r="U225" s="1" t="str">
        <f aca="false">D225&amp;"-"&amp;E225&amp;"-"&amp;M225&amp;"-"&amp;O225&amp;"-"&amp;P225&amp;"-"&amp;Q225</f>
        <v>GODDESS-VERITY-GD700204-RED-38-HH</v>
      </c>
      <c r="W225" s="1" t="s">
        <v>113</v>
      </c>
    </row>
    <row r="226" customFormat="false" ht="15" hidden="false" customHeight="false" outlineLevel="0" collapsed="false">
      <c r="B226" s="17" t="s">
        <v>537</v>
      </c>
      <c r="C226" s="17" t="s">
        <v>37</v>
      </c>
      <c r="D226" s="17" t="s">
        <v>431</v>
      </c>
      <c r="E226" s="29" t="s">
        <v>499</v>
      </c>
      <c r="F226" s="14" t="s">
        <v>500</v>
      </c>
      <c r="G226" s="3" t="s">
        <v>41</v>
      </c>
      <c r="H226" s="14" t="s">
        <v>501</v>
      </c>
      <c r="I226" s="14" t="s">
        <v>43</v>
      </c>
      <c r="J226" s="14"/>
      <c r="K226" s="4" t="s">
        <v>538</v>
      </c>
      <c r="M226" s="17" t="s">
        <v>503</v>
      </c>
      <c r="N226" s="17" t="s">
        <v>527</v>
      </c>
      <c r="O226" s="29" t="s">
        <v>528</v>
      </c>
      <c r="P226" s="17" t="s">
        <v>417</v>
      </c>
      <c r="Q226" s="17" t="s">
        <v>105</v>
      </c>
      <c r="R226" s="1" t="n">
        <v>3168</v>
      </c>
      <c r="S226" s="1" t="n">
        <v>5700</v>
      </c>
      <c r="T226" s="23" t="n">
        <v>0</v>
      </c>
      <c r="U226" s="1" t="str">
        <f aca="false">D226&amp;"-"&amp;E226&amp;"-"&amp;M226&amp;"-"&amp;O226&amp;"-"&amp;P226&amp;"-"&amp;Q226</f>
        <v>GODDESS-VERITY-GD700204-RED-40-G</v>
      </c>
      <c r="W226" s="1" t="s">
        <v>113</v>
      </c>
    </row>
    <row r="227" customFormat="false" ht="15" hidden="false" customHeight="false" outlineLevel="0" collapsed="false">
      <c r="B227" s="29" t="s">
        <v>539</v>
      </c>
      <c r="C227" s="17" t="s">
        <v>37</v>
      </c>
      <c r="D227" s="17" t="s">
        <v>431</v>
      </c>
      <c r="E227" s="29" t="s">
        <v>499</v>
      </c>
      <c r="F227" s="14" t="s">
        <v>500</v>
      </c>
      <c r="G227" s="3" t="s">
        <v>41</v>
      </c>
      <c r="H227" s="14" t="s">
        <v>501</v>
      </c>
      <c r="I227" s="14" t="s">
        <v>43</v>
      </c>
      <c r="J227" s="14"/>
      <c r="K227" s="4" t="s">
        <v>540</v>
      </c>
      <c r="M227" s="29" t="s">
        <v>503</v>
      </c>
      <c r="N227" s="29" t="s">
        <v>527</v>
      </c>
      <c r="O227" s="29" t="s">
        <v>528</v>
      </c>
      <c r="P227" s="29" t="s">
        <v>417</v>
      </c>
      <c r="Q227" s="29" t="s">
        <v>143</v>
      </c>
      <c r="R227" s="1" t="n">
        <v>2688</v>
      </c>
      <c r="S227" s="1" t="n">
        <v>5700</v>
      </c>
      <c r="T227" s="23" t="n">
        <v>0</v>
      </c>
      <c r="U227" s="1" t="str">
        <f aca="false">D227&amp;"-"&amp;E227&amp;"-"&amp;M227&amp;"-"&amp;O227&amp;"-"&amp;P227&amp;"-"&amp;Q227</f>
        <v>GODDESS-VERITY-GD700204-RED-40-H</v>
      </c>
      <c r="W227" s="1" t="s">
        <v>113</v>
      </c>
    </row>
    <row r="228" customFormat="false" ht="15" hidden="false" customHeight="false" outlineLevel="0" collapsed="false">
      <c r="B228" s="29" t="s">
        <v>541</v>
      </c>
      <c r="C228" s="17" t="s">
        <v>37</v>
      </c>
      <c r="D228" s="17" t="s">
        <v>431</v>
      </c>
      <c r="E228" s="29" t="s">
        <v>499</v>
      </c>
      <c r="F228" s="14" t="s">
        <v>500</v>
      </c>
      <c r="G228" s="3" t="s">
        <v>41</v>
      </c>
      <c r="H228" s="14" t="s">
        <v>501</v>
      </c>
      <c r="I228" s="14" t="s">
        <v>43</v>
      </c>
      <c r="J228" s="14"/>
      <c r="K228" s="4" t="s">
        <v>542</v>
      </c>
      <c r="M228" s="29" t="s">
        <v>503</v>
      </c>
      <c r="N228" s="29" t="s">
        <v>527</v>
      </c>
      <c r="O228" s="29" t="s">
        <v>528</v>
      </c>
      <c r="P228" s="29" t="s">
        <v>520</v>
      </c>
      <c r="Q228" s="29" t="s">
        <v>143</v>
      </c>
      <c r="R228" s="1" t="n">
        <v>2688</v>
      </c>
      <c r="S228" s="1" t="n">
        <v>5700</v>
      </c>
      <c r="T228" s="23" t="n">
        <v>0</v>
      </c>
      <c r="U228" s="1" t="str">
        <f aca="false">D228&amp;"-"&amp;E228&amp;"-"&amp;M228&amp;"-"&amp;O228&amp;"-"&amp;P228&amp;"-"&amp;Q228</f>
        <v>GODDESS-VERITY-GD700204-RED-48-H</v>
      </c>
      <c r="W228" s="1" t="s">
        <v>113</v>
      </c>
    </row>
    <row r="229" customFormat="false" ht="15" hidden="false" customHeight="false" outlineLevel="0" collapsed="false">
      <c r="B229" s="29" t="s">
        <v>543</v>
      </c>
      <c r="C229" s="17" t="s">
        <v>37</v>
      </c>
      <c r="D229" s="29" t="s">
        <v>431</v>
      </c>
      <c r="E229" s="29" t="s">
        <v>499</v>
      </c>
      <c r="F229" s="14" t="s">
        <v>500</v>
      </c>
      <c r="G229" s="3" t="s">
        <v>41</v>
      </c>
      <c r="H229" s="14" t="s">
        <v>501</v>
      </c>
      <c r="I229" s="14" t="s">
        <v>43</v>
      </c>
      <c r="J229" s="14"/>
      <c r="K229" s="4" t="s">
        <v>544</v>
      </c>
      <c r="M229" s="29" t="s">
        <v>503</v>
      </c>
      <c r="N229" s="29" t="s">
        <v>527</v>
      </c>
      <c r="O229" s="29" t="s">
        <v>528</v>
      </c>
      <c r="P229" s="29" t="s">
        <v>154</v>
      </c>
      <c r="Q229" s="29" t="s">
        <v>143</v>
      </c>
      <c r="R229" s="1" t="n">
        <v>2688</v>
      </c>
      <c r="S229" s="1" t="n">
        <v>5700</v>
      </c>
      <c r="T229" s="23" t="n">
        <v>0</v>
      </c>
      <c r="U229" s="1" t="str">
        <f aca="false">D229&amp;"-"&amp;E229&amp;"-"&amp;M229&amp;"-"&amp;O229&amp;"-"&amp;P229&amp;"-"&amp;Q229</f>
        <v>GODDESS-VERITY-GD700204-RED-38-H</v>
      </c>
      <c r="W229" s="1" t="s">
        <v>113</v>
      </c>
    </row>
    <row r="230" customFormat="false" ht="15" hidden="false" customHeight="false" outlineLevel="0" collapsed="false">
      <c r="B230" s="17" t="s">
        <v>545</v>
      </c>
      <c r="C230" s="17" t="s">
        <v>37</v>
      </c>
      <c r="D230" s="29" t="s">
        <v>431</v>
      </c>
      <c r="E230" s="29" t="s">
        <v>499</v>
      </c>
      <c r="F230" s="14" t="s">
        <v>500</v>
      </c>
      <c r="G230" s="3" t="s">
        <v>41</v>
      </c>
      <c r="H230" s="14" t="s">
        <v>501</v>
      </c>
      <c r="I230" s="14" t="s">
        <v>43</v>
      </c>
      <c r="J230" s="14"/>
      <c r="K230" s="4" t="s">
        <v>546</v>
      </c>
      <c r="M230" s="17" t="s">
        <v>547</v>
      </c>
      <c r="N230" s="17" t="s">
        <v>527</v>
      </c>
      <c r="O230" s="29" t="s">
        <v>528</v>
      </c>
      <c r="P230" s="17" t="s">
        <v>154</v>
      </c>
      <c r="Q230" s="17" t="s">
        <v>131</v>
      </c>
      <c r="R230" s="1" t="n">
        <v>2772</v>
      </c>
      <c r="S230" s="1" t="n">
        <v>5700</v>
      </c>
      <c r="T230" s="23" t="n">
        <v>0</v>
      </c>
      <c r="U230" s="1" t="str">
        <f aca="false">D230&amp;"-"&amp;E230&amp;"-"&amp;M230&amp;"-"&amp;O230&amp;"-"&amp;P230&amp;"-"&amp;Q230</f>
        <v>GODDESS-VERITY-GD700218-RED-38-HH</v>
      </c>
      <c r="W230" s="1" t="s">
        <v>113</v>
      </c>
    </row>
    <row r="231" customFormat="false" ht="15" hidden="false" customHeight="false" outlineLevel="0" collapsed="false">
      <c r="B231" s="17" t="s">
        <v>548</v>
      </c>
      <c r="C231" s="17" t="s">
        <v>37</v>
      </c>
      <c r="D231" s="17" t="s">
        <v>431</v>
      </c>
      <c r="E231" s="29" t="s">
        <v>499</v>
      </c>
      <c r="F231" s="14" t="s">
        <v>500</v>
      </c>
      <c r="G231" s="3" t="s">
        <v>41</v>
      </c>
      <c r="H231" s="14" t="s">
        <v>501</v>
      </c>
      <c r="I231" s="14" t="s">
        <v>43</v>
      </c>
      <c r="J231" s="14"/>
      <c r="K231" s="19" t="s">
        <v>549</v>
      </c>
      <c r="M231" s="17" t="s">
        <v>547</v>
      </c>
      <c r="N231" s="17" t="s">
        <v>504</v>
      </c>
      <c r="O231" s="17" t="s">
        <v>465</v>
      </c>
      <c r="P231" s="17" t="s">
        <v>134</v>
      </c>
      <c r="Q231" s="17" t="s">
        <v>143</v>
      </c>
      <c r="R231" s="1" t="n">
        <v>2049.6</v>
      </c>
      <c r="S231" s="1" t="n">
        <v>5500</v>
      </c>
      <c r="T231" s="30" t="n">
        <v>1</v>
      </c>
      <c r="U231" s="1" t="str">
        <f aca="false">D231&amp;"-"&amp;E231&amp;"-"&amp;M231&amp;"-"&amp;O231&amp;"-"&amp;P231&amp;"-"&amp;Q231</f>
        <v>GODDESS-VERITY-GD700218-SKIN-34-H</v>
      </c>
      <c r="W231" s="1" t="s">
        <v>113</v>
      </c>
    </row>
    <row r="232" customFormat="false" ht="15" hidden="false" customHeight="false" outlineLevel="0" collapsed="false">
      <c r="B232" s="1" t="s">
        <v>550</v>
      </c>
      <c r="C232" s="17" t="s">
        <v>37</v>
      </c>
      <c r="D232" s="17" t="s">
        <v>431</v>
      </c>
      <c r="E232" s="29" t="s">
        <v>499</v>
      </c>
      <c r="F232" s="14" t="s">
        <v>500</v>
      </c>
      <c r="G232" s="3" t="s">
        <v>41</v>
      </c>
      <c r="H232" s="14" t="s">
        <v>501</v>
      </c>
      <c r="I232" s="14" t="s">
        <v>43</v>
      </c>
      <c r="J232" s="14"/>
      <c r="K232" s="19" t="s">
        <v>549</v>
      </c>
      <c r="M232" s="17" t="s">
        <v>547</v>
      </c>
      <c r="N232" s="29" t="s">
        <v>76</v>
      </c>
      <c r="O232" s="1" t="s">
        <v>77</v>
      </c>
      <c r="P232" s="17" t="s">
        <v>65</v>
      </c>
      <c r="Q232" s="17" t="s">
        <v>129</v>
      </c>
      <c r="R232" s="1" t="n">
        <v>2049.6</v>
      </c>
      <c r="S232" s="1" t="n">
        <v>5500</v>
      </c>
      <c r="T232" s="30" t="n">
        <v>1</v>
      </c>
      <c r="U232" s="1" t="str">
        <f aca="false">D232&amp;"-"&amp;E232&amp;"-"&amp;M232&amp;"-"&amp;O232&amp;"-"&amp;P232&amp;"-"&amp;Q232</f>
        <v>GODDESS-VERITY-GD700218-BLACK-36-GG</v>
      </c>
      <c r="W232" s="1" t="s">
        <v>113</v>
      </c>
    </row>
    <row r="233" customFormat="false" ht="15" hidden="false" customHeight="false" outlineLevel="0" collapsed="false">
      <c r="B233" s="17" t="s">
        <v>551</v>
      </c>
      <c r="C233" s="17" t="s">
        <v>37</v>
      </c>
      <c r="D233" s="17" t="s">
        <v>431</v>
      </c>
      <c r="E233" s="29" t="s">
        <v>499</v>
      </c>
      <c r="F233" s="14" t="s">
        <v>500</v>
      </c>
      <c r="G233" s="3" t="s">
        <v>41</v>
      </c>
      <c r="H233" s="14" t="s">
        <v>501</v>
      </c>
      <c r="I233" s="14" t="s">
        <v>43</v>
      </c>
      <c r="J233" s="14"/>
      <c r="K233" s="19" t="s">
        <v>552</v>
      </c>
      <c r="M233" s="17" t="s">
        <v>547</v>
      </c>
      <c r="N233" s="17" t="s">
        <v>76</v>
      </c>
      <c r="O233" s="1" t="s">
        <v>77</v>
      </c>
      <c r="P233" s="17" t="s">
        <v>65</v>
      </c>
      <c r="Q233" s="17" t="s">
        <v>143</v>
      </c>
      <c r="R233" s="1" t="n">
        <v>2772</v>
      </c>
      <c r="S233" s="1" t="n">
        <v>5500</v>
      </c>
      <c r="T233" s="23" t="n">
        <v>0</v>
      </c>
      <c r="U233" s="1" t="str">
        <f aca="false">D233&amp;"-"&amp;E233&amp;"-"&amp;M233&amp;"-"&amp;O233&amp;"-"&amp;P233&amp;"-"&amp;Q233</f>
        <v>GODDESS-VERITY-GD700218-BLACK-36-H</v>
      </c>
      <c r="W233" s="1" t="s">
        <v>113</v>
      </c>
    </row>
    <row r="234" customFormat="false" ht="15" hidden="false" customHeight="false" outlineLevel="0" collapsed="false">
      <c r="B234" s="17" t="s">
        <v>551</v>
      </c>
      <c r="C234" s="17" t="s">
        <v>37</v>
      </c>
      <c r="D234" s="17" t="s">
        <v>431</v>
      </c>
      <c r="E234" s="29" t="s">
        <v>499</v>
      </c>
      <c r="F234" s="14" t="s">
        <v>500</v>
      </c>
      <c r="G234" s="3" t="s">
        <v>41</v>
      </c>
      <c r="H234" s="14" t="s">
        <v>501</v>
      </c>
      <c r="I234" s="14" t="s">
        <v>43</v>
      </c>
      <c r="J234" s="14"/>
      <c r="K234" s="19" t="s">
        <v>553</v>
      </c>
      <c r="M234" s="17" t="s">
        <v>547</v>
      </c>
      <c r="N234" s="17" t="s">
        <v>504</v>
      </c>
      <c r="O234" s="17" t="s">
        <v>465</v>
      </c>
      <c r="P234" s="17" t="s">
        <v>65</v>
      </c>
      <c r="Q234" s="17" t="s">
        <v>143</v>
      </c>
      <c r="R234" s="1" t="n">
        <v>2772</v>
      </c>
      <c r="S234" s="1" t="n">
        <v>5500</v>
      </c>
      <c r="T234" s="30" t="n">
        <v>1</v>
      </c>
      <c r="U234" s="1" t="str">
        <f aca="false">D234&amp;"-"&amp;E234&amp;"-"&amp;M234&amp;"-"&amp;O234&amp;"-"&amp;P234&amp;"-"&amp;Q234</f>
        <v>GODDESS-VERITY-GD700218-SKIN-36-H</v>
      </c>
      <c r="W234" s="1" t="s">
        <v>113</v>
      </c>
    </row>
    <row r="235" customFormat="false" ht="15" hidden="false" customHeight="false" outlineLevel="0" collapsed="false">
      <c r="B235" s="17" t="s">
        <v>554</v>
      </c>
      <c r="C235" s="17" t="s">
        <v>37</v>
      </c>
      <c r="D235" s="17" t="s">
        <v>431</v>
      </c>
      <c r="E235" s="29" t="s">
        <v>499</v>
      </c>
      <c r="F235" s="14" t="s">
        <v>500</v>
      </c>
      <c r="G235" s="3" t="s">
        <v>41</v>
      </c>
      <c r="H235" s="14" t="s">
        <v>501</v>
      </c>
      <c r="I235" s="14" t="s">
        <v>43</v>
      </c>
      <c r="J235" s="14"/>
      <c r="K235" s="19" t="s">
        <v>555</v>
      </c>
      <c r="M235" s="17" t="s">
        <v>547</v>
      </c>
      <c r="N235" s="17" t="s">
        <v>76</v>
      </c>
      <c r="O235" s="1" t="s">
        <v>77</v>
      </c>
      <c r="P235" s="17" t="s">
        <v>65</v>
      </c>
      <c r="Q235" s="17" t="s">
        <v>131</v>
      </c>
      <c r="R235" s="1" t="n">
        <v>2772</v>
      </c>
      <c r="S235" s="1" t="n">
        <v>5500</v>
      </c>
      <c r="T235" s="30" t="n">
        <v>1</v>
      </c>
      <c r="U235" s="1" t="str">
        <f aca="false">D235&amp;"-"&amp;E235&amp;"-"&amp;M235&amp;"-"&amp;O235&amp;"-"&amp;P235&amp;"-"&amp;Q235</f>
        <v>GODDESS-VERITY-GD700218-BLACK-36-HH</v>
      </c>
      <c r="W235" s="1" t="s">
        <v>113</v>
      </c>
    </row>
    <row r="236" customFormat="false" ht="15" hidden="false" customHeight="false" outlineLevel="0" collapsed="false">
      <c r="B236" s="17" t="s">
        <v>556</v>
      </c>
      <c r="C236" s="17" t="s">
        <v>37</v>
      </c>
      <c r="D236" s="17" t="s">
        <v>431</v>
      </c>
      <c r="E236" s="29" t="s">
        <v>499</v>
      </c>
      <c r="F236" s="14" t="s">
        <v>500</v>
      </c>
      <c r="G236" s="3" t="s">
        <v>41</v>
      </c>
      <c r="H236" s="14" t="s">
        <v>501</v>
      </c>
      <c r="I236" s="14" t="s">
        <v>43</v>
      </c>
      <c r="J236" s="14"/>
      <c r="K236" s="19" t="s">
        <v>557</v>
      </c>
      <c r="M236" s="17" t="s">
        <v>547</v>
      </c>
      <c r="N236" s="17" t="s">
        <v>504</v>
      </c>
      <c r="O236" s="17" t="s">
        <v>465</v>
      </c>
      <c r="P236" s="17" t="s">
        <v>65</v>
      </c>
      <c r="Q236" s="17" t="s">
        <v>131</v>
      </c>
      <c r="R236" s="1" t="n">
        <v>2772</v>
      </c>
      <c r="S236" s="1" t="n">
        <v>5500</v>
      </c>
      <c r="T236" s="30" t="n">
        <v>1</v>
      </c>
      <c r="U236" s="1" t="str">
        <f aca="false">D236&amp;"-"&amp;E236&amp;"-"&amp;M236&amp;"-"&amp;O236&amp;"-"&amp;P236&amp;"-"&amp;Q236</f>
        <v>GODDESS-VERITY-GD700218-SKIN-36-HH</v>
      </c>
      <c r="W236" s="1" t="s">
        <v>113</v>
      </c>
    </row>
    <row r="237" customFormat="false" ht="15" hidden="false" customHeight="false" outlineLevel="0" collapsed="false">
      <c r="B237" s="17" t="s">
        <v>543</v>
      </c>
      <c r="C237" s="17" t="s">
        <v>37</v>
      </c>
      <c r="D237" s="17" t="s">
        <v>431</v>
      </c>
      <c r="E237" s="29" t="s">
        <v>499</v>
      </c>
      <c r="F237" s="14" t="s">
        <v>500</v>
      </c>
      <c r="G237" s="3" t="s">
        <v>41</v>
      </c>
      <c r="H237" s="14" t="s">
        <v>501</v>
      </c>
      <c r="I237" s="14" t="s">
        <v>43</v>
      </c>
      <c r="J237" s="14"/>
      <c r="K237" s="19" t="s">
        <v>558</v>
      </c>
      <c r="M237" s="17" t="s">
        <v>547</v>
      </c>
      <c r="N237" s="17" t="s">
        <v>527</v>
      </c>
      <c r="O237" s="29" t="s">
        <v>528</v>
      </c>
      <c r="P237" s="17" t="s">
        <v>154</v>
      </c>
      <c r="Q237" s="17" t="s">
        <v>143</v>
      </c>
      <c r="R237" s="1" t="n">
        <v>2772</v>
      </c>
      <c r="S237" s="1" t="n">
        <v>5500</v>
      </c>
      <c r="T237" s="30" t="n">
        <v>1</v>
      </c>
      <c r="U237" s="1" t="str">
        <f aca="false">D237&amp;"-"&amp;E237&amp;"-"&amp;M237&amp;"-"&amp;O237&amp;"-"&amp;P237&amp;"-"&amp;Q237</f>
        <v>GODDESS-VERITY-GD700218-RED-38-H</v>
      </c>
      <c r="W237" s="1" t="s">
        <v>113</v>
      </c>
    </row>
    <row r="238" customFormat="false" ht="15" hidden="false" customHeight="false" outlineLevel="0" collapsed="false">
      <c r="B238" s="17" t="s">
        <v>559</v>
      </c>
      <c r="C238" s="17" t="s">
        <v>37</v>
      </c>
      <c r="D238" s="17" t="s">
        <v>431</v>
      </c>
      <c r="E238" s="29" t="s">
        <v>499</v>
      </c>
      <c r="F238" s="14" t="s">
        <v>500</v>
      </c>
      <c r="G238" s="3" t="s">
        <v>41</v>
      </c>
      <c r="H238" s="14" t="s">
        <v>501</v>
      </c>
      <c r="I238" s="14" t="s">
        <v>43</v>
      </c>
      <c r="J238" s="14"/>
      <c r="K238" s="19" t="s">
        <v>560</v>
      </c>
      <c r="M238" s="17" t="s">
        <v>547</v>
      </c>
      <c r="N238" s="17" t="s">
        <v>504</v>
      </c>
      <c r="O238" s="17" t="s">
        <v>465</v>
      </c>
      <c r="P238" s="17" t="s">
        <v>154</v>
      </c>
      <c r="Q238" s="17" t="s">
        <v>143</v>
      </c>
      <c r="R238" s="1" t="n">
        <v>2772</v>
      </c>
      <c r="S238" s="1" t="n">
        <v>5500</v>
      </c>
      <c r="T238" s="30" t="n">
        <v>1</v>
      </c>
      <c r="U238" s="1" t="str">
        <f aca="false">D238&amp;"-"&amp;E238&amp;"-"&amp;M238&amp;"-"&amp;O238&amp;"-"&amp;P238&amp;"-"&amp;Q238</f>
        <v>GODDESS-VERITY-GD700218-SKIN-38-H</v>
      </c>
      <c r="W238" s="1" t="s">
        <v>113</v>
      </c>
    </row>
    <row r="239" customFormat="false" ht="15" hidden="false" customHeight="false" outlineLevel="0" collapsed="false">
      <c r="B239" s="17" t="s">
        <v>561</v>
      </c>
      <c r="C239" s="17" t="s">
        <v>37</v>
      </c>
      <c r="D239" s="17" t="s">
        <v>431</v>
      </c>
      <c r="E239" s="29" t="s">
        <v>499</v>
      </c>
      <c r="F239" s="14" t="s">
        <v>500</v>
      </c>
      <c r="G239" s="3" t="s">
        <v>41</v>
      </c>
      <c r="H239" s="14" t="s">
        <v>501</v>
      </c>
      <c r="I239" s="14" t="s">
        <v>43</v>
      </c>
      <c r="J239" s="14"/>
      <c r="K239" s="19" t="s">
        <v>562</v>
      </c>
      <c r="M239" s="17" t="s">
        <v>547</v>
      </c>
      <c r="N239" s="17" t="s">
        <v>76</v>
      </c>
      <c r="O239" s="1" t="s">
        <v>77</v>
      </c>
      <c r="P239" s="17" t="s">
        <v>154</v>
      </c>
      <c r="Q239" s="17" t="s">
        <v>131</v>
      </c>
      <c r="R239" s="1" t="n">
        <v>2772</v>
      </c>
      <c r="S239" s="1" t="n">
        <v>5500</v>
      </c>
      <c r="T239" s="30" t="n">
        <v>0</v>
      </c>
      <c r="U239" s="1" t="str">
        <f aca="false">D239&amp;"-"&amp;E239&amp;"-"&amp;M239&amp;"-"&amp;O239&amp;"-"&amp;P239&amp;"-"&amp;Q239</f>
        <v>GODDESS-VERITY-GD700218-BLACK-38-HH</v>
      </c>
      <c r="W239" s="1" t="s">
        <v>113</v>
      </c>
    </row>
    <row r="240" customFormat="false" ht="15" hidden="false" customHeight="false" outlineLevel="0" collapsed="false">
      <c r="B240" s="17" t="s">
        <v>563</v>
      </c>
      <c r="C240" s="17" t="s">
        <v>37</v>
      </c>
      <c r="D240" s="17" t="s">
        <v>431</v>
      </c>
      <c r="E240" s="29" t="s">
        <v>499</v>
      </c>
      <c r="F240" s="14" t="s">
        <v>500</v>
      </c>
      <c r="G240" s="3" t="s">
        <v>41</v>
      </c>
      <c r="H240" s="14" t="s">
        <v>501</v>
      </c>
      <c r="I240" s="14" t="s">
        <v>43</v>
      </c>
      <c r="J240" s="14"/>
      <c r="K240" s="19" t="s">
        <v>503</v>
      </c>
      <c r="M240" s="17" t="s">
        <v>503</v>
      </c>
      <c r="N240" s="17" t="s">
        <v>76</v>
      </c>
      <c r="O240" s="1" t="s">
        <v>77</v>
      </c>
      <c r="P240" s="17" t="s">
        <v>417</v>
      </c>
      <c r="Q240" s="17" t="s">
        <v>105</v>
      </c>
      <c r="R240" s="1" t="n">
        <v>3168</v>
      </c>
      <c r="S240" s="1" t="n">
        <v>5500</v>
      </c>
      <c r="T240" s="30" t="n">
        <v>1</v>
      </c>
      <c r="U240" s="1" t="str">
        <f aca="false">D240&amp;"-"&amp;E240&amp;"-"&amp;M240&amp;"-"&amp;O240&amp;"-"&amp;P240&amp;"-"&amp;Q240</f>
        <v>GODDESS-VERITY-GD700204-BLACK-40-G</v>
      </c>
      <c r="W240" s="1" t="s">
        <v>113</v>
      </c>
    </row>
    <row r="241" customFormat="false" ht="15" hidden="false" customHeight="false" outlineLevel="0" collapsed="false">
      <c r="B241" s="17" t="s">
        <v>564</v>
      </c>
      <c r="C241" s="17" t="s">
        <v>37</v>
      </c>
      <c r="D241" s="17" t="s">
        <v>431</v>
      </c>
      <c r="E241" s="29" t="s">
        <v>499</v>
      </c>
      <c r="F241" s="14" t="s">
        <v>500</v>
      </c>
      <c r="G241" s="3" t="s">
        <v>41</v>
      </c>
      <c r="H241" s="14" t="s">
        <v>501</v>
      </c>
      <c r="I241" s="14" t="s">
        <v>43</v>
      </c>
      <c r="J241" s="14"/>
      <c r="K241" s="19" t="s">
        <v>503</v>
      </c>
      <c r="M241" s="17" t="s">
        <v>503</v>
      </c>
      <c r="N241" s="17" t="s">
        <v>504</v>
      </c>
      <c r="O241" s="17" t="s">
        <v>465</v>
      </c>
      <c r="P241" s="17" t="s">
        <v>417</v>
      </c>
      <c r="Q241" s="17" t="s">
        <v>105</v>
      </c>
      <c r="R241" s="1" t="n">
        <v>3168</v>
      </c>
      <c r="S241" s="1" t="n">
        <v>5500</v>
      </c>
      <c r="T241" s="30" t="n">
        <v>2</v>
      </c>
      <c r="U241" s="1" t="str">
        <f aca="false">D241&amp;"-"&amp;E241&amp;"-"&amp;M241&amp;"-"&amp;O241&amp;"-"&amp;P241&amp;"-"&amp;Q241</f>
        <v>GODDESS-VERITY-GD700204-SKIN-40-G</v>
      </c>
      <c r="W241" s="1" t="s">
        <v>113</v>
      </c>
    </row>
    <row r="242" customFormat="false" ht="15" hidden="false" customHeight="false" outlineLevel="0" collapsed="false">
      <c r="B242" s="17" t="s">
        <v>565</v>
      </c>
      <c r="C242" s="17" t="s">
        <v>37</v>
      </c>
      <c r="D242" s="17" t="s">
        <v>431</v>
      </c>
      <c r="E242" s="29" t="s">
        <v>499</v>
      </c>
      <c r="F242" s="14" t="s">
        <v>500</v>
      </c>
      <c r="G242" s="3" t="s">
        <v>41</v>
      </c>
      <c r="H242" s="14" t="s">
        <v>501</v>
      </c>
      <c r="I242" s="14" t="s">
        <v>43</v>
      </c>
      <c r="J242" s="14"/>
      <c r="K242" s="19" t="s">
        <v>503</v>
      </c>
      <c r="M242" s="17" t="s">
        <v>503</v>
      </c>
      <c r="N242" s="17" t="s">
        <v>504</v>
      </c>
      <c r="O242" s="17" t="s">
        <v>465</v>
      </c>
      <c r="P242" s="17" t="s">
        <v>417</v>
      </c>
      <c r="Q242" s="17" t="s">
        <v>143</v>
      </c>
      <c r="R242" s="1" t="n">
        <v>3168</v>
      </c>
      <c r="S242" s="1" t="n">
        <v>5500</v>
      </c>
      <c r="T242" s="30" t="n">
        <v>2</v>
      </c>
      <c r="U242" s="1" t="str">
        <f aca="false">D242&amp;"-"&amp;E242&amp;"-"&amp;M242&amp;"-"&amp;O242&amp;"-"&amp;P242&amp;"-"&amp;Q242</f>
        <v>GODDESS-VERITY-GD700204-SKIN-40-H</v>
      </c>
      <c r="W242" s="1" t="s">
        <v>113</v>
      </c>
    </row>
    <row r="243" customFormat="false" ht="15" hidden="false" customHeight="false" outlineLevel="0" collapsed="false">
      <c r="B243" s="17" t="s">
        <v>566</v>
      </c>
      <c r="C243" s="17" t="s">
        <v>37</v>
      </c>
      <c r="D243" s="17" t="s">
        <v>431</v>
      </c>
      <c r="E243" s="29" t="s">
        <v>499</v>
      </c>
      <c r="F243" s="14" t="s">
        <v>500</v>
      </c>
      <c r="G243" s="3" t="s">
        <v>41</v>
      </c>
      <c r="H243" s="14" t="s">
        <v>501</v>
      </c>
      <c r="I243" s="14" t="s">
        <v>43</v>
      </c>
      <c r="J243" s="14"/>
      <c r="K243" s="19" t="s">
        <v>503</v>
      </c>
      <c r="M243" s="17" t="s">
        <v>503</v>
      </c>
      <c r="N243" s="17" t="s">
        <v>504</v>
      </c>
      <c r="O243" s="17" t="s">
        <v>465</v>
      </c>
      <c r="P243" s="17" t="s">
        <v>417</v>
      </c>
      <c r="Q243" s="17" t="s">
        <v>238</v>
      </c>
      <c r="R243" s="1" t="n">
        <v>3168</v>
      </c>
      <c r="S243" s="1" t="n">
        <v>5500</v>
      </c>
      <c r="T243" s="30" t="n">
        <v>1</v>
      </c>
      <c r="U243" s="1" t="str">
        <f aca="false">D243&amp;"-"&amp;E243&amp;"-"&amp;M243&amp;"-"&amp;O243&amp;"-"&amp;P243&amp;"-"&amp;Q243</f>
        <v>GODDESS-VERITY-GD700204-SKIN-40-J</v>
      </c>
      <c r="W243" s="1" t="s">
        <v>113</v>
      </c>
    </row>
    <row r="244" customFormat="false" ht="15" hidden="false" customHeight="false" outlineLevel="0" collapsed="false">
      <c r="B244" s="17" t="s">
        <v>567</v>
      </c>
      <c r="C244" s="17" t="s">
        <v>37</v>
      </c>
      <c r="D244" s="17" t="s">
        <v>431</v>
      </c>
      <c r="E244" s="29" t="s">
        <v>499</v>
      </c>
      <c r="F244" s="14" t="s">
        <v>500</v>
      </c>
      <c r="G244" s="3" t="s">
        <v>41</v>
      </c>
      <c r="H244" s="14" t="s">
        <v>501</v>
      </c>
      <c r="I244" s="14" t="s">
        <v>43</v>
      </c>
      <c r="J244" s="14"/>
      <c r="K244" s="19" t="s">
        <v>503</v>
      </c>
      <c r="M244" s="17" t="s">
        <v>503</v>
      </c>
      <c r="N244" s="17" t="s">
        <v>527</v>
      </c>
      <c r="O244" s="29" t="s">
        <v>528</v>
      </c>
      <c r="P244" s="17" t="s">
        <v>417</v>
      </c>
      <c r="Q244" s="17" t="s">
        <v>238</v>
      </c>
      <c r="R244" s="1" t="n">
        <v>3168</v>
      </c>
      <c r="S244" s="1" t="n">
        <v>5500</v>
      </c>
      <c r="T244" s="30" t="n">
        <v>1</v>
      </c>
      <c r="U244" s="1" t="str">
        <f aca="false">D244&amp;"-"&amp;E244&amp;"-"&amp;M244&amp;"-"&amp;O244&amp;"-"&amp;P244&amp;"-"&amp;Q244</f>
        <v>GODDESS-VERITY-GD700204-RED-40-J</v>
      </c>
      <c r="W244" s="1" t="s">
        <v>113</v>
      </c>
    </row>
    <row r="245" customFormat="false" ht="15" hidden="false" customHeight="false" outlineLevel="0" collapsed="false">
      <c r="B245" s="17" t="s">
        <v>568</v>
      </c>
      <c r="C245" s="17" t="s">
        <v>37</v>
      </c>
      <c r="D245" s="17" t="s">
        <v>431</v>
      </c>
      <c r="E245" s="29" t="s">
        <v>499</v>
      </c>
      <c r="F245" s="14" t="s">
        <v>500</v>
      </c>
      <c r="G245" s="3" t="s">
        <v>41</v>
      </c>
      <c r="H245" s="14" t="s">
        <v>501</v>
      </c>
      <c r="I245" s="14" t="s">
        <v>43</v>
      </c>
      <c r="J245" s="14"/>
      <c r="K245" s="19" t="s">
        <v>503</v>
      </c>
      <c r="M245" s="17" t="s">
        <v>503</v>
      </c>
      <c r="N245" s="17" t="s">
        <v>504</v>
      </c>
      <c r="O245" s="17" t="s">
        <v>465</v>
      </c>
      <c r="P245" s="17" t="s">
        <v>440</v>
      </c>
      <c r="Q245" s="17" t="s">
        <v>143</v>
      </c>
      <c r="R245" s="1" t="n">
        <v>3168</v>
      </c>
      <c r="S245" s="1" t="n">
        <v>5500</v>
      </c>
      <c r="T245" s="30" t="n">
        <v>1</v>
      </c>
      <c r="U245" s="1" t="str">
        <f aca="false">D245&amp;"-"&amp;E245&amp;"-"&amp;M245&amp;"-"&amp;O245&amp;"-"&amp;P245&amp;"-"&amp;Q245</f>
        <v>GODDESS-VERITY-GD700204-SKIN-42-H</v>
      </c>
      <c r="W245" s="1" t="s">
        <v>113</v>
      </c>
    </row>
    <row r="246" customFormat="false" ht="15" hidden="false" customHeight="false" outlineLevel="0" collapsed="false">
      <c r="B246" s="17" t="s">
        <v>569</v>
      </c>
      <c r="C246" s="17" t="s">
        <v>37</v>
      </c>
      <c r="D246" s="17" t="s">
        <v>431</v>
      </c>
      <c r="E246" s="29" t="s">
        <v>499</v>
      </c>
      <c r="F246" s="14" t="s">
        <v>500</v>
      </c>
      <c r="G246" s="3" t="s">
        <v>41</v>
      </c>
      <c r="H246" s="14" t="s">
        <v>501</v>
      </c>
      <c r="I246" s="14" t="s">
        <v>43</v>
      </c>
      <c r="J246" s="14"/>
      <c r="K246" s="19" t="s">
        <v>503</v>
      </c>
      <c r="M246" s="17" t="s">
        <v>503</v>
      </c>
      <c r="N246" s="17" t="s">
        <v>504</v>
      </c>
      <c r="O246" s="17" t="s">
        <v>465</v>
      </c>
      <c r="P246" s="17" t="s">
        <v>440</v>
      </c>
      <c r="Q246" s="17" t="s">
        <v>131</v>
      </c>
      <c r="R246" s="1" t="n">
        <v>3168</v>
      </c>
      <c r="S246" s="1" t="n">
        <v>5500</v>
      </c>
      <c r="T246" s="30" t="n">
        <v>1</v>
      </c>
      <c r="U246" s="1" t="str">
        <f aca="false">D246&amp;"-"&amp;E246&amp;"-"&amp;M246&amp;"-"&amp;O246&amp;"-"&amp;P246&amp;"-"&amp;Q246</f>
        <v>GODDESS-VERITY-GD700204-SKIN-42-HH</v>
      </c>
      <c r="W246" s="1" t="s">
        <v>113</v>
      </c>
    </row>
    <row r="247" customFormat="false" ht="15" hidden="false" customHeight="false" outlineLevel="0" collapsed="false">
      <c r="B247" s="17" t="s">
        <v>570</v>
      </c>
      <c r="C247" s="17" t="s">
        <v>37</v>
      </c>
      <c r="D247" s="17" t="s">
        <v>431</v>
      </c>
      <c r="E247" s="29" t="s">
        <v>499</v>
      </c>
      <c r="F247" s="14" t="s">
        <v>500</v>
      </c>
      <c r="G247" s="3" t="s">
        <v>41</v>
      </c>
      <c r="H247" s="14" t="s">
        <v>501</v>
      </c>
      <c r="I247" s="14" t="s">
        <v>43</v>
      </c>
      <c r="J247" s="14"/>
      <c r="K247" s="19" t="s">
        <v>503</v>
      </c>
      <c r="M247" s="17" t="s">
        <v>503</v>
      </c>
      <c r="N247" s="17" t="s">
        <v>504</v>
      </c>
      <c r="O247" s="17" t="s">
        <v>465</v>
      </c>
      <c r="P247" s="17" t="s">
        <v>515</v>
      </c>
      <c r="Q247" s="17" t="s">
        <v>105</v>
      </c>
      <c r="R247" s="1" t="n">
        <v>3168</v>
      </c>
      <c r="S247" s="1" t="n">
        <v>5500</v>
      </c>
      <c r="T247" s="30" t="n">
        <v>1</v>
      </c>
      <c r="U247" s="1" t="str">
        <f aca="false">D247&amp;"-"&amp;E247&amp;"-"&amp;M247&amp;"-"&amp;O247&amp;"-"&amp;P247&amp;"-"&amp;Q247</f>
        <v>GODDESS-VERITY-GD700204-SKIN-46-G</v>
      </c>
      <c r="W247" s="1" t="s">
        <v>113</v>
      </c>
    </row>
    <row r="248" customFormat="false" ht="15" hidden="true" customHeight="false" outlineLevel="0" collapsed="false">
      <c r="B248" s="31" t="s">
        <v>571</v>
      </c>
      <c r="C248" s="17" t="s">
        <v>37</v>
      </c>
      <c r="D248" s="17" t="s">
        <v>431</v>
      </c>
      <c r="E248" s="29" t="s">
        <v>572</v>
      </c>
      <c r="F248" s="14" t="s">
        <v>80</v>
      </c>
      <c r="G248" s="14" t="s">
        <v>573</v>
      </c>
      <c r="H248" s="14" t="s">
        <v>574</v>
      </c>
      <c r="I248" s="14" t="s">
        <v>43</v>
      </c>
      <c r="J248" s="14"/>
      <c r="K248" s="4" t="s">
        <v>575</v>
      </c>
      <c r="M248" s="17" t="s">
        <v>575</v>
      </c>
      <c r="N248" s="17" t="s">
        <v>464</v>
      </c>
      <c r="O248" s="17" t="s">
        <v>465</v>
      </c>
      <c r="P248" s="2" t="n">
        <v>42</v>
      </c>
      <c r="Q248" s="17" t="s">
        <v>50</v>
      </c>
      <c r="R248" s="1" t="n">
        <v>3168</v>
      </c>
      <c r="S248" s="1" t="n">
        <v>5700</v>
      </c>
      <c r="T248" s="30" t="n">
        <v>1</v>
      </c>
      <c r="U248" s="1" t="str">
        <f aca="false">D248&amp;"-"&amp;E248&amp;"-"&amp;M248&amp;"-"&amp;O248&amp;"-"&amp;P248&amp;"-"&amp;Q248</f>
        <v>GODDESS-ADELAIDE-GD6663-SKIN-42-F</v>
      </c>
    </row>
    <row r="249" customFormat="false" ht="15" hidden="true" customHeight="false" outlineLevel="0" collapsed="false">
      <c r="B249" s="31" t="s">
        <v>576</v>
      </c>
      <c r="C249" s="17" t="s">
        <v>37</v>
      </c>
      <c r="D249" s="17" t="s">
        <v>431</v>
      </c>
      <c r="E249" s="29" t="s">
        <v>572</v>
      </c>
      <c r="F249" s="14" t="s">
        <v>80</v>
      </c>
      <c r="G249" s="14" t="s">
        <v>573</v>
      </c>
      <c r="H249" s="14" t="s">
        <v>574</v>
      </c>
      <c r="I249" s="14" t="s">
        <v>43</v>
      </c>
      <c r="J249" s="14"/>
      <c r="K249" s="4" t="s">
        <v>577</v>
      </c>
      <c r="M249" s="17" t="s">
        <v>575</v>
      </c>
      <c r="N249" s="17" t="s">
        <v>464</v>
      </c>
      <c r="O249" s="17" t="s">
        <v>465</v>
      </c>
      <c r="P249" s="2" t="n">
        <v>42</v>
      </c>
      <c r="Q249" s="17" t="s">
        <v>105</v>
      </c>
      <c r="R249" s="1" t="n">
        <v>3168</v>
      </c>
      <c r="S249" s="1" t="n">
        <v>5700</v>
      </c>
      <c r="T249" s="30" t="n">
        <v>1</v>
      </c>
      <c r="U249" s="1" t="str">
        <f aca="false">D249&amp;"-"&amp;E249&amp;"-"&amp;M249&amp;"-"&amp;O249&amp;"-"&amp;P249&amp;"-"&amp;Q249</f>
        <v>GODDESS-ADELAIDE-GD6663-SKIN-42-G</v>
      </c>
    </row>
    <row r="250" customFormat="false" ht="15" hidden="true" customHeight="false" outlineLevel="0" collapsed="false">
      <c r="B250" s="32" t="s">
        <v>578</v>
      </c>
      <c r="C250" s="33" t="s">
        <v>37</v>
      </c>
      <c r="D250" s="33" t="s">
        <v>431</v>
      </c>
      <c r="E250" s="34" t="s">
        <v>572</v>
      </c>
      <c r="F250" s="35" t="s">
        <v>80</v>
      </c>
      <c r="G250" s="35" t="s">
        <v>573</v>
      </c>
      <c r="H250" s="35" t="s">
        <v>574</v>
      </c>
      <c r="I250" s="35" t="s">
        <v>43</v>
      </c>
      <c r="J250" s="35"/>
      <c r="K250" s="36" t="s">
        <v>579</v>
      </c>
      <c r="L250" s="36"/>
      <c r="M250" s="33" t="s">
        <v>575</v>
      </c>
      <c r="N250" s="33" t="s">
        <v>464</v>
      </c>
      <c r="O250" s="33" t="s">
        <v>465</v>
      </c>
      <c r="P250" s="37" t="n">
        <v>44</v>
      </c>
      <c r="Q250" s="33" t="s">
        <v>50</v>
      </c>
      <c r="R250" s="38" t="n">
        <v>3168</v>
      </c>
      <c r="S250" s="38" t="n">
        <v>5700</v>
      </c>
      <c r="T250" s="39" t="n">
        <v>1</v>
      </c>
      <c r="U250" s="38" t="str">
        <f aca="false">D250&amp;"-"&amp;E250&amp;"-"&amp;M250&amp;"-"&amp;O250&amp;"-"&amp;P250&amp;"-"&amp;Q250</f>
        <v>GODDESS-ADELAIDE-GD6663-SKIN-44-F</v>
      </c>
      <c r="V250" s="38"/>
      <c r="W250" s="38"/>
    </row>
    <row r="251" customFormat="false" ht="15" hidden="true" customHeight="false" outlineLevel="0" collapsed="false">
      <c r="A251" s="40" t="n">
        <v>1</v>
      </c>
      <c r="B251" s="41" t="n">
        <v>7613138932827</v>
      </c>
      <c r="C251" s="42" t="s">
        <v>580</v>
      </c>
      <c r="D251" s="42" t="s">
        <v>581</v>
      </c>
      <c r="E251" s="42" t="s">
        <v>582</v>
      </c>
      <c r="F251" s="43" t="s">
        <v>40</v>
      </c>
      <c r="G251" s="44" t="s">
        <v>41</v>
      </c>
      <c r="H251" s="44" t="s">
        <v>42</v>
      </c>
      <c r="I251" s="44" t="s">
        <v>43</v>
      </c>
      <c r="J251" s="44"/>
      <c r="K251" s="45" t="s">
        <v>583</v>
      </c>
      <c r="L251" s="45"/>
      <c r="M251" s="42" t="s">
        <v>583</v>
      </c>
      <c r="N251" s="42" t="s">
        <v>584</v>
      </c>
      <c r="O251" s="46" t="s">
        <v>585</v>
      </c>
      <c r="P251" s="42" t="n">
        <v>34</v>
      </c>
      <c r="Q251" s="42" t="s">
        <v>50</v>
      </c>
      <c r="R251" s="42" t="n">
        <v>1349.66</v>
      </c>
      <c r="S251" s="42" t="n">
        <v>2099</v>
      </c>
      <c r="T251" s="47" t="n">
        <v>3</v>
      </c>
      <c r="U251" s="48" t="str">
        <f aca="false">D251&amp;"-"&amp;E251&amp;"-"&amp;M251&amp;"-"&amp;O251&amp;"-"&amp;P251&amp;"-"&amp;Q251</f>
        <v>TRIUMPH-MODERN FINESSE-122|795-CORAL-34-F</v>
      </c>
      <c r="V251" s="48"/>
      <c r="W251" s="49" t="s">
        <v>586</v>
      </c>
      <c r="X251" s="50"/>
    </row>
    <row r="252" customFormat="false" ht="15" hidden="true" customHeight="false" outlineLevel="0" collapsed="false">
      <c r="A252" s="40"/>
      <c r="B252" s="51" t="n">
        <v>7613138932759</v>
      </c>
      <c r="C252" s="2" t="s">
        <v>580</v>
      </c>
      <c r="D252" s="2" t="s">
        <v>581</v>
      </c>
      <c r="E252" s="2" t="s">
        <v>582</v>
      </c>
      <c r="F252" s="14" t="s">
        <v>40</v>
      </c>
      <c r="G252" s="3" t="s">
        <v>41</v>
      </c>
      <c r="H252" s="3" t="s">
        <v>42</v>
      </c>
      <c r="I252" s="3" t="s">
        <v>43</v>
      </c>
      <c r="K252" s="52" t="s">
        <v>583</v>
      </c>
      <c r="L252" s="52"/>
      <c r="M252" s="2" t="s">
        <v>583</v>
      </c>
      <c r="N252" s="2" t="s">
        <v>584</v>
      </c>
      <c r="O252" s="29" t="s">
        <v>585</v>
      </c>
      <c r="P252" s="2" t="n">
        <v>36</v>
      </c>
      <c r="Q252" s="2" t="s">
        <v>97</v>
      </c>
      <c r="R252" s="2" t="n">
        <v>1349.66</v>
      </c>
      <c r="S252" s="2" t="n">
        <v>2099</v>
      </c>
      <c r="T252" s="30" t="n">
        <v>2</v>
      </c>
      <c r="U252" s="1" t="str">
        <f aca="false">D252&amp;"-"&amp;E252&amp;"-"&amp;M252&amp;"-"&amp;O252&amp;"-"&amp;P252&amp;"-"&amp;Q252</f>
        <v>TRIUMPH-MODERN FINESSE-122|795-CORAL-36-D</v>
      </c>
      <c r="W252" s="53" t="s">
        <v>586</v>
      </c>
      <c r="X252" s="50"/>
    </row>
    <row r="253" customFormat="false" ht="15" hidden="true" customHeight="false" outlineLevel="0" collapsed="false">
      <c r="A253" s="40"/>
      <c r="B253" s="51" t="n">
        <v>7613138932797</v>
      </c>
      <c r="C253" s="2" t="s">
        <v>580</v>
      </c>
      <c r="D253" s="2" t="s">
        <v>581</v>
      </c>
      <c r="E253" s="2" t="s">
        <v>582</v>
      </c>
      <c r="F253" s="14" t="s">
        <v>40</v>
      </c>
      <c r="G253" s="3" t="s">
        <v>41</v>
      </c>
      <c r="H253" s="3" t="s">
        <v>42</v>
      </c>
      <c r="I253" s="3" t="s">
        <v>43</v>
      </c>
      <c r="K253" s="52" t="s">
        <v>583</v>
      </c>
      <c r="L253" s="52"/>
      <c r="M253" s="2" t="s">
        <v>583</v>
      </c>
      <c r="N253" s="2" t="s">
        <v>584</v>
      </c>
      <c r="O253" s="29" t="s">
        <v>585</v>
      </c>
      <c r="P253" s="2" t="n">
        <v>36</v>
      </c>
      <c r="Q253" s="2" t="s">
        <v>66</v>
      </c>
      <c r="R253" s="2" t="n">
        <v>1349.66</v>
      </c>
      <c r="S253" s="2" t="n">
        <v>2099</v>
      </c>
      <c r="T253" s="30" t="n">
        <v>0</v>
      </c>
      <c r="U253" s="1" t="str">
        <f aca="false">D253&amp;"-"&amp;E253&amp;"-"&amp;M253&amp;"-"&amp;O253&amp;"-"&amp;P253&amp;"-"&amp;Q253</f>
        <v>TRIUMPH-MODERN FINESSE-122|795-CORAL-36-E</v>
      </c>
      <c r="W253" s="53" t="s">
        <v>586</v>
      </c>
      <c r="X253" s="50"/>
    </row>
    <row r="254" customFormat="false" ht="15" hidden="true" customHeight="false" outlineLevel="0" collapsed="false">
      <c r="A254" s="40"/>
      <c r="B254" s="51" t="n">
        <v>7613125570957</v>
      </c>
      <c r="C254" s="2" t="s">
        <v>580</v>
      </c>
      <c r="D254" s="2" t="s">
        <v>581</v>
      </c>
      <c r="E254" s="2" t="s">
        <v>582</v>
      </c>
      <c r="F254" s="14" t="s">
        <v>40</v>
      </c>
      <c r="G254" s="3" t="s">
        <v>41</v>
      </c>
      <c r="H254" s="3" t="s">
        <v>42</v>
      </c>
      <c r="I254" s="3" t="s">
        <v>43</v>
      </c>
      <c r="K254" s="52" t="s">
        <v>583</v>
      </c>
      <c r="L254" s="52"/>
      <c r="M254" s="2" t="s">
        <v>583</v>
      </c>
      <c r="N254" s="2" t="s">
        <v>587</v>
      </c>
      <c r="O254" s="29" t="s">
        <v>465</v>
      </c>
      <c r="P254" s="2" t="n">
        <v>38</v>
      </c>
      <c r="Q254" s="2" t="s">
        <v>50</v>
      </c>
      <c r="R254" s="2" t="n">
        <v>1349.66</v>
      </c>
      <c r="S254" s="2" t="n">
        <v>2099</v>
      </c>
      <c r="T254" s="30" t="n">
        <v>0</v>
      </c>
      <c r="U254" s="1" t="str">
        <f aca="false">D254&amp;"-"&amp;E254&amp;"-"&amp;M254&amp;"-"&amp;O254&amp;"-"&amp;P254&amp;"-"&amp;Q254</f>
        <v>TRIUMPH-MODERN FINESSE-122|795-SKIN-38-F</v>
      </c>
      <c r="W254" s="53" t="s">
        <v>586</v>
      </c>
      <c r="X254" s="50"/>
    </row>
    <row r="255" customFormat="false" ht="15" hidden="true" customHeight="false" outlineLevel="0" collapsed="false">
      <c r="A255" s="40"/>
      <c r="B255" s="51" t="n">
        <v>7613142626163</v>
      </c>
      <c r="C255" s="2" t="s">
        <v>580</v>
      </c>
      <c r="D255" s="2" t="s">
        <v>581</v>
      </c>
      <c r="E255" s="2" t="s">
        <v>582</v>
      </c>
      <c r="F255" s="14" t="s">
        <v>40</v>
      </c>
      <c r="G255" s="3" t="s">
        <v>41</v>
      </c>
      <c r="H255" s="3" t="s">
        <v>42</v>
      </c>
      <c r="I255" s="3" t="s">
        <v>43</v>
      </c>
      <c r="K255" s="52" t="s">
        <v>583</v>
      </c>
      <c r="L255" s="52"/>
      <c r="M255" s="2" t="s">
        <v>583</v>
      </c>
      <c r="N255" s="2" t="s">
        <v>587</v>
      </c>
      <c r="O255" s="2" t="s">
        <v>588</v>
      </c>
      <c r="P255" s="2" t="n">
        <v>40</v>
      </c>
      <c r="Q255" s="2" t="s">
        <v>97</v>
      </c>
      <c r="R255" s="2" t="n">
        <v>1349.66</v>
      </c>
      <c r="S255" s="2" t="n">
        <v>2099</v>
      </c>
      <c r="T255" s="30" t="n">
        <v>1</v>
      </c>
      <c r="U255" s="1" t="str">
        <f aca="false">D255&amp;"-"&amp;E255&amp;"-"&amp;M255&amp;"-"&amp;O255&amp;"-"&amp;P255&amp;"-"&amp;Q255</f>
        <v>TRIUMPH-MODERN FINESSE-122|795-PURPLE-40-D</v>
      </c>
      <c r="W255" s="53" t="s">
        <v>586</v>
      </c>
      <c r="X255" s="50"/>
    </row>
    <row r="256" customFormat="false" ht="15" hidden="true" customHeight="false" outlineLevel="0" collapsed="false">
      <c r="A256" s="40"/>
      <c r="B256" s="54" t="n">
        <v>7613138932773</v>
      </c>
      <c r="C256" s="37" t="s">
        <v>580</v>
      </c>
      <c r="D256" s="37" t="s">
        <v>581</v>
      </c>
      <c r="E256" s="37" t="s">
        <v>582</v>
      </c>
      <c r="F256" s="35" t="s">
        <v>40</v>
      </c>
      <c r="G256" s="55" t="s">
        <v>41</v>
      </c>
      <c r="H256" s="55" t="s">
        <v>42</v>
      </c>
      <c r="I256" s="55" t="s">
        <v>43</v>
      </c>
      <c r="J256" s="55"/>
      <c r="K256" s="56" t="s">
        <v>583</v>
      </c>
      <c r="L256" s="56"/>
      <c r="M256" s="37" t="s">
        <v>583</v>
      </c>
      <c r="N256" s="37" t="s">
        <v>584</v>
      </c>
      <c r="O256" s="37" t="s">
        <v>585</v>
      </c>
      <c r="P256" s="37" t="n">
        <v>40</v>
      </c>
      <c r="Q256" s="37" t="s">
        <v>97</v>
      </c>
      <c r="R256" s="37" t="n">
        <v>1349.66</v>
      </c>
      <c r="S256" s="37" t="n">
        <v>2099</v>
      </c>
      <c r="T256" s="39" t="n">
        <v>1</v>
      </c>
      <c r="U256" s="38" t="str">
        <f aca="false">D256&amp;"-"&amp;E256&amp;"-"&amp;M256&amp;"-"&amp;O256&amp;"-"&amp;P256&amp;"-"&amp;Q256</f>
        <v>TRIUMPH-MODERN FINESSE-122|795-CORAL-40-D</v>
      </c>
      <c r="V256" s="38"/>
      <c r="W256" s="57" t="s">
        <v>586</v>
      </c>
      <c r="X256" s="50"/>
    </row>
    <row r="257" customFormat="false" ht="15" hidden="true" customHeight="false" outlineLevel="0" collapsed="false">
      <c r="A257" s="40"/>
      <c r="B257" s="41" t="n">
        <v>7613108840305</v>
      </c>
      <c r="C257" s="42" t="s">
        <v>580</v>
      </c>
      <c r="D257" s="42" t="s">
        <v>581</v>
      </c>
      <c r="E257" s="58" t="s">
        <v>589</v>
      </c>
      <c r="F257" s="43" t="s">
        <v>40</v>
      </c>
      <c r="G257" s="44" t="s">
        <v>41</v>
      </c>
      <c r="H257" s="44" t="s">
        <v>42</v>
      </c>
      <c r="I257" s="44" t="s">
        <v>43</v>
      </c>
      <c r="J257" s="44"/>
      <c r="K257" s="59" t="s">
        <v>590</v>
      </c>
      <c r="L257" s="45"/>
      <c r="M257" s="58" t="s">
        <v>590</v>
      </c>
      <c r="N257" s="58" t="s">
        <v>591</v>
      </c>
      <c r="O257" s="42" t="s">
        <v>465</v>
      </c>
      <c r="P257" s="42" t="n">
        <v>32</v>
      </c>
      <c r="Q257" s="60" t="s">
        <v>592</v>
      </c>
      <c r="R257" s="42" t="n">
        <v>1349.66</v>
      </c>
      <c r="S257" s="42" t="n">
        <v>2099</v>
      </c>
      <c r="T257" s="47" t="n">
        <v>1</v>
      </c>
      <c r="U257" s="48" t="str">
        <f aca="false">D257&amp;"-"&amp;E257&amp;"-"&amp;M257&amp;"-"&amp;O257&amp;"-"&amp;P257&amp;"-"&amp;Q257</f>
        <v>TRIUMPH-60 WP-122|087-SKIN-32-B</v>
      </c>
      <c r="V257" s="48"/>
      <c r="W257" s="49" t="s">
        <v>586</v>
      </c>
      <c r="X257" s="50"/>
    </row>
    <row r="258" customFormat="false" ht="15" hidden="true" customHeight="false" outlineLevel="0" collapsed="false">
      <c r="A258" s="40"/>
      <c r="B258" s="51" t="n">
        <v>7613142604413</v>
      </c>
      <c r="C258" s="2" t="s">
        <v>580</v>
      </c>
      <c r="D258" s="2" t="s">
        <v>581</v>
      </c>
      <c r="E258" s="61" t="s">
        <v>589</v>
      </c>
      <c r="F258" s="14" t="s">
        <v>40</v>
      </c>
      <c r="G258" s="3" t="s">
        <v>41</v>
      </c>
      <c r="H258" s="3" t="s">
        <v>42</v>
      </c>
      <c r="I258" s="3" t="s">
        <v>43</v>
      </c>
      <c r="K258" s="27" t="s">
        <v>590</v>
      </c>
      <c r="L258" s="52"/>
      <c r="M258" s="61" t="s">
        <v>590</v>
      </c>
      <c r="N258" s="2" t="s">
        <v>593</v>
      </c>
      <c r="O258" s="61" t="s">
        <v>465</v>
      </c>
      <c r="P258" s="2" t="n">
        <v>32</v>
      </c>
      <c r="Q258" s="2" t="s">
        <v>592</v>
      </c>
      <c r="R258" s="2" t="n">
        <v>1349.66</v>
      </c>
      <c r="S258" s="2" t="n">
        <v>2099</v>
      </c>
      <c r="T258" s="30" t="n">
        <v>1</v>
      </c>
      <c r="U258" s="1" t="str">
        <f aca="false">D258&amp;"-"&amp;E258&amp;"-"&amp;M258&amp;"-"&amp;O258&amp;"-"&amp;P258&amp;"-"&amp;Q258</f>
        <v>TRIUMPH-60 WP-122|087-SKIN-32-B</v>
      </c>
      <c r="W258" s="53" t="s">
        <v>586</v>
      </c>
      <c r="X258" s="50"/>
    </row>
    <row r="259" customFormat="false" ht="15" hidden="true" customHeight="false" outlineLevel="0" collapsed="false">
      <c r="A259" s="40"/>
      <c r="B259" s="51" t="n">
        <v>7613113035871</v>
      </c>
      <c r="C259" s="2" t="s">
        <v>580</v>
      </c>
      <c r="D259" s="2" t="s">
        <v>581</v>
      </c>
      <c r="E259" s="61" t="s">
        <v>589</v>
      </c>
      <c r="F259" s="14" t="s">
        <v>40</v>
      </c>
      <c r="G259" s="3" t="s">
        <v>41</v>
      </c>
      <c r="H259" s="3" t="s">
        <v>42</v>
      </c>
      <c r="I259" s="3" t="s">
        <v>43</v>
      </c>
      <c r="K259" s="27" t="s">
        <v>590</v>
      </c>
      <c r="L259" s="52"/>
      <c r="M259" s="61" t="s">
        <v>590</v>
      </c>
      <c r="N259" s="2" t="n">
        <v>68</v>
      </c>
      <c r="O259" s="61" t="s">
        <v>594</v>
      </c>
      <c r="P259" s="2" t="n">
        <v>32</v>
      </c>
      <c r="Q259" s="2" t="s">
        <v>595</v>
      </c>
      <c r="R259" s="2" t="n">
        <v>1349.66</v>
      </c>
      <c r="S259" s="2" t="n">
        <v>2099</v>
      </c>
      <c r="T259" s="30" t="n">
        <v>2</v>
      </c>
      <c r="U259" s="1" t="str">
        <f aca="false">D259&amp;"-"&amp;E259&amp;"-"&amp;M259&amp;"-"&amp;O259&amp;"-"&amp;P259&amp;"-"&amp;Q259</f>
        <v>TRIUMPH-60 WP-122|087-PINK-32-C</v>
      </c>
      <c r="W259" s="53" t="s">
        <v>586</v>
      </c>
      <c r="X259" s="50"/>
    </row>
    <row r="260" customFormat="false" ht="15" hidden="true" customHeight="false" outlineLevel="0" collapsed="false">
      <c r="A260" s="40"/>
      <c r="B260" s="62" t="s">
        <v>596</v>
      </c>
      <c r="C260" s="63" t="s">
        <v>580</v>
      </c>
      <c r="D260" s="63" t="s">
        <v>581</v>
      </c>
      <c r="E260" s="64" t="s">
        <v>589</v>
      </c>
      <c r="F260" s="65" t="s">
        <v>40</v>
      </c>
      <c r="G260" s="66" t="s">
        <v>41</v>
      </c>
      <c r="H260" s="66" t="s">
        <v>42</v>
      </c>
      <c r="I260" s="66" t="s">
        <v>43</v>
      </c>
      <c r="J260" s="66"/>
      <c r="K260" s="67" t="s">
        <v>590</v>
      </c>
      <c r="L260" s="68"/>
      <c r="M260" s="64" t="s">
        <v>590</v>
      </c>
      <c r="N260" s="64" t="s">
        <v>591</v>
      </c>
      <c r="O260" s="63" t="s">
        <v>465</v>
      </c>
      <c r="P260" s="63" t="n">
        <v>32</v>
      </c>
      <c r="Q260" s="64" t="s">
        <v>595</v>
      </c>
      <c r="R260" s="63" t="n">
        <v>1349.66</v>
      </c>
      <c r="S260" s="63" t="n">
        <v>2099</v>
      </c>
      <c r="T260" s="69" t="n">
        <v>1</v>
      </c>
      <c r="U260" s="70" t="str">
        <f aca="false">D260&amp;"-"&amp;E260&amp;"-"&amp;M260&amp;"-"&amp;O260&amp;"-"&amp;P260&amp;"-"&amp;Q260</f>
        <v>TRIUMPH-60 WP-122|087-SKIN-32-C</v>
      </c>
      <c r="V260" s="70"/>
      <c r="W260" s="71" t="s">
        <v>586</v>
      </c>
      <c r="X260" s="50"/>
    </row>
    <row r="261" customFormat="false" ht="15" hidden="true" customHeight="false" outlineLevel="0" collapsed="false">
      <c r="B261" s="72" t="s">
        <v>597</v>
      </c>
      <c r="C261" s="73" t="s">
        <v>580</v>
      </c>
      <c r="D261" s="73" t="s">
        <v>581</v>
      </c>
      <c r="E261" s="74" t="s">
        <v>598</v>
      </c>
      <c r="F261" s="75" t="s">
        <v>40</v>
      </c>
      <c r="G261" s="76" t="s">
        <v>41</v>
      </c>
      <c r="H261" s="76" t="s">
        <v>42</v>
      </c>
      <c r="I261" s="76" t="s">
        <v>43</v>
      </c>
      <c r="J261" s="76"/>
      <c r="K261" s="77" t="s">
        <v>590</v>
      </c>
      <c r="L261" s="78"/>
      <c r="M261" s="74" t="s">
        <v>590</v>
      </c>
      <c r="N261" s="79" t="s">
        <v>599</v>
      </c>
      <c r="O261" s="73" t="s">
        <v>465</v>
      </c>
      <c r="P261" s="80" t="s">
        <v>92</v>
      </c>
      <c r="Q261" s="80" t="s">
        <v>97</v>
      </c>
      <c r="R261" s="73" t="n">
        <v>1349.66</v>
      </c>
      <c r="S261" s="73" t="n">
        <v>2099</v>
      </c>
      <c r="T261" s="81" t="n">
        <v>1</v>
      </c>
      <c r="U261" s="82" t="str">
        <f aca="false">D261&amp;"-"&amp;E261&amp;"-"&amp;M261&amp;"-"&amp;O261&amp;"-"&amp;P261&amp;"-"&amp;Q261</f>
        <v>TRIUMPH-61 WP-122|087-SKIN-32-D</v>
      </c>
      <c r="V261" s="82"/>
      <c r="W261" s="82"/>
    </row>
    <row r="262" customFormat="false" ht="15" hidden="true" customHeight="false" outlineLevel="0" collapsed="false">
      <c r="A262" s="40" t="n">
        <v>2</v>
      </c>
      <c r="B262" s="83" t="s">
        <v>600</v>
      </c>
      <c r="C262" s="42" t="s">
        <v>580</v>
      </c>
      <c r="D262" s="42" t="s">
        <v>581</v>
      </c>
      <c r="E262" s="58" t="s">
        <v>589</v>
      </c>
      <c r="F262" s="43" t="s">
        <v>40</v>
      </c>
      <c r="G262" s="44" t="s">
        <v>41</v>
      </c>
      <c r="H262" s="44" t="s">
        <v>42</v>
      </c>
      <c r="I262" s="44" t="s">
        <v>43</v>
      </c>
      <c r="J262" s="44"/>
      <c r="K262" s="59" t="s">
        <v>590</v>
      </c>
      <c r="L262" s="45"/>
      <c r="M262" s="58" t="s">
        <v>590</v>
      </c>
      <c r="N262" s="60" t="s">
        <v>591</v>
      </c>
      <c r="O262" s="42" t="s">
        <v>465</v>
      </c>
      <c r="P262" s="60" t="s">
        <v>92</v>
      </c>
      <c r="Q262" s="60" t="s">
        <v>97</v>
      </c>
      <c r="R262" s="42" t="n">
        <v>1349.66</v>
      </c>
      <c r="S262" s="42" t="n">
        <v>2099</v>
      </c>
      <c r="T262" s="47" t="n">
        <v>1</v>
      </c>
      <c r="U262" s="48" t="str">
        <f aca="false">D262&amp;"-"&amp;E262&amp;"-"&amp;M262&amp;"-"&amp;O262&amp;"-"&amp;P262&amp;"-"&amp;Q262</f>
        <v>TRIUMPH-60 WP-122|087-SKIN-32-D</v>
      </c>
      <c r="V262" s="48"/>
      <c r="W262" s="49" t="s">
        <v>586</v>
      </c>
      <c r="X262" s="50"/>
    </row>
    <row r="263" customFormat="false" ht="15" hidden="true" customHeight="false" outlineLevel="0" collapsed="false">
      <c r="A263" s="40"/>
      <c r="B263" s="84" t="s">
        <v>601</v>
      </c>
      <c r="C263" s="2" t="s">
        <v>580</v>
      </c>
      <c r="D263" s="2" t="s">
        <v>581</v>
      </c>
      <c r="E263" s="61" t="s">
        <v>589</v>
      </c>
      <c r="F263" s="14" t="s">
        <v>40</v>
      </c>
      <c r="G263" s="3" t="s">
        <v>41</v>
      </c>
      <c r="H263" s="3" t="s">
        <v>42</v>
      </c>
      <c r="I263" s="3" t="s">
        <v>43</v>
      </c>
      <c r="K263" s="27" t="s">
        <v>590</v>
      </c>
      <c r="L263" s="52"/>
      <c r="M263" s="61" t="s">
        <v>590</v>
      </c>
      <c r="N263" s="61" t="s">
        <v>602</v>
      </c>
      <c r="O263" s="61" t="s">
        <v>89</v>
      </c>
      <c r="P263" s="61" t="s">
        <v>134</v>
      </c>
      <c r="Q263" s="61" t="s">
        <v>592</v>
      </c>
      <c r="R263" s="2" t="n">
        <v>1349.66</v>
      </c>
      <c r="S263" s="2" t="n">
        <v>2099</v>
      </c>
      <c r="T263" s="85" t="s">
        <v>112</v>
      </c>
      <c r="U263" s="1" t="str">
        <f aca="false">D263&amp;"-"&amp;E263&amp;"-"&amp;M263&amp;"-"&amp;O263&amp;"-"&amp;P263&amp;"-"&amp;Q263</f>
        <v>TRIUMPH-60 WP-122|087-BLUE-34-B</v>
      </c>
      <c r="W263" s="53" t="s">
        <v>586</v>
      </c>
      <c r="X263" s="50"/>
    </row>
    <row r="264" customFormat="false" ht="15" hidden="true" customHeight="false" outlineLevel="0" collapsed="false">
      <c r="A264" s="40"/>
      <c r="B264" s="51" t="n">
        <v>7613108840312</v>
      </c>
      <c r="C264" s="2" t="s">
        <v>580</v>
      </c>
      <c r="D264" s="2" t="s">
        <v>581</v>
      </c>
      <c r="E264" s="61" t="s">
        <v>589</v>
      </c>
      <c r="F264" s="14" t="s">
        <v>40</v>
      </c>
      <c r="G264" s="3" t="s">
        <v>41</v>
      </c>
      <c r="H264" s="3" t="s">
        <v>42</v>
      </c>
      <c r="I264" s="3" t="s">
        <v>43</v>
      </c>
      <c r="K264" s="27" t="s">
        <v>590</v>
      </c>
      <c r="L264" s="52"/>
      <c r="M264" s="61" t="s">
        <v>590</v>
      </c>
      <c r="N264" s="29" t="s">
        <v>591</v>
      </c>
      <c r="O264" s="29" t="s">
        <v>465</v>
      </c>
      <c r="P264" s="2" t="n">
        <v>34</v>
      </c>
      <c r="Q264" s="29" t="s">
        <v>592</v>
      </c>
      <c r="R264" s="2" t="n">
        <v>1349.66</v>
      </c>
      <c r="S264" s="2" t="n">
        <v>2099</v>
      </c>
      <c r="T264" s="30" t="n">
        <v>3</v>
      </c>
      <c r="U264" s="1" t="str">
        <f aca="false">D264&amp;"-"&amp;E264&amp;"-"&amp;M264&amp;"-"&amp;O264&amp;"-"&amp;P264&amp;"-"&amp;Q264</f>
        <v>TRIUMPH-60 WP-122|087-SKIN-34-B</v>
      </c>
      <c r="W264" s="53" t="s">
        <v>586</v>
      </c>
      <c r="X264" s="50"/>
    </row>
    <row r="265" customFormat="false" ht="15" hidden="true" customHeight="false" outlineLevel="0" collapsed="false">
      <c r="A265" s="40"/>
      <c r="B265" s="51" t="n">
        <v>7613113035833</v>
      </c>
      <c r="C265" s="2" t="s">
        <v>580</v>
      </c>
      <c r="D265" s="2" t="s">
        <v>581</v>
      </c>
      <c r="E265" s="61" t="s">
        <v>589</v>
      </c>
      <c r="F265" s="14" t="s">
        <v>40</v>
      </c>
      <c r="G265" s="3" t="s">
        <v>41</v>
      </c>
      <c r="H265" s="3" t="s">
        <v>42</v>
      </c>
      <c r="I265" s="3" t="s">
        <v>43</v>
      </c>
      <c r="K265" s="27" t="s">
        <v>590</v>
      </c>
      <c r="L265" s="52"/>
      <c r="M265" s="61" t="s">
        <v>590</v>
      </c>
      <c r="N265" s="29" t="s">
        <v>599</v>
      </c>
      <c r="O265" s="29" t="s">
        <v>594</v>
      </c>
      <c r="P265" s="2" t="n">
        <v>34</v>
      </c>
      <c r="Q265" s="29" t="s">
        <v>592</v>
      </c>
      <c r="R265" s="2" t="n">
        <v>1349.66</v>
      </c>
      <c r="S265" s="2" t="n">
        <v>2099</v>
      </c>
      <c r="T265" s="30" t="n">
        <v>1</v>
      </c>
      <c r="U265" s="1" t="str">
        <f aca="false">D265&amp;"-"&amp;E265&amp;"-"&amp;M265&amp;"-"&amp;O265&amp;"-"&amp;P265&amp;"-"&amp;Q265</f>
        <v>TRIUMPH-60 WP-122|087-PINK-34-B</v>
      </c>
      <c r="W265" s="53" t="s">
        <v>586</v>
      </c>
      <c r="X265" s="50"/>
    </row>
    <row r="266" customFormat="false" ht="15" hidden="true" customHeight="false" outlineLevel="0" collapsed="false">
      <c r="A266" s="40"/>
      <c r="B266" s="51" t="n">
        <v>7613138930038</v>
      </c>
      <c r="C266" s="2" t="s">
        <v>580</v>
      </c>
      <c r="D266" s="2" t="s">
        <v>581</v>
      </c>
      <c r="E266" s="61" t="s">
        <v>589</v>
      </c>
      <c r="F266" s="14" t="s">
        <v>40</v>
      </c>
      <c r="G266" s="3" t="s">
        <v>41</v>
      </c>
      <c r="H266" s="3" t="s">
        <v>42</v>
      </c>
      <c r="I266" s="3" t="s">
        <v>43</v>
      </c>
      <c r="K266" s="27" t="s">
        <v>590</v>
      </c>
      <c r="L266" s="52"/>
      <c r="M266" s="61" t="s">
        <v>590</v>
      </c>
      <c r="N266" s="29" t="s">
        <v>584</v>
      </c>
      <c r="O266" s="29" t="s">
        <v>585</v>
      </c>
      <c r="P266" s="2" t="n">
        <v>34</v>
      </c>
      <c r="Q266" s="29" t="s">
        <v>592</v>
      </c>
      <c r="R266" s="2" t="n">
        <v>1349.66</v>
      </c>
      <c r="S266" s="2" t="n">
        <v>2099</v>
      </c>
      <c r="T266" s="30" t="n">
        <v>1</v>
      </c>
      <c r="U266" s="1" t="str">
        <f aca="false">D266&amp;"-"&amp;E266&amp;"-"&amp;M266&amp;"-"&amp;O266&amp;"-"&amp;P266&amp;"-"&amp;Q266</f>
        <v>TRIUMPH-60 WP-122|087-CORAL-34-B</v>
      </c>
      <c r="W266" s="53" t="s">
        <v>586</v>
      </c>
      <c r="X266" s="50"/>
    </row>
    <row r="267" customFormat="false" ht="15" hidden="true" customHeight="false" outlineLevel="0" collapsed="false">
      <c r="A267" s="40"/>
      <c r="B267" s="51" t="n">
        <v>7613108840350</v>
      </c>
      <c r="C267" s="2" t="s">
        <v>580</v>
      </c>
      <c r="D267" s="2" t="s">
        <v>581</v>
      </c>
      <c r="E267" s="61" t="s">
        <v>589</v>
      </c>
      <c r="F267" s="14" t="s">
        <v>40</v>
      </c>
      <c r="G267" s="3" t="s">
        <v>41</v>
      </c>
      <c r="H267" s="3" t="s">
        <v>42</v>
      </c>
      <c r="I267" s="3" t="s">
        <v>43</v>
      </c>
      <c r="K267" s="27" t="s">
        <v>590</v>
      </c>
      <c r="L267" s="52"/>
      <c r="M267" s="61" t="s">
        <v>590</v>
      </c>
      <c r="N267" s="86" t="s">
        <v>591</v>
      </c>
      <c r="O267" s="29" t="s">
        <v>465</v>
      </c>
      <c r="P267" s="2" t="n">
        <v>34</v>
      </c>
      <c r="Q267" s="29" t="s">
        <v>595</v>
      </c>
      <c r="R267" s="2" t="n">
        <v>1349.66</v>
      </c>
      <c r="S267" s="2" t="n">
        <v>2099</v>
      </c>
      <c r="T267" s="30" t="n">
        <v>1</v>
      </c>
      <c r="U267" s="1" t="str">
        <f aca="false">D267&amp;"-"&amp;E267&amp;"-"&amp;M267&amp;"-"&amp;O267&amp;"-"&amp;P267&amp;"-"&amp;Q267</f>
        <v>TRIUMPH-60 WP-122|087-SKIN-34-C</v>
      </c>
      <c r="W267" s="53" t="s">
        <v>586</v>
      </c>
      <c r="X267" s="50"/>
    </row>
    <row r="268" customFormat="false" ht="15" hidden="true" customHeight="false" outlineLevel="0" collapsed="false">
      <c r="A268" s="40"/>
      <c r="B268" s="51" t="n">
        <v>7613138930076</v>
      </c>
      <c r="C268" s="2" t="s">
        <v>580</v>
      </c>
      <c r="D268" s="2" t="s">
        <v>581</v>
      </c>
      <c r="E268" s="61" t="s">
        <v>589</v>
      </c>
      <c r="F268" s="14" t="s">
        <v>40</v>
      </c>
      <c r="G268" s="3" t="s">
        <v>41</v>
      </c>
      <c r="H268" s="3" t="s">
        <v>42</v>
      </c>
      <c r="I268" s="3" t="s">
        <v>43</v>
      </c>
      <c r="K268" s="27" t="s">
        <v>590</v>
      </c>
      <c r="L268" s="52"/>
      <c r="M268" s="61" t="s">
        <v>590</v>
      </c>
      <c r="N268" s="86" t="s">
        <v>584</v>
      </c>
      <c r="O268" s="29" t="s">
        <v>585</v>
      </c>
      <c r="P268" s="2" t="n">
        <v>34</v>
      </c>
      <c r="Q268" s="29" t="s">
        <v>595</v>
      </c>
      <c r="R268" s="2" t="n">
        <v>1349.66</v>
      </c>
      <c r="S268" s="2" t="n">
        <v>2099</v>
      </c>
      <c r="T268" s="30" t="n">
        <v>1</v>
      </c>
      <c r="U268" s="1" t="str">
        <f aca="false">D268&amp;"-"&amp;E268&amp;"-"&amp;M268&amp;"-"&amp;O268&amp;"-"&amp;P268&amp;"-"&amp;Q268</f>
        <v>TRIUMPH-60 WP-122|087-CORAL-34-C</v>
      </c>
      <c r="W268" s="53" t="s">
        <v>586</v>
      </c>
      <c r="X268" s="50"/>
    </row>
    <row r="269" customFormat="false" ht="15" hidden="true" customHeight="false" outlineLevel="0" collapsed="false">
      <c r="A269" s="40"/>
      <c r="B269" s="51" t="n">
        <v>7613113035888</v>
      </c>
      <c r="C269" s="2" t="s">
        <v>580</v>
      </c>
      <c r="D269" s="2" t="s">
        <v>581</v>
      </c>
      <c r="E269" s="61" t="s">
        <v>589</v>
      </c>
      <c r="F269" s="14" t="s">
        <v>40</v>
      </c>
      <c r="G269" s="3" t="s">
        <v>41</v>
      </c>
      <c r="H269" s="3" t="s">
        <v>42</v>
      </c>
      <c r="I269" s="3" t="s">
        <v>43</v>
      </c>
      <c r="K269" s="27" t="s">
        <v>590</v>
      </c>
      <c r="L269" s="52"/>
      <c r="M269" s="61" t="s">
        <v>590</v>
      </c>
      <c r="N269" s="2" t="n">
        <v>68</v>
      </c>
      <c r="O269" s="29" t="s">
        <v>594</v>
      </c>
      <c r="P269" s="2" t="n">
        <v>34</v>
      </c>
      <c r="Q269" s="29" t="s">
        <v>595</v>
      </c>
      <c r="R269" s="2" t="n">
        <v>1349.66</v>
      </c>
      <c r="S269" s="2" t="n">
        <v>2099</v>
      </c>
      <c r="T269" s="30" t="n">
        <v>2</v>
      </c>
      <c r="U269" s="1" t="str">
        <f aca="false">D269&amp;"-"&amp;E269&amp;"-"&amp;M269&amp;"-"&amp;O269&amp;"-"&amp;P269&amp;"-"&amp;Q269</f>
        <v>TRIUMPH-60 WP-122|087-PINK-34-C</v>
      </c>
      <c r="W269" s="53" t="s">
        <v>586</v>
      </c>
      <c r="X269" s="50"/>
    </row>
    <row r="270" customFormat="false" ht="15" hidden="true" customHeight="false" outlineLevel="0" collapsed="false">
      <c r="A270" s="40"/>
      <c r="B270" s="51" t="n">
        <v>7613138930076</v>
      </c>
      <c r="C270" s="2" t="s">
        <v>580</v>
      </c>
      <c r="D270" s="2" t="s">
        <v>581</v>
      </c>
      <c r="E270" s="61" t="s">
        <v>589</v>
      </c>
      <c r="F270" s="14" t="s">
        <v>40</v>
      </c>
      <c r="G270" s="3" t="s">
        <v>41</v>
      </c>
      <c r="H270" s="3" t="s">
        <v>42</v>
      </c>
      <c r="I270" s="3" t="s">
        <v>43</v>
      </c>
      <c r="K270" s="27" t="s">
        <v>590</v>
      </c>
      <c r="L270" s="52"/>
      <c r="M270" s="61" t="s">
        <v>590</v>
      </c>
      <c r="N270" s="29" t="s">
        <v>584</v>
      </c>
      <c r="O270" s="29" t="s">
        <v>585</v>
      </c>
      <c r="P270" s="2" t="n">
        <v>34</v>
      </c>
      <c r="Q270" s="29" t="s">
        <v>97</v>
      </c>
      <c r="R270" s="2" t="n">
        <v>1349.66</v>
      </c>
      <c r="S270" s="2" t="n">
        <v>2099</v>
      </c>
      <c r="T270" s="30" t="n">
        <v>1</v>
      </c>
      <c r="U270" s="1" t="str">
        <f aca="false">D270&amp;"-"&amp;E270&amp;"-"&amp;M270&amp;"-"&amp;O270&amp;"-"&amp;P270&amp;"-"&amp;Q270</f>
        <v>TRIUMPH-60 WP-122|087-CORAL-34-D</v>
      </c>
      <c r="W270" s="53" t="s">
        <v>586</v>
      </c>
      <c r="X270" s="50"/>
    </row>
    <row r="271" customFormat="false" ht="15" hidden="true" customHeight="false" outlineLevel="0" collapsed="false">
      <c r="A271" s="40"/>
      <c r="B271" s="51" t="n">
        <v>7613108840398</v>
      </c>
      <c r="C271" s="2" t="s">
        <v>580</v>
      </c>
      <c r="D271" s="2" t="s">
        <v>581</v>
      </c>
      <c r="E271" s="61" t="s">
        <v>589</v>
      </c>
      <c r="F271" s="14" t="s">
        <v>40</v>
      </c>
      <c r="G271" s="3" t="s">
        <v>41</v>
      </c>
      <c r="H271" s="3" t="s">
        <v>42</v>
      </c>
      <c r="I271" s="3" t="s">
        <v>43</v>
      </c>
      <c r="K271" s="27" t="s">
        <v>590</v>
      </c>
      <c r="L271" s="52"/>
      <c r="M271" s="61" t="s">
        <v>590</v>
      </c>
      <c r="N271" s="29" t="s">
        <v>591</v>
      </c>
      <c r="O271" s="29" t="s">
        <v>465</v>
      </c>
      <c r="P271" s="2" t="n">
        <v>34</v>
      </c>
      <c r="Q271" s="29" t="s">
        <v>97</v>
      </c>
      <c r="R271" s="2" t="n">
        <v>1349.66</v>
      </c>
      <c r="S271" s="2" t="n">
        <v>2099</v>
      </c>
      <c r="T271" s="30" t="n">
        <v>1</v>
      </c>
      <c r="U271" s="1" t="str">
        <f aca="false">D271&amp;"-"&amp;E271&amp;"-"&amp;M271&amp;"-"&amp;O271&amp;"-"&amp;P271&amp;"-"&amp;Q271</f>
        <v>TRIUMPH-60 WP-122|087-SKIN-34-D</v>
      </c>
      <c r="W271" s="53" t="s">
        <v>586</v>
      </c>
      <c r="X271" s="50"/>
    </row>
    <row r="272" customFormat="false" ht="15" hidden="true" customHeight="false" outlineLevel="0" collapsed="false">
      <c r="A272" s="40"/>
      <c r="B272" s="51" t="n">
        <v>7613113035932</v>
      </c>
      <c r="C272" s="2" t="s">
        <v>580</v>
      </c>
      <c r="D272" s="2" t="s">
        <v>581</v>
      </c>
      <c r="E272" s="61" t="s">
        <v>589</v>
      </c>
      <c r="F272" s="14" t="s">
        <v>40</v>
      </c>
      <c r="G272" s="3" t="s">
        <v>41</v>
      </c>
      <c r="H272" s="3" t="s">
        <v>42</v>
      </c>
      <c r="I272" s="3" t="s">
        <v>43</v>
      </c>
      <c r="K272" s="27" t="s">
        <v>590</v>
      </c>
      <c r="L272" s="52"/>
      <c r="M272" s="61" t="s">
        <v>590</v>
      </c>
      <c r="N272" s="86" t="s">
        <v>584</v>
      </c>
      <c r="O272" s="29" t="s">
        <v>585</v>
      </c>
      <c r="P272" s="2" t="n">
        <v>34</v>
      </c>
      <c r="Q272" s="29" t="s">
        <v>97</v>
      </c>
      <c r="R272" s="2" t="n">
        <v>1349.66</v>
      </c>
      <c r="S272" s="2" t="n">
        <v>2099</v>
      </c>
      <c r="T272" s="30" t="n">
        <v>1</v>
      </c>
      <c r="U272" s="1" t="str">
        <f aca="false">D272&amp;"-"&amp;E272&amp;"-"&amp;M272&amp;"-"&amp;O272&amp;"-"&amp;P272&amp;"-"&amp;Q272</f>
        <v>TRIUMPH-60 WP-122|087-CORAL-34-D</v>
      </c>
      <c r="W272" s="53" t="s">
        <v>586</v>
      </c>
      <c r="X272" s="50"/>
    </row>
    <row r="273" customFormat="false" ht="15" hidden="true" customHeight="false" outlineLevel="0" collapsed="false">
      <c r="A273" s="40"/>
      <c r="B273" s="51" t="n">
        <v>7613113035932</v>
      </c>
      <c r="C273" s="2" t="s">
        <v>580</v>
      </c>
      <c r="D273" s="2" t="s">
        <v>581</v>
      </c>
      <c r="E273" s="61" t="s">
        <v>589</v>
      </c>
      <c r="F273" s="14" t="s">
        <v>40</v>
      </c>
      <c r="G273" s="3" t="s">
        <v>41</v>
      </c>
      <c r="H273" s="3" t="s">
        <v>42</v>
      </c>
      <c r="I273" s="3" t="s">
        <v>43</v>
      </c>
      <c r="K273" s="27" t="s">
        <v>590</v>
      </c>
      <c r="L273" s="52"/>
      <c r="M273" s="61" t="s">
        <v>590</v>
      </c>
      <c r="N273" s="29" t="s">
        <v>599</v>
      </c>
      <c r="O273" s="29" t="s">
        <v>594</v>
      </c>
      <c r="P273" s="2" t="n">
        <v>34</v>
      </c>
      <c r="Q273" s="29" t="s">
        <v>97</v>
      </c>
      <c r="R273" s="2" t="n">
        <v>1349.66</v>
      </c>
      <c r="S273" s="2" t="n">
        <v>2099</v>
      </c>
      <c r="T273" s="30" t="n">
        <v>3</v>
      </c>
      <c r="U273" s="1" t="str">
        <f aca="false">D273&amp;"-"&amp;E273&amp;"-"&amp;M273&amp;"-"&amp;O273&amp;"-"&amp;P273&amp;"-"&amp;Q273</f>
        <v>TRIUMPH-60 WP-122|087-PINK-34-D</v>
      </c>
      <c r="W273" s="53" t="s">
        <v>586</v>
      </c>
      <c r="X273" s="50"/>
    </row>
    <row r="274" customFormat="false" ht="15" hidden="true" customHeight="false" outlineLevel="0" collapsed="false">
      <c r="A274" s="40"/>
      <c r="B274" s="51" t="n">
        <v>7613138521496</v>
      </c>
      <c r="C274" s="2" t="s">
        <v>580</v>
      </c>
      <c r="D274" s="2" t="s">
        <v>581</v>
      </c>
      <c r="E274" s="61" t="s">
        <v>589</v>
      </c>
      <c r="F274" s="14" t="s">
        <v>40</v>
      </c>
      <c r="G274" s="3" t="s">
        <v>41</v>
      </c>
      <c r="H274" s="3" t="s">
        <v>42</v>
      </c>
      <c r="I274" s="3" t="s">
        <v>43</v>
      </c>
      <c r="K274" s="27" t="s">
        <v>590</v>
      </c>
      <c r="L274" s="52"/>
      <c r="M274" s="61" t="s">
        <v>590</v>
      </c>
      <c r="N274" s="29" t="s">
        <v>603</v>
      </c>
      <c r="O274" s="29" t="s">
        <v>465</v>
      </c>
      <c r="P274" s="2" t="n">
        <v>34</v>
      </c>
      <c r="Q274" s="29" t="s">
        <v>66</v>
      </c>
      <c r="R274" s="2" t="n">
        <v>1349.66</v>
      </c>
      <c r="S274" s="2" t="n">
        <v>2099</v>
      </c>
      <c r="T274" s="30" t="n">
        <v>3</v>
      </c>
      <c r="U274" s="1" t="str">
        <f aca="false">D274&amp;"-"&amp;E274&amp;"-"&amp;M274&amp;"-"&amp;O274&amp;"-"&amp;P274&amp;"-"&amp;Q274</f>
        <v>TRIUMPH-60 WP-122|087-SKIN-34-E</v>
      </c>
      <c r="W274" s="53" t="s">
        <v>586</v>
      </c>
      <c r="X274" s="50"/>
    </row>
    <row r="275" customFormat="false" ht="15" hidden="true" customHeight="false" outlineLevel="0" collapsed="false">
      <c r="A275" s="40"/>
      <c r="B275" s="51" t="n">
        <v>7613113035994</v>
      </c>
      <c r="C275" s="2" t="s">
        <v>580</v>
      </c>
      <c r="D275" s="2" t="s">
        <v>581</v>
      </c>
      <c r="E275" s="61" t="s">
        <v>589</v>
      </c>
      <c r="F275" s="14" t="s">
        <v>40</v>
      </c>
      <c r="G275" s="3" t="s">
        <v>41</v>
      </c>
      <c r="H275" s="3" t="s">
        <v>42</v>
      </c>
      <c r="I275" s="3" t="s">
        <v>43</v>
      </c>
      <c r="K275" s="27" t="s">
        <v>590</v>
      </c>
      <c r="L275" s="52"/>
      <c r="M275" s="61" t="s">
        <v>590</v>
      </c>
      <c r="N275" s="2" t="n">
        <v>68</v>
      </c>
      <c r="O275" s="29" t="s">
        <v>594</v>
      </c>
      <c r="P275" s="2" t="n">
        <v>34</v>
      </c>
      <c r="Q275" s="29" t="s">
        <v>66</v>
      </c>
      <c r="R275" s="2" t="n">
        <v>1349.66</v>
      </c>
      <c r="S275" s="2" t="n">
        <v>2099</v>
      </c>
      <c r="T275" s="30" t="n">
        <v>0</v>
      </c>
      <c r="U275" s="1" t="str">
        <f aca="false">D275&amp;"-"&amp;E275&amp;"-"&amp;M275&amp;"-"&amp;O275&amp;"-"&amp;P275&amp;"-"&amp;Q275</f>
        <v>TRIUMPH-60 WP-122|087-PINK-34-E</v>
      </c>
      <c r="W275" s="53" t="s">
        <v>586</v>
      </c>
      <c r="X275" s="50"/>
    </row>
    <row r="276" customFormat="false" ht="15" hidden="true" customHeight="false" outlineLevel="0" collapsed="false">
      <c r="A276" s="40"/>
      <c r="B276" s="51" t="n">
        <v>7613139184508</v>
      </c>
      <c r="C276" s="2" t="s">
        <v>580</v>
      </c>
      <c r="D276" s="2" t="s">
        <v>581</v>
      </c>
      <c r="E276" s="61" t="s">
        <v>589</v>
      </c>
      <c r="F276" s="14" t="s">
        <v>40</v>
      </c>
      <c r="G276" s="3" t="s">
        <v>41</v>
      </c>
      <c r="H276" s="3" t="s">
        <v>42</v>
      </c>
      <c r="I276" s="3" t="s">
        <v>43</v>
      </c>
      <c r="K276" s="27" t="s">
        <v>590</v>
      </c>
      <c r="L276" s="52"/>
      <c r="M276" s="61" t="s">
        <v>590</v>
      </c>
      <c r="N276" s="86" t="s">
        <v>591</v>
      </c>
      <c r="O276" s="86" t="s">
        <v>465</v>
      </c>
      <c r="P276" s="2" t="n">
        <v>34</v>
      </c>
      <c r="Q276" s="86" t="s">
        <v>50</v>
      </c>
      <c r="R276" s="2" t="n">
        <v>1349.66</v>
      </c>
      <c r="S276" s="2" t="n">
        <v>2099</v>
      </c>
      <c r="T276" s="30" t="n">
        <v>0</v>
      </c>
      <c r="U276" s="1" t="str">
        <f aca="false">D276&amp;"-"&amp;E276&amp;"-"&amp;M276&amp;"-"&amp;O276&amp;"-"&amp;P276&amp;"-"&amp;Q276</f>
        <v>TRIUMPH-60 WP-122|087-SKIN-34-F</v>
      </c>
      <c r="W276" s="53" t="s">
        <v>586</v>
      </c>
      <c r="X276" s="50"/>
    </row>
    <row r="277" customFormat="false" ht="15" hidden="true" customHeight="false" outlineLevel="0" collapsed="false">
      <c r="A277" s="40"/>
      <c r="B277" s="51" t="n">
        <v>7613138930120</v>
      </c>
      <c r="C277" s="2" t="s">
        <v>580</v>
      </c>
      <c r="D277" s="2" t="s">
        <v>581</v>
      </c>
      <c r="E277" s="61" t="s">
        <v>589</v>
      </c>
      <c r="F277" s="14" t="s">
        <v>40</v>
      </c>
      <c r="G277" s="3" t="s">
        <v>41</v>
      </c>
      <c r="H277" s="3" t="s">
        <v>42</v>
      </c>
      <c r="I277" s="3" t="s">
        <v>43</v>
      </c>
      <c r="K277" s="27" t="s">
        <v>590</v>
      </c>
      <c r="L277" s="52"/>
      <c r="M277" s="61" t="s">
        <v>590</v>
      </c>
      <c r="N277" s="86" t="s">
        <v>584</v>
      </c>
      <c r="O277" s="86" t="s">
        <v>585</v>
      </c>
      <c r="P277" s="2" t="n">
        <v>36</v>
      </c>
      <c r="Q277" s="86" t="s">
        <v>97</v>
      </c>
      <c r="R277" s="2" t="n">
        <v>1349.66</v>
      </c>
      <c r="S277" s="2" t="n">
        <v>2099</v>
      </c>
      <c r="T277" s="30" t="n">
        <v>0</v>
      </c>
      <c r="U277" s="1" t="str">
        <f aca="false">D277&amp;"-"&amp;E277&amp;"-"&amp;M277&amp;"-"&amp;O277&amp;"-"&amp;P277&amp;"-"&amp;Q277</f>
        <v>TRIUMPH-60 WP-122|087-CORAL-36-D</v>
      </c>
      <c r="W277" s="53" t="s">
        <v>586</v>
      </c>
      <c r="X277" s="50"/>
    </row>
    <row r="278" customFormat="false" ht="15" hidden="true" customHeight="false" outlineLevel="0" collapsed="false">
      <c r="A278" s="40"/>
      <c r="B278" s="51" t="n">
        <v>7613108840404</v>
      </c>
      <c r="C278" s="2" t="s">
        <v>580</v>
      </c>
      <c r="D278" s="2" t="s">
        <v>581</v>
      </c>
      <c r="E278" s="61" t="s">
        <v>589</v>
      </c>
      <c r="F278" s="14" t="s">
        <v>40</v>
      </c>
      <c r="G278" s="3" t="s">
        <v>41</v>
      </c>
      <c r="H278" s="3" t="s">
        <v>42</v>
      </c>
      <c r="I278" s="3" t="s">
        <v>43</v>
      </c>
      <c r="K278" s="27" t="s">
        <v>590</v>
      </c>
      <c r="L278" s="52"/>
      <c r="M278" s="61" t="s">
        <v>590</v>
      </c>
      <c r="N278" s="86" t="s">
        <v>591</v>
      </c>
      <c r="O278" s="86" t="s">
        <v>465</v>
      </c>
      <c r="P278" s="2" t="n">
        <v>36</v>
      </c>
      <c r="Q278" s="86" t="s">
        <v>97</v>
      </c>
      <c r="R278" s="2" t="n">
        <v>1349.66</v>
      </c>
      <c r="S278" s="2" t="n">
        <v>2099</v>
      </c>
      <c r="T278" s="30" t="n">
        <v>0</v>
      </c>
      <c r="U278" s="1" t="str">
        <f aca="false">D278&amp;"-"&amp;E278&amp;"-"&amp;M278&amp;"-"&amp;O278&amp;"-"&amp;P278&amp;"-"&amp;Q278</f>
        <v>TRIUMPH-60 WP-122|087-SKIN-36-D</v>
      </c>
      <c r="W278" s="53" t="s">
        <v>586</v>
      </c>
      <c r="X278" s="50"/>
    </row>
    <row r="279" customFormat="false" ht="15" hidden="true" customHeight="false" outlineLevel="0" collapsed="false">
      <c r="A279" s="40"/>
      <c r="B279" s="51" t="n">
        <v>7613138521502</v>
      </c>
      <c r="C279" s="2" t="s">
        <v>580</v>
      </c>
      <c r="D279" s="2" t="s">
        <v>581</v>
      </c>
      <c r="E279" s="61" t="s">
        <v>589</v>
      </c>
      <c r="F279" s="14" t="s">
        <v>40</v>
      </c>
      <c r="G279" s="3" t="s">
        <v>41</v>
      </c>
      <c r="H279" s="3" t="s">
        <v>42</v>
      </c>
      <c r="I279" s="3" t="s">
        <v>43</v>
      </c>
      <c r="K279" s="27" t="s">
        <v>590</v>
      </c>
      <c r="L279" s="52"/>
      <c r="M279" s="61" t="s">
        <v>590</v>
      </c>
      <c r="N279" s="86" t="s">
        <v>591</v>
      </c>
      <c r="O279" s="86" t="s">
        <v>465</v>
      </c>
      <c r="P279" s="2" t="n">
        <v>36</v>
      </c>
      <c r="Q279" s="86" t="s">
        <v>66</v>
      </c>
      <c r="R279" s="2" t="n">
        <v>1349.66</v>
      </c>
      <c r="S279" s="2" t="n">
        <v>2099</v>
      </c>
      <c r="T279" s="30" t="n">
        <v>0</v>
      </c>
      <c r="U279" s="1" t="str">
        <f aca="false">D279&amp;"-"&amp;E279&amp;"-"&amp;M279&amp;"-"&amp;O279&amp;"-"&amp;P279&amp;"-"&amp;Q279</f>
        <v>TRIUMPH-60 WP-122|087-SKIN-36-E</v>
      </c>
      <c r="W279" s="53" t="s">
        <v>586</v>
      </c>
      <c r="X279" s="50"/>
    </row>
    <row r="280" customFormat="false" ht="15" hidden="true" customHeight="false" outlineLevel="0" collapsed="false">
      <c r="A280" s="40"/>
      <c r="B280" s="51" t="n">
        <v>7613139184515</v>
      </c>
      <c r="C280" s="2" t="s">
        <v>580</v>
      </c>
      <c r="D280" s="2" t="s">
        <v>581</v>
      </c>
      <c r="E280" s="61" t="s">
        <v>589</v>
      </c>
      <c r="F280" s="14" t="s">
        <v>40</v>
      </c>
      <c r="G280" s="3" t="s">
        <v>41</v>
      </c>
      <c r="H280" s="3" t="s">
        <v>42</v>
      </c>
      <c r="I280" s="3" t="s">
        <v>43</v>
      </c>
      <c r="K280" s="27" t="s">
        <v>590</v>
      </c>
      <c r="L280" s="52"/>
      <c r="M280" s="61" t="s">
        <v>590</v>
      </c>
      <c r="N280" s="86" t="s">
        <v>591</v>
      </c>
      <c r="O280" s="86" t="s">
        <v>465</v>
      </c>
      <c r="P280" s="2" t="n">
        <v>36</v>
      </c>
      <c r="Q280" s="86" t="s">
        <v>50</v>
      </c>
      <c r="R280" s="2" t="n">
        <v>1349.66</v>
      </c>
      <c r="S280" s="2" t="n">
        <v>2099</v>
      </c>
      <c r="T280" s="30" t="n">
        <v>1</v>
      </c>
      <c r="U280" s="1" t="str">
        <f aca="false">D280&amp;"-"&amp;E280&amp;"-"&amp;M280&amp;"-"&amp;O280&amp;"-"&amp;P280&amp;"-"&amp;Q280</f>
        <v>TRIUMPH-60 WP-122|087-SKIN-36-F</v>
      </c>
      <c r="W280" s="53" t="s">
        <v>586</v>
      </c>
      <c r="X280" s="50"/>
    </row>
    <row r="281" customFormat="false" ht="15" hidden="true" customHeight="false" outlineLevel="0" collapsed="false">
      <c r="A281" s="40"/>
      <c r="B281" s="51" t="n">
        <v>7613108840411</v>
      </c>
      <c r="C281" s="2" t="s">
        <v>580</v>
      </c>
      <c r="D281" s="2" t="s">
        <v>581</v>
      </c>
      <c r="E281" s="61" t="s">
        <v>589</v>
      </c>
      <c r="F281" s="14" t="s">
        <v>40</v>
      </c>
      <c r="G281" s="3" t="s">
        <v>41</v>
      </c>
      <c r="H281" s="3" t="s">
        <v>42</v>
      </c>
      <c r="I281" s="3" t="s">
        <v>43</v>
      </c>
      <c r="K281" s="27" t="s">
        <v>590</v>
      </c>
      <c r="L281" s="52"/>
      <c r="M281" s="61" t="s">
        <v>590</v>
      </c>
      <c r="N281" s="86" t="s">
        <v>591</v>
      </c>
      <c r="O281" s="86" t="s">
        <v>465</v>
      </c>
      <c r="P281" s="2" t="n">
        <v>38</v>
      </c>
      <c r="Q281" s="86" t="s">
        <v>97</v>
      </c>
      <c r="R281" s="2" t="n">
        <v>1349.66</v>
      </c>
      <c r="S281" s="2" t="n">
        <v>2099</v>
      </c>
      <c r="T281" s="30" t="n">
        <v>1</v>
      </c>
      <c r="U281" s="1" t="str">
        <f aca="false">D281&amp;"-"&amp;E281&amp;"-"&amp;M281&amp;"-"&amp;O281&amp;"-"&amp;P281&amp;"-"&amp;Q281</f>
        <v>TRIUMPH-60 WP-122|087-SKIN-38-D</v>
      </c>
      <c r="W281" s="53" t="s">
        <v>586</v>
      </c>
      <c r="X281" s="50"/>
    </row>
    <row r="282" customFormat="false" ht="15" hidden="true" customHeight="false" outlineLevel="0" collapsed="false">
      <c r="A282" s="40"/>
      <c r="B282" s="51" t="n">
        <v>7613139184799</v>
      </c>
      <c r="C282" s="2" t="s">
        <v>580</v>
      </c>
      <c r="D282" s="2" t="s">
        <v>581</v>
      </c>
      <c r="E282" s="61" t="s">
        <v>589</v>
      </c>
      <c r="F282" s="14" t="s">
        <v>40</v>
      </c>
      <c r="G282" s="3" t="s">
        <v>41</v>
      </c>
      <c r="H282" s="3" t="s">
        <v>42</v>
      </c>
      <c r="I282" s="3" t="s">
        <v>43</v>
      </c>
      <c r="K282" s="27" t="s">
        <v>590</v>
      </c>
      <c r="L282" s="52"/>
      <c r="M282" s="61" t="s">
        <v>590</v>
      </c>
      <c r="N282" s="86" t="s">
        <v>591</v>
      </c>
      <c r="O282" s="86" t="s">
        <v>465</v>
      </c>
      <c r="P282" s="2" t="n">
        <v>38</v>
      </c>
      <c r="Q282" s="86" t="s">
        <v>66</v>
      </c>
      <c r="R282" s="2" t="n">
        <v>1349.66</v>
      </c>
      <c r="S282" s="2" t="n">
        <v>2099</v>
      </c>
      <c r="T282" s="30" t="n">
        <v>2</v>
      </c>
      <c r="U282" s="1" t="str">
        <f aca="false">D282&amp;"-"&amp;E282&amp;"-"&amp;M282&amp;"-"&amp;O282&amp;"-"&amp;P282&amp;"-"&amp;Q282</f>
        <v>TRIUMPH-60 WP-122|087-SKIN-38-E</v>
      </c>
      <c r="W282" s="53" t="s">
        <v>586</v>
      </c>
      <c r="X282" s="50"/>
    </row>
    <row r="283" customFormat="false" ht="15" hidden="true" customHeight="false" outlineLevel="0" collapsed="false">
      <c r="A283" s="40"/>
      <c r="B283" s="87" t="n">
        <v>7613139184546</v>
      </c>
      <c r="C283" s="63" t="s">
        <v>580</v>
      </c>
      <c r="D283" s="63" t="s">
        <v>581</v>
      </c>
      <c r="E283" s="64" t="s">
        <v>589</v>
      </c>
      <c r="F283" s="65" t="s">
        <v>40</v>
      </c>
      <c r="G283" s="66" t="s">
        <v>41</v>
      </c>
      <c r="H283" s="66" t="s">
        <v>42</v>
      </c>
      <c r="I283" s="66" t="s">
        <v>43</v>
      </c>
      <c r="J283" s="66"/>
      <c r="K283" s="67" t="s">
        <v>590</v>
      </c>
      <c r="L283" s="68"/>
      <c r="M283" s="64" t="s">
        <v>590</v>
      </c>
      <c r="N283" s="63" t="s">
        <v>591</v>
      </c>
      <c r="O283" s="63" t="s">
        <v>465</v>
      </c>
      <c r="P283" s="63" t="n">
        <v>38</v>
      </c>
      <c r="Q283" s="63" t="s">
        <v>50</v>
      </c>
      <c r="R283" s="63" t="n">
        <v>1349.66</v>
      </c>
      <c r="S283" s="63" t="n">
        <v>2099</v>
      </c>
      <c r="T283" s="69" t="n">
        <v>1</v>
      </c>
      <c r="U283" s="70" t="str">
        <f aca="false">D283&amp;"-"&amp;E283&amp;"-"&amp;M283&amp;"-"&amp;O283&amp;"-"&amp;P283&amp;"-"&amp;Q283</f>
        <v>TRIUMPH-60 WP-122|087-SKIN-38-F</v>
      </c>
      <c r="V283" s="70"/>
      <c r="W283" s="71" t="s">
        <v>586</v>
      </c>
      <c r="X283" s="50"/>
    </row>
    <row r="284" customFormat="false" ht="15" hidden="true" customHeight="false" outlineLevel="0" collapsed="false">
      <c r="B284" s="88" t="n">
        <v>7613113035550</v>
      </c>
      <c r="C284" s="89" t="s">
        <v>580</v>
      </c>
      <c r="D284" s="89" t="s">
        <v>581</v>
      </c>
      <c r="E284" s="90" t="s">
        <v>604</v>
      </c>
      <c r="F284" s="91" t="s">
        <v>40</v>
      </c>
      <c r="G284" s="92" t="s">
        <v>41</v>
      </c>
      <c r="H284" s="92" t="s">
        <v>42</v>
      </c>
      <c r="I284" s="92" t="s">
        <v>43</v>
      </c>
      <c r="J284" s="92"/>
      <c r="K284" s="93" t="s">
        <v>605</v>
      </c>
      <c r="L284" s="94"/>
      <c r="M284" s="90" t="s">
        <v>605</v>
      </c>
      <c r="N284" s="90" t="s">
        <v>599</v>
      </c>
      <c r="O284" s="90" t="s">
        <v>594</v>
      </c>
      <c r="P284" s="90" t="s">
        <v>92</v>
      </c>
      <c r="Q284" s="89" t="s">
        <v>592</v>
      </c>
      <c r="R284" s="89" t="n">
        <v>1285.36</v>
      </c>
      <c r="S284" s="89" t="n">
        <v>1999</v>
      </c>
      <c r="T284" s="95" t="n">
        <v>0</v>
      </c>
      <c r="U284" s="96" t="str">
        <f aca="false">D284&amp;"-"&amp;E284&amp;"-"&amp;M284&amp;"-"&amp;O284&amp;"-"&amp;P284&amp;"-"&amp;Q284</f>
        <v>TRIUMPH-60 P-110|401-PINK-32-B</v>
      </c>
      <c r="V284" s="96"/>
      <c r="W284" s="96"/>
    </row>
    <row r="285" customFormat="false" ht="15" hidden="true" customHeight="false" outlineLevel="0" collapsed="false">
      <c r="B285" s="31" t="n">
        <v>7613142604659</v>
      </c>
      <c r="C285" s="2" t="s">
        <v>580</v>
      </c>
      <c r="D285" s="2" t="s">
        <v>581</v>
      </c>
      <c r="E285" s="17" t="s">
        <v>604</v>
      </c>
      <c r="F285" s="14" t="s">
        <v>40</v>
      </c>
      <c r="G285" s="3" t="s">
        <v>41</v>
      </c>
      <c r="H285" s="3" t="s">
        <v>42</v>
      </c>
      <c r="I285" s="3" t="s">
        <v>43</v>
      </c>
      <c r="K285" s="19" t="s">
        <v>605</v>
      </c>
      <c r="L285" s="52"/>
      <c r="M285" s="17" t="s">
        <v>605</v>
      </c>
      <c r="N285" s="86" t="s">
        <v>606</v>
      </c>
      <c r="O285" s="86" t="s">
        <v>607</v>
      </c>
      <c r="P285" s="2" t="n">
        <v>32</v>
      </c>
      <c r="Q285" s="86" t="s">
        <v>592</v>
      </c>
      <c r="R285" s="2" t="n">
        <v>1285.36</v>
      </c>
      <c r="S285" s="2" t="n">
        <v>1999</v>
      </c>
      <c r="T285" s="30" t="n">
        <v>0</v>
      </c>
      <c r="U285" s="1" t="str">
        <f aca="false">D285&amp;"-"&amp;E285&amp;"-"&amp;M285&amp;"-"&amp;O285&amp;"-"&amp;P285&amp;"-"&amp;Q285</f>
        <v>TRIUMPH-60 P-110|401-MAROON-32-B</v>
      </c>
    </row>
    <row r="286" customFormat="false" ht="15" hidden="true" customHeight="false" outlineLevel="0" collapsed="false">
      <c r="B286" s="31" t="n">
        <v>7613113035598</v>
      </c>
      <c r="C286" s="2" t="s">
        <v>580</v>
      </c>
      <c r="D286" s="2" t="s">
        <v>581</v>
      </c>
      <c r="E286" s="17" t="s">
        <v>604</v>
      </c>
      <c r="F286" s="14" t="s">
        <v>40</v>
      </c>
      <c r="G286" s="3" t="s">
        <v>41</v>
      </c>
      <c r="H286" s="3" t="s">
        <v>42</v>
      </c>
      <c r="I286" s="3" t="s">
        <v>43</v>
      </c>
      <c r="K286" s="19" t="s">
        <v>605</v>
      </c>
      <c r="L286" s="52"/>
      <c r="M286" s="17" t="s">
        <v>605</v>
      </c>
      <c r="N286" s="86" t="n">
        <v>68</v>
      </c>
      <c r="O286" s="86" t="s">
        <v>594</v>
      </c>
      <c r="P286" s="2" t="n">
        <v>32</v>
      </c>
      <c r="Q286" s="86" t="s">
        <v>595</v>
      </c>
      <c r="R286" s="2" t="n">
        <v>1285.36</v>
      </c>
      <c r="S286" s="2" t="n">
        <v>1999</v>
      </c>
      <c r="T286" s="30" t="n">
        <v>0</v>
      </c>
      <c r="U286" s="1" t="str">
        <f aca="false">D286&amp;"-"&amp;E286&amp;"-"&amp;M286&amp;"-"&amp;O286&amp;"-"&amp;P286&amp;"-"&amp;Q286</f>
        <v>TRIUMPH-60 P-110|401-PINK-32-C</v>
      </c>
    </row>
    <row r="287" customFormat="false" ht="15" hidden="true" customHeight="false" outlineLevel="0" collapsed="false">
      <c r="B287" s="31" t="n">
        <v>7613108917069</v>
      </c>
      <c r="C287" s="2" t="s">
        <v>580</v>
      </c>
      <c r="D287" s="2" t="s">
        <v>581</v>
      </c>
      <c r="E287" s="17" t="s">
        <v>604</v>
      </c>
      <c r="F287" s="14" t="s">
        <v>40</v>
      </c>
      <c r="G287" s="3" t="s">
        <v>41</v>
      </c>
      <c r="H287" s="3" t="s">
        <v>42</v>
      </c>
      <c r="I287" s="3" t="s">
        <v>43</v>
      </c>
      <c r="K287" s="19" t="s">
        <v>605</v>
      </c>
      <c r="L287" s="52"/>
      <c r="M287" s="17" t="s">
        <v>605</v>
      </c>
      <c r="N287" s="86" t="s">
        <v>591</v>
      </c>
      <c r="O287" s="86" t="s">
        <v>465</v>
      </c>
      <c r="P287" s="2" t="n">
        <v>32</v>
      </c>
      <c r="Q287" s="86" t="s">
        <v>595</v>
      </c>
      <c r="R287" s="2" t="n">
        <v>1285.36</v>
      </c>
      <c r="S287" s="2" t="n">
        <v>1999</v>
      </c>
      <c r="T287" s="30" t="n">
        <v>0</v>
      </c>
      <c r="U287" s="1" t="str">
        <f aca="false">D287&amp;"-"&amp;E287&amp;"-"&amp;M287&amp;"-"&amp;O287&amp;"-"&amp;P287&amp;"-"&amp;Q287</f>
        <v>TRIUMPH-60 P-110|401-SKIN-32-C</v>
      </c>
    </row>
    <row r="288" customFormat="false" ht="15" hidden="true" customHeight="false" outlineLevel="0" collapsed="false">
      <c r="B288" s="31" t="n">
        <v>7613138381601</v>
      </c>
      <c r="C288" s="2" t="s">
        <v>580</v>
      </c>
      <c r="D288" s="2" t="s">
        <v>581</v>
      </c>
      <c r="E288" s="17" t="s">
        <v>604</v>
      </c>
      <c r="F288" s="14" t="s">
        <v>40</v>
      </c>
      <c r="G288" s="3" t="s">
        <v>41</v>
      </c>
      <c r="H288" s="3" t="s">
        <v>42</v>
      </c>
      <c r="I288" s="3" t="s">
        <v>43</v>
      </c>
      <c r="K288" s="19" t="s">
        <v>605</v>
      </c>
      <c r="L288" s="52"/>
      <c r="M288" s="17" t="s">
        <v>605</v>
      </c>
      <c r="N288" s="86" t="s">
        <v>591</v>
      </c>
      <c r="O288" s="86" t="s">
        <v>89</v>
      </c>
      <c r="P288" s="2" t="n">
        <v>32</v>
      </c>
      <c r="Q288" s="86" t="s">
        <v>97</v>
      </c>
      <c r="R288" s="2" t="n">
        <v>1285.36</v>
      </c>
      <c r="S288" s="2" t="n">
        <v>1999</v>
      </c>
      <c r="T288" s="30" t="n">
        <v>0</v>
      </c>
      <c r="U288" s="1" t="str">
        <f aca="false">D288&amp;"-"&amp;E288&amp;"-"&amp;M288&amp;"-"&amp;O288&amp;"-"&amp;P288&amp;"-"&amp;Q288</f>
        <v>TRIUMPH-60 P-110|401-BLUE-32-D</v>
      </c>
    </row>
    <row r="289" customFormat="false" ht="15" hidden="true" customHeight="false" outlineLevel="0" collapsed="false">
      <c r="B289" s="31" t="n">
        <v>7613138930694</v>
      </c>
      <c r="C289" s="2" t="s">
        <v>580</v>
      </c>
      <c r="D289" s="2" t="s">
        <v>581</v>
      </c>
      <c r="E289" s="17" t="s">
        <v>604</v>
      </c>
      <c r="F289" s="14" t="s">
        <v>40</v>
      </c>
      <c r="G289" s="3" t="s">
        <v>41</v>
      </c>
      <c r="H289" s="3" t="s">
        <v>42</v>
      </c>
      <c r="I289" s="3" t="s">
        <v>43</v>
      </c>
      <c r="K289" s="19" t="s">
        <v>605</v>
      </c>
      <c r="L289" s="52"/>
      <c r="M289" s="17" t="s">
        <v>605</v>
      </c>
      <c r="N289" s="86" t="s">
        <v>602</v>
      </c>
      <c r="O289" s="86" t="s">
        <v>89</v>
      </c>
      <c r="P289" s="2" t="n">
        <v>32</v>
      </c>
      <c r="Q289" s="86" t="s">
        <v>97</v>
      </c>
      <c r="R289" s="2" t="n">
        <v>1285.36</v>
      </c>
      <c r="S289" s="2" t="n">
        <v>1999</v>
      </c>
      <c r="T289" s="30" t="n">
        <v>0</v>
      </c>
      <c r="U289" s="1" t="str">
        <f aca="false">D289&amp;"-"&amp;E289&amp;"-"&amp;M289&amp;"-"&amp;O289&amp;"-"&amp;P289&amp;"-"&amp;Q289</f>
        <v>TRIUMPH-60 P-110|401-BLUE-32-D</v>
      </c>
    </row>
    <row r="290" customFormat="false" ht="15" hidden="true" customHeight="false" outlineLevel="0" collapsed="false">
      <c r="B290" s="31" t="n">
        <v>7613138930236</v>
      </c>
      <c r="C290" s="2" t="s">
        <v>580</v>
      </c>
      <c r="D290" s="2" t="s">
        <v>581</v>
      </c>
      <c r="E290" s="17" t="s">
        <v>604</v>
      </c>
      <c r="F290" s="14" t="s">
        <v>40</v>
      </c>
      <c r="G290" s="3" t="s">
        <v>41</v>
      </c>
      <c r="H290" s="3" t="s">
        <v>42</v>
      </c>
      <c r="I290" s="3" t="s">
        <v>43</v>
      </c>
      <c r="K290" s="19" t="s">
        <v>605</v>
      </c>
      <c r="L290" s="52"/>
      <c r="M290" s="17" t="s">
        <v>605</v>
      </c>
      <c r="N290" s="86" t="s">
        <v>602</v>
      </c>
      <c r="O290" s="86" t="s">
        <v>89</v>
      </c>
      <c r="P290" s="2" t="n">
        <v>34</v>
      </c>
      <c r="Q290" s="86" t="s">
        <v>592</v>
      </c>
      <c r="R290" s="2" t="n">
        <v>1285.36</v>
      </c>
      <c r="S290" s="2" t="n">
        <v>1999</v>
      </c>
      <c r="T290" s="30" t="n">
        <v>1</v>
      </c>
      <c r="U290" s="1" t="str">
        <f aca="false">D290&amp;"-"&amp;E290&amp;"-"&amp;M290&amp;"-"&amp;O290&amp;"-"&amp;P290&amp;"-"&amp;Q290</f>
        <v>TRIUMPH-60 P-110|401-BLUE-34-B</v>
      </c>
    </row>
    <row r="291" customFormat="false" ht="15" hidden="true" customHeight="false" outlineLevel="0" collapsed="false">
      <c r="B291" s="31" t="n">
        <v>7613113035567</v>
      </c>
      <c r="C291" s="2" t="s">
        <v>580</v>
      </c>
      <c r="D291" s="2" t="s">
        <v>581</v>
      </c>
      <c r="E291" s="17" t="s">
        <v>604</v>
      </c>
      <c r="F291" s="14" t="s">
        <v>40</v>
      </c>
      <c r="G291" s="3" t="s">
        <v>41</v>
      </c>
      <c r="H291" s="3" t="s">
        <v>42</v>
      </c>
      <c r="I291" s="3" t="s">
        <v>43</v>
      </c>
      <c r="K291" s="19" t="s">
        <v>605</v>
      </c>
      <c r="L291" s="52"/>
      <c r="M291" s="17" t="s">
        <v>605</v>
      </c>
      <c r="N291" s="2" t="n">
        <v>68</v>
      </c>
      <c r="O291" s="86" t="s">
        <v>594</v>
      </c>
      <c r="P291" s="2" t="n">
        <v>34</v>
      </c>
      <c r="Q291" s="86" t="s">
        <v>592</v>
      </c>
      <c r="R291" s="2" t="n">
        <v>1285.36</v>
      </c>
      <c r="S291" s="2" t="n">
        <v>1999</v>
      </c>
      <c r="T291" s="30" t="n">
        <v>0</v>
      </c>
      <c r="U291" s="1" t="str">
        <f aca="false">D291&amp;"-"&amp;E291&amp;"-"&amp;M291&amp;"-"&amp;O291&amp;"-"&amp;P291&amp;"-"&amp;Q291</f>
        <v>TRIUMPH-60 P-110|401-PINK-34-B</v>
      </c>
    </row>
    <row r="292" customFormat="false" ht="15" hidden="true" customHeight="false" outlineLevel="0" collapsed="false">
      <c r="B292" s="31" t="n">
        <v>7613108916314</v>
      </c>
      <c r="C292" s="2" t="s">
        <v>580</v>
      </c>
      <c r="D292" s="2" t="s">
        <v>581</v>
      </c>
      <c r="E292" s="17" t="s">
        <v>604</v>
      </c>
      <c r="F292" s="14" t="s">
        <v>40</v>
      </c>
      <c r="G292" s="3" t="s">
        <v>41</v>
      </c>
      <c r="H292" s="3" t="s">
        <v>42</v>
      </c>
      <c r="I292" s="3" t="s">
        <v>43</v>
      </c>
      <c r="K292" s="19" t="s">
        <v>605</v>
      </c>
      <c r="L292" s="52"/>
      <c r="M292" s="17" t="s">
        <v>605</v>
      </c>
      <c r="N292" s="86" t="s">
        <v>591</v>
      </c>
      <c r="O292" s="86" t="s">
        <v>465</v>
      </c>
      <c r="P292" s="2" t="n">
        <v>34</v>
      </c>
      <c r="Q292" s="86" t="s">
        <v>592</v>
      </c>
      <c r="R292" s="2" t="n">
        <v>1285.36</v>
      </c>
      <c r="S292" s="2" t="n">
        <v>1999</v>
      </c>
      <c r="T292" s="30" t="n">
        <v>2</v>
      </c>
      <c r="U292" s="1" t="str">
        <f aca="false">D292&amp;"-"&amp;E292&amp;"-"&amp;M292&amp;"-"&amp;O292&amp;"-"&amp;P292&amp;"-"&amp;Q292</f>
        <v>TRIUMPH-60 P-110|401-SKIN-34-B</v>
      </c>
    </row>
    <row r="293" customFormat="false" ht="15" hidden="true" customHeight="false" outlineLevel="0" collapsed="false">
      <c r="B293" s="31" t="n">
        <v>7613108917076</v>
      </c>
      <c r="C293" s="2" t="s">
        <v>580</v>
      </c>
      <c r="D293" s="2" t="s">
        <v>581</v>
      </c>
      <c r="E293" s="17" t="s">
        <v>604</v>
      </c>
      <c r="F293" s="14" t="s">
        <v>40</v>
      </c>
      <c r="G293" s="3" t="s">
        <v>41</v>
      </c>
      <c r="H293" s="3" t="s">
        <v>42</v>
      </c>
      <c r="I293" s="3" t="s">
        <v>43</v>
      </c>
      <c r="K293" s="19" t="s">
        <v>605</v>
      </c>
      <c r="L293" s="52"/>
      <c r="M293" s="17" t="s">
        <v>605</v>
      </c>
      <c r="N293" s="86" t="s">
        <v>591</v>
      </c>
      <c r="O293" s="86" t="s">
        <v>465</v>
      </c>
      <c r="P293" s="2" t="n">
        <v>34</v>
      </c>
      <c r="Q293" s="86" t="s">
        <v>595</v>
      </c>
      <c r="R293" s="2" t="n">
        <v>1285.36</v>
      </c>
      <c r="S293" s="2" t="n">
        <v>1999</v>
      </c>
      <c r="T293" s="30" t="n">
        <v>0</v>
      </c>
      <c r="U293" s="1" t="str">
        <f aca="false">D293&amp;"-"&amp;E293&amp;"-"&amp;M293&amp;"-"&amp;O293&amp;"-"&amp;P293&amp;"-"&amp;Q293</f>
        <v>TRIUMPH-60 P-110|401-SKIN-34-C</v>
      </c>
    </row>
    <row r="294" customFormat="false" ht="15" hidden="true" customHeight="false" outlineLevel="0" collapsed="false">
      <c r="B294" s="31" t="n">
        <v>7613138930519</v>
      </c>
      <c r="C294" s="2" t="s">
        <v>580</v>
      </c>
      <c r="D294" s="2" t="s">
        <v>581</v>
      </c>
      <c r="E294" s="17" t="s">
        <v>604</v>
      </c>
      <c r="F294" s="14" t="s">
        <v>40</v>
      </c>
      <c r="G294" s="3" t="s">
        <v>41</v>
      </c>
      <c r="H294" s="3" t="s">
        <v>42</v>
      </c>
      <c r="I294" s="3" t="s">
        <v>43</v>
      </c>
      <c r="K294" s="19" t="s">
        <v>605</v>
      </c>
      <c r="L294" s="52"/>
      <c r="M294" s="17" t="s">
        <v>605</v>
      </c>
      <c r="N294" s="86" t="s">
        <v>584</v>
      </c>
      <c r="O294" s="86" t="s">
        <v>585</v>
      </c>
      <c r="P294" s="2" t="n">
        <v>34</v>
      </c>
      <c r="Q294" s="86" t="s">
        <v>595</v>
      </c>
      <c r="R294" s="2" t="n">
        <v>1285.36</v>
      </c>
      <c r="S294" s="2" t="n">
        <v>1999</v>
      </c>
      <c r="T294" s="30" t="n">
        <v>1</v>
      </c>
      <c r="U294" s="1" t="str">
        <f aca="false">D294&amp;"-"&amp;E294&amp;"-"&amp;M294&amp;"-"&amp;O294&amp;"-"&amp;P294&amp;"-"&amp;Q294</f>
        <v>TRIUMPH-60 P-110|401-CORAL-34-C</v>
      </c>
    </row>
    <row r="295" customFormat="false" ht="15" hidden="true" customHeight="false" outlineLevel="0" collapsed="false">
      <c r="B295" s="31" t="n">
        <v>7613113035604</v>
      </c>
      <c r="C295" s="2" t="s">
        <v>580</v>
      </c>
      <c r="D295" s="2" t="s">
        <v>581</v>
      </c>
      <c r="E295" s="17" t="s">
        <v>604</v>
      </c>
      <c r="F295" s="14" t="s">
        <v>40</v>
      </c>
      <c r="G295" s="3" t="s">
        <v>41</v>
      </c>
      <c r="H295" s="3" t="s">
        <v>42</v>
      </c>
      <c r="I295" s="3" t="s">
        <v>43</v>
      </c>
      <c r="K295" s="19" t="s">
        <v>605</v>
      </c>
      <c r="L295" s="52"/>
      <c r="M295" s="17" t="s">
        <v>605</v>
      </c>
      <c r="N295" s="2" t="n">
        <v>68</v>
      </c>
      <c r="O295" s="86" t="s">
        <v>594</v>
      </c>
      <c r="P295" s="2" t="n">
        <v>34</v>
      </c>
      <c r="Q295" s="86" t="s">
        <v>595</v>
      </c>
      <c r="R295" s="2" t="n">
        <v>1285.36</v>
      </c>
      <c r="S295" s="2" t="n">
        <v>1999</v>
      </c>
      <c r="T295" s="30" t="n">
        <v>0</v>
      </c>
      <c r="U295" s="1" t="str">
        <f aca="false">D295&amp;"-"&amp;E295&amp;"-"&amp;M295&amp;"-"&amp;O295&amp;"-"&amp;P295&amp;"-"&amp;Q295</f>
        <v>TRIUMPH-60 P-110|401-PINK-34-C</v>
      </c>
    </row>
    <row r="296" customFormat="false" ht="15" hidden="true" customHeight="false" outlineLevel="0" collapsed="false">
      <c r="B296" s="31" t="n">
        <v>7613138381618</v>
      </c>
      <c r="C296" s="2" t="s">
        <v>580</v>
      </c>
      <c r="D296" s="2" t="s">
        <v>581</v>
      </c>
      <c r="E296" s="17" t="s">
        <v>604</v>
      </c>
      <c r="F296" s="14" t="s">
        <v>40</v>
      </c>
      <c r="G296" s="3" t="s">
        <v>41</v>
      </c>
      <c r="H296" s="3" t="s">
        <v>42</v>
      </c>
      <c r="I296" s="3" t="s">
        <v>43</v>
      </c>
      <c r="K296" s="19" t="s">
        <v>605</v>
      </c>
      <c r="L296" s="52"/>
      <c r="M296" s="17" t="s">
        <v>605</v>
      </c>
      <c r="N296" s="86" t="s">
        <v>591</v>
      </c>
      <c r="O296" s="86" t="s">
        <v>465</v>
      </c>
      <c r="P296" s="2" t="n">
        <v>34</v>
      </c>
      <c r="Q296" s="86" t="s">
        <v>97</v>
      </c>
      <c r="R296" s="2" t="n">
        <v>1285.36</v>
      </c>
      <c r="S296" s="2" t="n">
        <v>1999</v>
      </c>
      <c r="T296" s="30" t="n">
        <v>2</v>
      </c>
      <c r="U296" s="1" t="str">
        <f aca="false">D296&amp;"-"&amp;E296&amp;"-"&amp;M296&amp;"-"&amp;O296&amp;"-"&amp;P296&amp;"-"&amp;Q296</f>
        <v>TRIUMPH-60 P-110|401-SKIN-34-D</v>
      </c>
    </row>
    <row r="297" customFormat="false" ht="15" hidden="true" customHeight="false" outlineLevel="0" collapsed="false">
      <c r="B297" s="31" t="n">
        <v>7613113035659</v>
      </c>
      <c r="C297" s="2" t="s">
        <v>580</v>
      </c>
      <c r="D297" s="2" t="s">
        <v>581</v>
      </c>
      <c r="E297" s="17" t="s">
        <v>604</v>
      </c>
      <c r="F297" s="14" t="s">
        <v>40</v>
      </c>
      <c r="G297" s="3" t="s">
        <v>41</v>
      </c>
      <c r="H297" s="3" t="s">
        <v>42</v>
      </c>
      <c r="I297" s="3" t="s">
        <v>43</v>
      </c>
      <c r="K297" s="19" t="s">
        <v>605</v>
      </c>
      <c r="L297" s="52"/>
      <c r="M297" s="17" t="s">
        <v>605</v>
      </c>
      <c r="N297" s="2" t="n">
        <v>68</v>
      </c>
      <c r="O297" s="86" t="s">
        <v>594</v>
      </c>
      <c r="P297" s="2" t="n">
        <v>34</v>
      </c>
      <c r="Q297" s="86" t="s">
        <v>97</v>
      </c>
      <c r="R297" s="2" t="n">
        <v>1285.36</v>
      </c>
      <c r="S297" s="2" t="n">
        <v>1999</v>
      </c>
      <c r="T297" s="30" t="n">
        <v>0</v>
      </c>
      <c r="U297" s="1" t="str">
        <f aca="false">D297&amp;"-"&amp;E297&amp;"-"&amp;M297&amp;"-"&amp;O297&amp;"-"&amp;P297&amp;"-"&amp;Q297</f>
        <v>TRIUMPH-60 P-110|401-PINK-34-D</v>
      </c>
    </row>
    <row r="298" customFormat="false" ht="15" hidden="true" customHeight="false" outlineLevel="0" collapsed="false">
      <c r="B298" s="31" t="n">
        <v>7613142604994</v>
      </c>
      <c r="C298" s="2" t="s">
        <v>580</v>
      </c>
      <c r="D298" s="2" t="s">
        <v>581</v>
      </c>
      <c r="E298" s="17" t="s">
        <v>604</v>
      </c>
      <c r="F298" s="14" t="s">
        <v>40</v>
      </c>
      <c r="G298" s="3" t="s">
        <v>41</v>
      </c>
      <c r="H298" s="3" t="s">
        <v>42</v>
      </c>
      <c r="I298" s="3" t="s">
        <v>43</v>
      </c>
      <c r="K298" s="97" t="s">
        <v>605</v>
      </c>
      <c r="L298" s="52"/>
      <c r="M298" s="98" t="s">
        <v>605</v>
      </c>
      <c r="N298" s="31" t="s">
        <v>593</v>
      </c>
      <c r="O298" s="31" t="s">
        <v>465</v>
      </c>
      <c r="P298" s="31" t="n">
        <v>34</v>
      </c>
      <c r="Q298" s="31" t="s">
        <v>97</v>
      </c>
      <c r="R298" s="2" t="n">
        <v>1285.36</v>
      </c>
      <c r="S298" s="31" t="n">
        <v>1999</v>
      </c>
      <c r="T298" s="99" t="n">
        <v>1</v>
      </c>
      <c r="U298" s="1" t="str">
        <f aca="false">D298&amp;"-"&amp;E298&amp;"-"&amp;M298&amp;"-"&amp;O298&amp;"-"&amp;P298&amp;"-"&amp;Q298</f>
        <v>TRIUMPH-60 P-110|401-SKIN-34-D</v>
      </c>
    </row>
    <row r="299" customFormat="false" ht="15" hidden="true" customHeight="false" outlineLevel="0" collapsed="false">
      <c r="B299" s="31" t="n">
        <v>7613113035574</v>
      </c>
      <c r="C299" s="2" t="s">
        <v>580</v>
      </c>
      <c r="D299" s="2" t="s">
        <v>581</v>
      </c>
      <c r="E299" s="17" t="s">
        <v>604</v>
      </c>
      <c r="F299" s="14" t="s">
        <v>40</v>
      </c>
      <c r="G299" s="3" t="s">
        <v>41</v>
      </c>
      <c r="H299" s="3" t="s">
        <v>42</v>
      </c>
      <c r="I299" s="3" t="s">
        <v>43</v>
      </c>
      <c r="K299" s="19" t="s">
        <v>605</v>
      </c>
      <c r="L299" s="52"/>
      <c r="M299" s="17" t="s">
        <v>605</v>
      </c>
      <c r="N299" s="2" t="n">
        <v>68</v>
      </c>
      <c r="O299" s="86" t="s">
        <v>594</v>
      </c>
      <c r="P299" s="2" t="n">
        <v>36</v>
      </c>
      <c r="Q299" s="86" t="s">
        <v>592</v>
      </c>
      <c r="R299" s="2" t="n">
        <v>1285.36</v>
      </c>
      <c r="S299" s="2" t="n">
        <v>1999</v>
      </c>
      <c r="T299" s="99" t="n">
        <v>0</v>
      </c>
      <c r="U299" s="1" t="str">
        <f aca="false">D299&amp;"-"&amp;E299&amp;"-"&amp;M299&amp;"-"&amp;O299&amp;"-"&amp;P299&amp;"-"&amp;Q299</f>
        <v>TRIUMPH-60 P-110|401-PINK-36-B</v>
      </c>
    </row>
    <row r="300" customFormat="false" ht="15" hidden="true" customHeight="false" outlineLevel="0" collapsed="false">
      <c r="B300" s="31" t="n">
        <v>7613138930564</v>
      </c>
      <c r="C300" s="2" t="s">
        <v>580</v>
      </c>
      <c r="D300" s="2" t="s">
        <v>581</v>
      </c>
      <c r="E300" s="17" t="s">
        <v>604</v>
      </c>
      <c r="F300" s="14" t="s">
        <v>40</v>
      </c>
      <c r="G300" s="3" t="s">
        <v>41</v>
      </c>
      <c r="H300" s="3" t="s">
        <v>42</v>
      </c>
      <c r="I300" s="3" t="s">
        <v>43</v>
      </c>
      <c r="K300" s="19" t="s">
        <v>605</v>
      </c>
      <c r="L300" s="52"/>
      <c r="M300" s="17" t="s">
        <v>605</v>
      </c>
      <c r="N300" s="86" t="s">
        <v>584</v>
      </c>
      <c r="O300" s="86" t="s">
        <v>585</v>
      </c>
      <c r="P300" s="2" t="n">
        <v>36</v>
      </c>
      <c r="Q300" s="86" t="s">
        <v>97</v>
      </c>
      <c r="R300" s="2" t="n">
        <v>1285.36</v>
      </c>
      <c r="S300" s="2" t="n">
        <v>1999</v>
      </c>
      <c r="T300" s="99" t="n">
        <v>1</v>
      </c>
      <c r="U300" s="1" t="str">
        <f aca="false">D300&amp;"-"&amp;E300&amp;"-"&amp;M300&amp;"-"&amp;O300&amp;"-"&amp;P300&amp;"-"&amp;Q300</f>
        <v>TRIUMPH-60 P-110|401-CORAL-36-D</v>
      </c>
    </row>
    <row r="301" customFormat="false" ht="15" hidden="true" customHeight="false" outlineLevel="0" collapsed="false">
      <c r="B301" s="31" t="n">
        <v>7613113035673</v>
      </c>
      <c r="C301" s="2" t="s">
        <v>580</v>
      </c>
      <c r="D301" s="2" t="s">
        <v>581</v>
      </c>
      <c r="E301" s="17" t="s">
        <v>604</v>
      </c>
      <c r="F301" s="14" t="s">
        <v>40</v>
      </c>
      <c r="G301" s="3" t="s">
        <v>41</v>
      </c>
      <c r="H301" s="3" t="s">
        <v>42</v>
      </c>
      <c r="I301" s="3" t="s">
        <v>43</v>
      </c>
      <c r="K301" s="19" t="s">
        <v>605</v>
      </c>
      <c r="L301" s="52"/>
      <c r="M301" s="17" t="s">
        <v>605</v>
      </c>
      <c r="N301" s="2" t="n">
        <v>68</v>
      </c>
      <c r="O301" s="86" t="s">
        <v>594</v>
      </c>
      <c r="P301" s="2" t="n">
        <v>36</v>
      </c>
      <c r="Q301" s="86" t="s">
        <v>97</v>
      </c>
      <c r="R301" s="2" t="n">
        <v>1285.36</v>
      </c>
      <c r="S301" s="2" t="n">
        <v>1999</v>
      </c>
      <c r="T301" s="99" t="n">
        <v>1</v>
      </c>
      <c r="U301" s="1" t="str">
        <f aca="false">D301&amp;"-"&amp;E301&amp;"-"&amp;M301&amp;"-"&amp;O301&amp;"-"&amp;P301&amp;"-"&amp;Q301</f>
        <v>TRIUMPH-60 P-110|401-PINK-36-D</v>
      </c>
    </row>
    <row r="302" customFormat="false" ht="15" hidden="true" customHeight="false" outlineLevel="0" collapsed="false">
      <c r="A302" s="1" t="n">
        <v>3</v>
      </c>
      <c r="B302" s="25" t="s">
        <v>608</v>
      </c>
      <c r="C302" s="2" t="s">
        <v>580</v>
      </c>
      <c r="D302" s="2" t="s">
        <v>581</v>
      </c>
      <c r="E302" s="25" t="s">
        <v>609</v>
      </c>
      <c r="F302" s="3" t="s">
        <v>80</v>
      </c>
      <c r="G302" s="3" t="s">
        <v>41</v>
      </c>
      <c r="H302" s="3" t="s">
        <v>70</v>
      </c>
      <c r="I302" s="3" t="s">
        <v>43</v>
      </c>
      <c r="K302" s="27" t="s">
        <v>610</v>
      </c>
      <c r="L302" s="52"/>
      <c r="M302" s="61" t="s">
        <v>610</v>
      </c>
      <c r="N302" s="25" t="s">
        <v>611</v>
      </c>
      <c r="O302" s="25" t="s">
        <v>612</v>
      </c>
      <c r="P302" s="61" t="s">
        <v>134</v>
      </c>
      <c r="Q302" s="25" t="s">
        <v>97</v>
      </c>
      <c r="R302" s="2" t="n">
        <v>1156.76</v>
      </c>
      <c r="S302" s="2" t="n">
        <v>1799</v>
      </c>
      <c r="T302" s="99" t="n">
        <v>1</v>
      </c>
      <c r="U302" s="1" t="str">
        <f aca="false">D302&amp;"-"&amp;E302&amp;"-"&amp;M302&amp;"-"&amp;O302&amp;"-"&amp;P302&amp;"-"&amp;Q302</f>
        <v>TRIUMPH-21 W-150I669-WHITE-34-D</v>
      </c>
      <c r="W302" s="1" t="s">
        <v>586</v>
      </c>
    </row>
    <row r="303" customFormat="false" ht="15" hidden="true" customHeight="false" outlineLevel="0" collapsed="false">
      <c r="B303" s="61" t="s">
        <v>613</v>
      </c>
      <c r="C303" s="2" t="s">
        <v>580</v>
      </c>
      <c r="D303" s="2" t="s">
        <v>581</v>
      </c>
      <c r="E303" s="25" t="s">
        <v>609</v>
      </c>
      <c r="F303" s="3" t="s">
        <v>80</v>
      </c>
      <c r="G303" s="3" t="s">
        <v>41</v>
      </c>
      <c r="H303" s="3" t="s">
        <v>70</v>
      </c>
      <c r="I303" s="3" t="s">
        <v>43</v>
      </c>
      <c r="K303" s="27" t="s">
        <v>610</v>
      </c>
      <c r="L303" s="52"/>
      <c r="M303" s="61" t="s">
        <v>610</v>
      </c>
      <c r="N303" s="61" t="s">
        <v>587</v>
      </c>
      <c r="O303" s="61" t="s">
        <v>465</v>
      </c>
      <c r="P303" s="61" t="s">
        <v>134</v>
      </c>
      <c r="Q303" s="61" t="s">
        <v>97</v>
      </c>
      <c r="R303" s="2" t="n">
        <v>1156.76</v>
      </c>
      <c r="S303" s="2" t="n">
        <v>1799</v>
      </c>
      <c r="T303" s="99" t="n">
        <v>1</v>
      </c>
      <c r="U303" s="1" t="str">
        <f aca="false">D303&amp;"-"&amp;E303&amp;"-"&amp;M303&amp;"-"&amp;O303&amp;"-"&amp;P303&amp;"-"&amp;Q303</f>
        <v>TRIUMPH-21 W-150I669-SKIN-34-D</v>
      </c>
      <c r="W303" s="1" t="s">
        <v>586</v>
      </c>
    </row>
    <row r="304" customFormat="false" ht="15" hidden="true" customHeight="false" outlineLevel="0" collapsed="false">
      <c r="B304" s="25" t="s">
        <v>614</v>
      </c>
      <c r="C304" s="2" t="s">
        <v>580</v>
      </c>
      <c r="D304" s="2" t="s">
        <v>581</v>
      </c>
      <c r="E304" s="25" t="s">
        <v>609</v>
      </c>
      <c r="F304" s="3" t="s">
        <v>80</v>
      </c>
      <c r="G304" s="3" t="s">
        <v>41</v>
      </c>
      <c r="H304" s="3" t="s">
        <v>70</v>
      </c>
      <c r="I304" s="3" t="s">
        <v>43</v>
      </c>
      <c r="K304" s="27" t="s">
        <v>610</v>
      </c>
      <c r="L304" s="52"/>
      <c r="M304" s="61" t="s">
        <v>610</v>
      </c>
      <c r="N304" s="25" t="s">
        <v>615</v>
      </c>
      <c r="O304" s="25" t="s">
        <v>89</v>
      </c>
      <c r="P304" s="25" t="s">
        <v>134</v>
      </c>
      <c r="Q304" s="25" t="s">
        <v>97</v>
      </c>
      <c r="R304" s="2" t="n">
        <v>1156.76</v>
      </c>
      <c r="S304" s="2" t="n">
        <v>1799</v>
      </c>
      <c r="T304" s="99" t="n">
        <v>1</v>
      </c>
      <c r="U304" s="1" t="str">
        <f aca="false">D304&amp;"-"&amp;E304&amp;"-"&amp;M304&amp;"-"&amp;O304&amp;"-"&amp;P304&amp;"-"&amp;Q304</f>
        <v>TRIUMPH-21 W-150I669-BLUE-34-D</v>
      </c>
      <c r="W304" s="1" t="s">
        <v>586</v>
      </c>
    </row>
    <row r="305" customFormat="false" ht="15" hidden="true" customHeight="false" outlineLevel="0" collapsed="false">
      <c r="B305" s="61" t="s">
        <v>616</v>
      </c>
      <c r="C305" s="2" t="s">
        <v>580</v>
      </c>
      <c r="D305" s="2" t="s">
        <v>581</v>
      </c>
      <c r="E305" s="25" t="s">
        <v>609</v>
      </c>
      <c r="F305" s="3" t="s">
        <v>80</v>
      </c>
      <c r="G305" s="3" t="s">
        <v>41</v>
      </c>
      <c r="H305" s="3" t="s">
        <v>70</v>
      </c>
      <c r="I305" s="3" t="s">
        <v>43</v>
      </c>
      <c r="K305" s="27" t="s">
        <v>610</v>
      </c>
      <c r="L305" s="52"/>
      <c r="M305" s="61" t="s">
        <v>610</v>
      </c>
      <c r="N305" s="61" t="s">
        <v>617</v>
      </c>
      <c r="O305" s="61" t="s">
        <v>77</v>
      </c>
      <c r="P305" s="61" t="s">
        <v>134</v>
      </c>
      <c r="Q305" s="25" t="s">
        <v>97</v>
      </c>
      <c r="R305" s="2" t="n">
        <v>1156.76</v>
      </c>
      <c r="S305" s="2" t="n">
        <v>1799</v>
      </c>
      <c r="T305" s="99" t="n">
        <v>1</v>
      </c>
      <c r="U305" s="1" t="str">
        <f aca="false">D305&amp;"-"&amp;E305&amp;"-"&amp;M305&amp;"-"&amp;O305&amp;"-"&amp;P305&amp;"-"&amp;Q305</f>
        <v>TRIUMPH-21 W-150I669-BLACK-34-D</v>
      </c>
      <c r="W305" s="1" t="s">
        <v>586</v>
      </c>
    </row>
    <row r="306" customFormat="false" ht="15" hidden="true" customHeight="false" outlineLevel="0" collapsed="false">
      <c r="B306" s="31" t="n">
        <v>7611358606184</v>
      </c>
      <c r="C306" s="2" t="s">
        <v>580</v>
      </c>
      <c r="D306" s="2" t="s">
        <v>581</v>
      </c>
      <c r="E306" s="25" t="s">
        <v>609</v>
      </c>
      <c r="F306" s="3" t="s">
        <v>80</v>
      </c>
      <c r="G306" s="3" t="s">
        <v>41</v>
      </c>
      <c r="H306" s="3" t="s">
        <v>70</v>
      </c>
      <c r="I306" s="3" t="s">
        <v>43</v>
      </c>
      <c r="K306" s="27" t="s">
        <v>610</v>
      </c>
      <c r="L306" s="52"/>
      <c r="M306" s="61" t="s">
        <v>610</v>
      </c>
      <c r="N306" s="17" t="s">
        <v>618</v>
      </c>
      <c r="O306" s="17" t="s">
        <v>619</v>
      </c>
      <c r="P306" s="29" t="s">
        <v>134</v>
      </c>
      <c r="Q306" s="29" t="s">
        <v>97</v>
      </c>
      <c r="R306" s="2" t="n">
        <v>1156.76</v>
      </c>
      <c r="S306" s="2" t="n">
        <v>1799</v>
      </c>
      <c r="T306" s="99" t="n">
        <v>1</v>
      </c>
      <c r="U306" s="1" t="str">
        <f aca="false">D306&amp;"-"&amp;E306&amp;"-"&amp;M306&amp;"-"&amp;O306&amp;"-"&amp;P306&amp;"-"&amp;Q306</f>
        <v>TRIUMPH-21 W-150I669-GREEN-34-D</v>
      </c>
      <c r="W306" s="1" t="s">
        <v>586</v>
      </c>
    </row>
    <row r="307" customFormat="false" ht="15" hidden="true" customHeight="false" outlineLevel="0" collapsed="false">
      <c r="B307" s="25" t="s">
        <v>620</v>
      </c>
      <c r="C307" s="2" t="s">
        <v>580</v>
      </c>
      <c r="D307" s="2" t="s">
        <v>581</v>
      </c>
      <c r="E307" s="25" t="s">
        <v>609</v>
      </c>
      <c r="F307" s="3" t="s">
        <v>80</v>
      </c>
      <c r="G307" s="3" t="s">
        <v>41</v>
      </c>
      <c r="H307" s="3" t="s">
        <v>70</v>
      </c>
      <c r="I307" s="3" t="s">
        <v>43</v>
      </c>
      <c r="K307" s="27" t="s">
        <v>610</v>
      </c>
      <c r="L307" s="52"/>
      <c r="M307" s="61" t="s">
        <v>610</v>
      </c>
      <c r="N307" s="25" t="s">
        <v>587</v>
      </c>
      <c r="O307" s="25" t="s">
        <v>465</v>
      </c>
      <c r="P307" s="25" t="s">
        <v>134</v>
      </c>
      <c r="Q307" s="25" t="s">
        <v>66</v>
      </c>
      <c r="R307" s="2" t="n">
        <v>1156.76</v>
      </c>
      <c r="S307" s="2" t="n">
        <v>1799</v>
      </c>
      <c r="T307" s="99" t="n">
        <v>3</v>
      </c>
      <c r="U307" s="1" t="str">
        <f aca="false">D307&amp;"-"&amp;E307&amp;"-"&amp;M307&amp;"-"&amp;O307&amp;"-"&amp;P307&amp;"-"&amp;Q307</f>
        <v>TRIUMPH-21 W-150I669-SKIN-34-E</v>
      </c>
      <c r="W307" s="1" t="s">
        <v>586</v>
      </c>
    </row>
    <row r="308" customFormat="false" ht="15" hidden="true" customHeight="false" outlineLevel="0" collapsed="false">
      <c r="B308" s="61" t="s">
        <v>621</v>
      </c>
      <c r="C308" s="2" t="s">
        <v>580</v>
      </c>
      <c r="D308" s="2" t="s">
        <v>581</v>
      </c>
      <c r="E308" s="25" t="s">
        <v>609</v>
      </c>
      <c r="F308" s="3" t="s">
        <v>80</v>
      </c>
      <c r="G308" s="3" t="s">
        <v>41</v>
      </c>
      <c r="H308" s="3" t="s">
        <v>70</v>
      </c>
      <c r="I308" s="3" t="s">
        <v>43</v>
      </c>
      <c r="K308" s="27" t="s">
        <v>610</v>
      </c>
      <c r="L308" s="52"/>
      <c r="M308" s="61" t="s">
        <v>610</v>
      </c>
      <c r="N308" s="61" t="s">
        <v>611</v>
      </c>
      <c r="O308" s="61" t="s">
        <v>612</v>
      </c>
      <c r="P308" s="61" t="s">
        <v>134</v>
      </c>
      <c r="Q308" s="61" t="s">
        <v>66</v>
      </c>
      <c r="R308" s="2" t="n">
        <v>1156.76</v>
      </c>
      <c r="S308" s="2" t="n">
        <v>1799</v>
      </c>
      <c r="T308" s="99" t="n">
        <v>1</v>
      </c>
      <c r="U308" s="1" t="str">
        <f aca="false">D308&amp;"-"&amp;E308&amp;"-"&amp;M308&amp;"-"&amp;O308&amp;"-"&amp;P308&amp;"-"&amp;Q308</f>
        <v>TRIUMPH-21 W-150I669-WHITE-34-E</v>
      </c>
      <c r="W308" s="1" t="s">
        <v>586</v>
      </c>
    </row>
    <row r="309" customFormat="false" ht="15" hidden="true" customHeight="false" outlineLevel="0" collapsed="false">
      <c r="B309" s="25" t="s">
        <v>622</v>
      </c>
      <c r="C309" s="2" t="s">
        <v>580</v>
      </c>
      <c r="D309" s="2" t="s">
        <v>581</v>
      </c>
      <c r="E309" s="25" t="s">
        <v>609</v>
      </c>
      <c r="F309" s="3" t="s">
        <v>80</v>
      </c>
      <c r="G309" s="3" t="s">
        <v>41</v>
      </c>
      <c r="H309" s="3" t="s">
        <v>70</v>
      </c>
      <c r="I309" s="3" t="s">
        <v>43</v>
      </c>
      <c r="K309" s="27" t="s">
        <v>610</v>
      </c>
      <c r="L309" s="52"/>
      <c r="M309" s="61" t="s">
        <v>610</v>
      </c>
      <c r="N309" s="25" t="s">
        <v>617</v>
      </c>
      <c r="O309" s="25" t="s">
        <v>77</v>
      </c>
      <c r="P309" s="25" t="s">
        <v>134</v>
      </c>
      <c r="Q309" s="25" t="s">
        <v>66</v>
      </c>
      <c r="R309" s="2" t="n">
        <v>1156.76</v>
      </c>
      <c r="S309" s="2" t="n">
        <v>1799</v>
      </c>
      <c r="T309" s="99" t="n">
        <v>1</v>
      </c>
      <c r="U309" s="1" t="str">
        <f aca="false">D309&amp;"-"&amp;E309&amp;"-"&amp;M309&amp;"-"&amp;O309&amp;"-"&amp;P309&amp;"-"&amp;Q309</f>
        <v>TRIUMPH-21 W-150I669-BLACK-34-E</v>
      </c>
      <c r="W309" s="1" t="s">
        <v>586</v>
      </c>
    </row>
    <row r="310" customFormat="false" ht="15" hidden="true" customHeight="false" outlineLevel="0" collapsed="false">
      <c r="B310" s="61" t="s">
        <v>623</v>
      </c>
      <c r="C310" s="2" t="s">
        <v>580</v>
      </c>
      <c r="D310" s="2" t="s">
        <v>581</v>
      </c>
      <c r="E310" s="25" t="s">
        <v>609</v>
      </c>
      <c r="F310" s="3" t="s">
        <v>80</v>
      </c>
      <c r="G310" s="3" t="s">
        <v>41</v>
      </c>
      <c r="H310" s="3" t="s">
        <v>70</v>
      </c>
      <c r="I310" s="3" t="s">
        <v>43</v>
      </c>
      <c r="K310" s="27" t="s">
        <v>610</v>
      </c>
      <c r="L310" s="52"/>
      <c r="M310" s="61" t="s">
        <v>610</v>
      </c>
      <c r="N310" s="61" t="s">
        <v>624</v>
      </c>
      <c r="O310" s="61" t="s">
        <v>585</v>
      </c>
      <c r="P310" s="61" t="s">
        <v>134</v>
      </c>
      <c r="Q310" s="61" t="s">
        <v>66</v>
      </c>
      <c r="R310" s="2" t="n">
        <v>1156.76</v>
      </c>
      <c r="S310" s="2" t="n">
        <v>1799</v>
      </c>
      <c r="T310" s="99" t="n">
        <v>1</v>
      </c>
      <c r="U310" s="1" t="str">
        <f aca="false">D310&amp;"-"&amp;E310&amp;"-"&amp;M310&amp;"-"&amp;O310&amp;"-"&amp;P310&amp;"-"&amp;Q310</f>
        <v>TRIUMPH-21 W-150I669-CORAL-34-E</v>
      </c>
      <c r="W310" s="1" t="s">
        <v>586</v>
      </c>
    </row>
    <row r="311" customFormat="false" ht="15" hidden="true" customHeight="false" outlineLevel="0" collapsed="false">
      <c r="B311" s="31" t="n">
        <v>7611358606245</v>
      </c>
      <c r="C311" s="2" t="s">
        <v>580</v>
      </c>
      <c r="D311" s="2" t="s">
        <v>581</v>
      </c>
      <c r="E311" s="25" t="s">
        <v>609</v>
      </c>
      <c r="F311" s="3" t="s">
        <v>80</v>
      </c>
      <c r="G311" s="3" t="s">
        <v>41</v>
      </c>
      <c r="H311" s="3" t="s">
        <v>70</v>
      </c>
      <c r="I311" s="3" t="s">
        <v>43</v>
      </c>
      <c r="K311" s="27" t="s">
        <v>610</v>
      </c>
      <c r="L311" s="52"/>
      <c r="M311" s="61" t="s">
        <v>610</v>
      </c>
      <c r="N311" s="86" t="s">
        <v>618</v>
      </c>
      <c r="O311" s="86" t="s">
        <v>619</v>
      </c>
      <c r="P311" s="25" t="s">
        <v>134</v>
      </c>
      <c r="Q311" s="25" t="s">
        <v>66</v>
      </c>
      <c r="R311" s="2" t="n">
        <v>1156.76</v>
      </c>
      <c r="S311" s="2" t="n">
        <v>1799</v>
      </c>
      <c r="T311" s="99" t="n">
        <v>1</v>
      </c>
      <c r="U311" s="1" t="str">
        <f aca="false">D311&amp;"-"&amp;E311&amp;"-"&amp;M311&amp;"-"&amp;O311&amp;"-"&amp;P311&amp;"-"&amp;Q311</f>
        <v>TRIUMPH-21 W-150I669-GREEN-34-E</v>
      </c>
      <c r="W311" s="1" t="s">
        <v>586</v>
      </c>
    </row>
    <row r="312" customFormat="false" ht="15" hidden="true" customHeight="false" outlineLevel="0" collapsed="false">
      <c r="B312" s="31" t="n">
        <v>7613141148888</v>
      </c>
      <c r="C312" s="2" t="s">
        <v>580</v>
      </c>
      <c r="D312" s="2" t="s">
        <v>581</v>
      </c>
      <c r="E312" s="25" t="s">
        <v>609</v>
      </c>
      <c r="F312" s="3" t="s">
        <v>80</v>
      </c>
      <c r="G312" s="3" t="s">
        <v>41</v>
      </c>
      <c r="H312" s="3" t="s">
        <v>70</v>
      </c>
      <c r="I312" s="3" t="s">
        <v>43</v>
      </c>
      <c r="K312" s="27" t="s">
        <v>610</v>
      </c>
      <c r="L312" s="52"/>
      <c r="M312" s="61" t="s">
        <v>610</v>
      </c>
      <c r="N312" s="86" t="s">
        <v>625</v>
      </c>
      <c r="O312" s="86" t="s">
        <v>594</v>
      </c>
      <c r="P312" s="61" t="s">
        <v>134</v>
      </c>
      <c r="Q312" s="61" t="s">
        <v>66</v>
      </c>
      <c r="R312" s="2" t="n">
        <v>1156.76</v>
      </c>
      <c r="S312" s="2" t="n">
        <v>1799</v>
      </c>
      <c r="T312" s="99" t="n">
        <v>0</v>
      </c>
      <c r="U312" s="1" t="str">
        <f aca="false">D312&amp;"-"&amp;E312&amp;"-"&amp;M312&amp;"-"&amp;O312&amp;"-"&amp;P312&amp;"-"&amp;Q312</f>
        <v>TRIUMPH-21 W-150I669-PINK-34-E</v>
      </c>
      <c r="W312" s="1" t="s">
        <v>586</v>
      </c>
    </row>
    <row r="313" customFormat="false" ht="15" hidden="true" customHeight="false" outlineLevel="0" collapsed="false">
      <c r="B313" s="61" t="s">
        <v>626</v>
      </c>
      <c r="C313" s="2" t="s">
        <v>580</v>
      </c>
      <c r="D313" s="2" t="s">
        <v>581</v>
      </c>
      <c r="E313" s="25" t="s">
        <v>609</v>
      </c>
      <c r="F313" s="3" t="s">
        <v>80</v>
      </c>
      <c r="G313" s="3" t="s">
        <v>41</v>
      </c>
      <c r="H313" s="3" t="s">
        <v>70</v>
      </c>
      <c r="I313" s="3" t="s">
        <v>43</v>
      </c>
      <c r="K313" s="27" t="s">
        <v>610</v>
      </c>
      <c r="L313" s="52"/>
      <c r="M313" s="61" t="s">
        <v>610</v>
      </c>
      <c r="N313" s="61" t="s">
        <v>587</v>
      </c>
      <c r="O313" s="61" t="s">
        <v>465</v>
      </c>
      <c r="P313" s="25" t="s">
        <v>134</v>
      </c>
      <c r="Q313" s="61" t="s">
        <v>50</v>
      </c>
      <c r="R313" s="2" t="n">
        <v>1156.76</v>
      </c>
      <c r="S313" s="2" t="n">
        <v>1799</v>
      </c>
      <c r="T313" s="99" t="n">
        <v>1</v>
      </c>
      <c r="U313" s="1" t="str">
        <f aca="false">D313&amp;"-"&amp;E313&amp;"-"&amp;M313&amp;"-"&amp;O313&amp;"-"&amp;P313&amp;"-"&amp;Q313</f>
        <v>TRIUMPH-21 W-150I669-SKIN-34-F</v>
      </c>
      <c r="W313" s="1" t="s">
        <v>586</v>
      </c>
    </row>
    <row r="314" customFormat="false" ht="15" hidden="true" customHeight="false" outlineLevel="0" collapsed="false">
      <c r="B314" s="25" t="s">
        <v>627</v>
      </c>
      <c r="C314" s="2" t="s">
        <v>580</v>
      </c>
      <c r="D314" s="2" t="s">
        <v>581</v>
      </c>
      <c r="E314" s="25" t="s">
        <v>609</v>
      </c>
      <c r="F314" s="3" t="s">
        <v>80</v>
      </c>
      <c r="G314" s="3" t="s">
        <v>41</v>
      </c>
      <c r="H314" s="3" t="s">
        <v>70</v>
      </c>
      <c r="I314" s="3" t="s">
        <v>43</v>
      </c>
      <c r="K314" s="27" t="s">
        <v>610</v>
      </c>
      <c r="L314" s="52"/>
      <c r="M314" s="61" t="s">
        <v>610</v>
      </c>
      <c r="N314" s="25" t="s">
        <v>618</v>
      </c>
      <c r="O314" s="25" t="s">
        <v>619</v>
      </c>
      <c r="P314" s="25" t="s">
        <v>134</v>
      </c>
      <c r="Q314" s="25" t="s">
        <v>50</v>
      </c>
      <c r="R314" s="2" t="n">
        <v>1156.76</v>
      </c>
      <c r="S314" s="2" t="n">
        <v>1799</v>
      </c>
      <c r="T314" s="99" t="n">
        <v>0</v>
      </c>
      <c r="U314" s="1" t="str">
        <f aca="false">D314&amp;"-"&amp;E314&amp;"-"&amp;M314&amp;"-"&amp;O314&amp;"-"&amp;P314&amp;"-"&amp;Q314</f>
        <v>TRIUMPH-21 W-150I669-GREEN-34-F</v>
      </c>
      <c r="W314" s="1" t="s">
        <v>586</v>
      </c>
    </row>
    <row r="315" customFormat="false" ht="15" hidden="true" customHeight="false" outlineLevel="0" collapsed="false">
      <c r="B315" s="25" t="s">
        <v>628</v>
      </c>
      <c r="C315" s="2" t="s">
        <v>580</v>
      </c>
      <c r="D315" s="2" t="s">
        <v>581</v>
      </c>
      <c r="E315" s="25" t="s">
        <v>609</v>
      </c>
      <c r="F315" s="3" t="s">
        <v>80</v>
      </c>
      <c r="G315" s="3" t="s">
        <v>41</v>
      </c>
      <c r="H315" s="3" t="s">
        <v>70</v>
      </c>
      <c r="I315" s="3" t="s">
        <v>43</v>
      </c>
      <c r="K315" s="27" t="s">
        <v>610</v>
      </c>
      <c r="L315" s="52"/>
      <c r="M315" s="61" t="s">
        <v>610</v>
      </c>
      <c r="N315" s="25" t="s">
        <v>617</v>
      </c>
      <c r="O315" s="25" t="s">
        <v>77</v>
      </c>
      <c r="P315" s="25" t="s">
        <v>134</v>
      </c>
      <c r="Q315" s="25" t="s">
        <v>50</v>
      </c>
      <c r="R315" s="2" t="n">
        <v>1156.76</v>
      </c>
      <c r="S315" s="2" t="n">
        <v>1799</v>
      </c>
      <c r="T315" s="99" t="n">
        <v>2</v>
      </c>
      <c r="U315" s="1" t="str">
        <f aca="false">D315&amp;"-"&amp;E315&amp;"-"&amp;M315&amp;"-"&amp;O315&amp;"-"&amp;P315&amp;"-"&amp;Q315</f>
        <v>TRIUMPH-21 W-150I669-BLACK-34-F</v>
      </c>
      <c r="W315" s="1" t="s">
        <v>586</v>
      </c>
    </row>
    <row r="316" customFormat="false" ht="15" hidden="true" customHeight="false" outlineLevel="0" collapsed="false">
      <c r="B316" s="25" t="s">
        <v>629</v>
      </c>
      <c r="C316" s="2" t="s">
        <v>580</v>
      </c>
      <c r="D316" s="2" t="s">
        <v>581</v>
      </c>
      <c r="E316" s="25" t="s">
        <v>609</v>
      </c>
      <c r="F316" s="3" t="s">
        <v>80</v>
      </c>
      <c r="G316" s="3" t="s">
        <v>41</v>
      </c>
      <c r="H316" s="3" t="s">
        <v>70</v>
      </c>
      <c r="I316" s="3" t="s">
        <v>43</v>
      </c>
      <c r="K316" s="27" t="s">
        <v>610</v>
      </c>
      <c r="L316" s="52"/>
      <c r="M316" s="61" t="s">
        <v>610</v>
      </c>
      <c r="N316" s="25" t="s">
        <v>587</v>
      </c>
      <c r="O316" s="25" t="s">
        <v>465</v>
      </c>
      <c r="P316" s="61" t="s">
        <v>65</v>
      </c>
      <c r="Q316" s="25" t="s">
        <v>97</v>
      </c>
      <c r="R316" s="2" t="n">
        <v>1156.76</v>
      </c>
      <c r="S316" s="2" t="n">
        <v>1799</v>
      </c>
      <c r="T316" s="99" t="n">
        <v>0</v>
      </c>
      <c r="U316" s="1" t="str">
        <f aca="false">D316&amp;"-"&amp;E316&amp;"-"&amp;M316&amp;"-"&amp;O316&amp;"-"&amp;P316&amp;"-"&amp;Q316</f>
        <v>TRIUMPH-21 W-150I669-SKIN-36-D</v>
      </c>
      <c r="W316" s="1" t="s">
        <v>586</v>
      </c>
    </row>
    <row r="317" customFormat="false" ht="15" hidden="true" customHeight="false" outlineLevel="0" collapsed="false">
      <c r="B317" s="25" t="s">
        <v>630</v>
      </c>
      <c r="C317" s="2" t="s">
        <v>580</v>
      </c>
      <c r="D317" s="2" t="s">
        <v>581</v>
      </c>
      <c r="E317" s="25" t="s">
        <v>609</v>
      </c>
      <c r="F317" s="3" t="s">
        <v>80</v>
      </c>
      <c r="G317" s="3" t="s">
        <v>41</v>
      </c>
      <c r="H317" s="3" t="s">
        <v>70</v>
      </c>
      <c r="I317" s="3" t="s">
        <v>43</v>
      </c>
      <c r="K317" s="27" t="s">
        <v>610</v>
      </c>
      <c r="L317" s="52"/>
      <c r="M317" s="61" t="s">
        <v>610</v>
      </c>
      <c r="N317" s="25" t="s">
        <v>611</v>
      </c>
      <c r="O317" s="25" t="s">
        <v>612</v>
      </c>
      <c r="P317" s="61" t="s">
        <v>65</v>
      </c>
      <c r="Q317" s="25" t="s">
        <v>97</v>
      </c>
      <c r="R317" s="2" t="n">
        <v>1156.76</v>
      </c>
      <c r="S317" s="2" t="n">
        <v>1799</v>
      </c>
      <c r="T317" s="99" t="n">
        <v>0</v>
      </c>
      <c r="U317" s="1" t="str">
        <f aca="false">D317&amp;"-"&amp;E317&amp;"-"&amp;M317&amp;"-"&amp;O317&amp;"-"&amp;P317&amp;"-"&amp;Q317</f>
        <v>TRIUMPH-21 W-150I669-WHITE-36-D</v>
      </c>
      <c r="W317" s="1" t="s">
        <v>586</v>
      </c>
    </row>
    <row r="318" customFormat="false" ht="15" hidden="true" customHeight="false" outlineLevel="0" collapsed="false">
      <c r="B318" s="31" t="n">
        <v>7613142602808</v>
      </c>
      <c r="C318" s="2" t="s">
        <v>580</v>
      </c>
      <c r="D318" s="2" t="s">
        <v>581</v>
      </c>
      <c r="E318" s="25" t="s">
        <v>609</v>
      </c>
      <c r="F318" s="3" t="s">
        <v>80</v>
      </c>
      <c r="G318" s="3" t="s">
        <v>41</v>
      </c>
      <c r="H318" s="3" t="s">
        <v>70</v>
      </c>
      <c r="I318" s="3" t="s">
        <v>43</v>
      </c>
      <c r="K318" s="27" t="s">
        <v>610</v>
      </c>
      <c r="L318" s="52"/>
      <c r="M318" s="61" t="s">
        <v>610</v>
      </c>
      <c r="N318" s="17" t="s">
        <v>624</v>
      </c>
      <c r="O318" s="17" t="s">
        <v>585</v>
      </c>
      <c r="P318" s="61" t="s">
        <v>65</v>
      </c>
      <c r="Q318" s="25" t="s">
        <v>97</v>
      </c>
      <c r="R318" s="2" t="n">
        <v>1156.76</v>
      </c>
      <c r="S318" s="2" t="n">
        <v>1799</v>
      </c>
      <c r="T318" s="99" t="n">
        <v>1</v>
      </c>
      <c r="U318" s="1" t="str">
        <f aca="false">D318&amp;"-"&amp;E318&amp;"-"&amp;M318&amp;"-"&amp;O318&amp;"-"&amp;P318&amp;"-"&amp;Q318</f>
        <v>TRIUMPH-21 W-150I669-CORAL-36-D</v>
      </c>
      <c r="W318" s="1" t="s">
        <v>586</v>
      </c>
    </row>
    <row r="319" customFormat="false" ht="15" hidden="true" customHeight="false" outlineLevel="0" collapsed="false">
      <c r="B319" s="25" t="s">
        <v>631</v>
      </c>
      <c r="C319" s="2" t="s">
        <v>580</v>
      </c>
      <c r="D319" s="2" t="s">
        <v>581</v>
      </c>
      <c r="E319" s="25" t="s">
        <v>609</v>
      </c>
      <c r="F319" s="3" t="s">
        <v>80</v>
      </c>
      <c r="G319" s="3" t="s">
        <v>41</v>
      </c>
      <c r="H319" s="3" t="s">
        <v>70</v>
      </c>
      <c r="I319" s="3" t="s">
        <v>43</v>
      </c>
      <c r="K319" s="27" t="s">
        <v>610</v>
      </c>
      <c r="L319" s="52"/>
      <c r="M319" s="61" t="s">
        <v>610</v>
      </c>
      <c r="N319" s="17" t="s">
        <v>617</v>
      </c>
      <c r="O319" s="17" t="s">
        <v>77</v>
      </c>
      <c r="P319" s="61" t="s">
        <v>65</v>
      </c>
      <c r="Q319" s="25" t="s">
        <v>66</v>
      </c>
      <c r="R319" s="2" t="n">
        <v>1156.76</v>
      </c>
      <c r="S319" s="2" t="n">
        <v>1799</v>
      </c>
      <c r="T319" s="99" t="n">
        <v>0</v>
      </c>
      <c r="U319" s="1" t="str">
        <f aca="false">D319&amp;"-"&amp;E319&amp;"-"&amp;M319&amp;"-"&amp;O319&amp;"-"&amp;P319&amp;"-"&amp;Q319</f>
        <v>TRIUMPH-21 W-150I669-BLACK-36-E</v>
      </c>
      <c r="W319" s="1" t="s">
        <v>586</v>
      </c>
    </row>
    <row r="320" customFormat="false" ht="15" hidden="true" customHeight="false" outlineLevel="0" collapsed="false">
      <c r="B320" s="25" t="s">
        <v>632</v>
      </c>
      <c r="C320" s="2" t="s">
        <v>580</v>
      </c>
      <c r="D320" s="2" t="s">
        <v>581</v>
      </c>
      <c r="E320" s="25" t="s">
        <v>609</v>
      </c>
      <c r="F320" s="3" t="s">
        <v>80</v>
      </c>
      <c r="G320" s="3" t="s">
        <v>41</v>
      </c>
      <c r="H320" s="3" t="s">
        <v>70</v>
      </c>
      <c r="I320" s="3" t="s">
        <v>43</v>
      </c>
      <c r="K320" s="27" t="s">
        <v>610</v>
      </c>
      <c r="L320" s="52"/>
      <c r="M320" s="61" t="s">
        <v>610</v>
      </c>
      <c r="N320" s="25" t="s">
        <v>611</v>
      </c>
      <c r="O320" s="25" t="s">
        <v>612</v>
      </c>
      <c r="P320" s="25" t="s">
        <v>65</v>
      </c>
      <c r="Q320" s="25" t="s">
        <v>50</v>
      </c>
      <c r="R320" s="2" t="n">
        <v>1156.76</v>
      </c>
      <c r="S320" s="2" t="n">
        <v>1799</v>
      </c>
      <c r="T320" s="99" t="n">
        <v>2</v>
      </c>
      <c r="U320" s="1" t="str">
        <f aca="false">D320&amp;"-"&amp;E320&amp;"-"&amp;M320&amp;"-"&amp;O320&amp;"-"&amp;P320&amp;"-"&amp;Q320</f>
        <v>TRIUMPH-21 W-150I669-WHITE-36-F</v>
      </c>
      <c r="W320" s="1" t="s">
        <v>586</v>
      </c>
    </row>
    <row r="321" customFormat="false" ht="15.75" hidden="true" customHeight="true" outlineLevel="0" collapsed="false">
      <c r="B321" s="25" t="s">
        <v>633</v>
      </c>
      <c r="C321" s="2" t="s">
        <v>580</v>
      </c>
      <c r="D321" s="2" t="s">
        <v>581</v>
      </c>
      <c r="E321" s="25" t="s">
        <v>609</v>
      </c>
      <c r="F321" s="3" t="s">
        <v>80</v>
      </c>
      <c r="G321" s="3" t="s">
        <v>41</v>
      </c>
      <c r="H321" s="3" t="s">
        <v>70</v>
      </c>
      <c r="I321" s="3" t="s">
        <v>43</v>
      </c>
      <c r="K321" s="27" t="s">
        <v>610</v>
      </c>
      <c r="L321" s="52"/>
      <c r="M321" s="61" t="s">
        <v>610</v>
      </c>
      <c r="N321" s="25" t="s">
        <v>617</v>
      </c>
      <c r="O321" s="25" t="s">
        <v>77</v>
      </c>
      <c r="P321" s="25" t="s">
        <v>65</v>
      </c>
      <c r="Q321" s="25" t="s">
        <v>50</v>
      </c>
      <c r="R321" s="2" t="n">
        <v>1156.76</v>
      </c>
      <c r="S321" s="2" t="n">
        <v>1799</v>
      </c>
      <c r="T321" s="99" t="n">
        <v>3</v>
      </c>
      <c r="U321" s="1" t="str">
        <f aca="false">D321&amp;"-"&amp;E321&amp;"-"&amp;M321&amp;"-"&amp;O321&amp;"-"&amp;P321&amp;"-"&amp;Q321</f>
        <v>TRIUMPH-21 W-150I669-BLACK-36-F</v>
      </c>
      <c r="W321" s="1" t="s">
        <v>586</v>
      </c>
    </row>
    <row r="322" customFormat="false" ht="15" hidden="true" customHeight="false" outlineLevel="0" collapsed="false">
      <c r="B322" s="17" t="s">
        <v>634</v>
      </c>
      <c r="C322" s="2" t="s">
        <v>580</v>
      </c>
      <c r="D322" s="2" t="s">
        <v>581</v>
      </c>
      <c r="E322" s="25" t="s">
        <v>609</v>
      </c>
      <c r="F322" s="3" t="s">
        <v>80</v>
      </c>
      <c r="G322" s="3" t="s">
        <v>41</v>
      </c>
      <c r="H322" s="3" t="s">
        <v>70</v>
      </c>
      <c r="I322" s="3" t="s">
        <v>43</v>
      </c>
      <c r="K322" s="27" t="s">
        <v>610</v>
      </c>
      <c r="L322" s="52"/>
      <c r="M322" s="61" t="s">
        <v>610</v>
      </c>
      <c r="N322" s="17" t="s">
        <v>587</v>
      </c>
      <c r="O322" s="17" t="s">
        <v>465</v>
      </c>
      <c r="P322" s="25" t="s">
        <v>65</v>
      </c>
      <c r="Q322" s="25" t="s">
        <v>50</v>
      </c>
      <c r="R322" s="2" t="n">
        <v>1156.76</v>
      </c>
      <c r="S322" s="2" t="n">
        <v>1799</v>
      </c>
      <c r="T322" s="99" t="n">
        <v>2</v>
      </c>
      <c r="U322" s="1" t="str">
        <f aca="false">D322&amp;"-"&amp;E322&amp;"-"&amp;M322&amp;"-"&amp;O322&amp;"-"&amp;P322&amp;"-"&amp;Q322</f>
        <v>TRIUMPH-21 W-150I669-SKIN-36-F</v>
      </c>
      <c r="W322" s="1" t="s">
        <v>586</v>
      </c>
    </row>
    <row r="323" customFormat="false" ht="15" hidden="true" customHeight="false" outlineLevel="0" collapsed="false">
      <c r="B323" s="17" t="s">
        <v>635</v>
      </c>
      <c r="C323" s="2" t="s">
        <v>580</v>
      </c>
      <c r="D323" s="2" t="s">
        <v>581</v>
      </c>
      <c r="E323" s="25" t="s">
        <v>609</v>
      </c>
      <c r="F323" s="3" t="s">
        <v>80</v>
      </c>
      <c r="G323" s="3" t="s">
        <v>41</v>
      </c>
      <c r="H323" s="3" t="s">
        <v>70</v>
      </c>
      <c r="I323" s="3" t="s">
        <v>43</v>
      </c>
      <c r="K323" s="27" t="s">
        <v>610</v>
      </c>
      <c r="L323" s="52"/>
      <c r="M323" s="61" t="s">
        <v>610</v>
      </c>
      <c r="N323" s="17" t="s">
        <v>611</v>
      </c>
      <c r="O323" s="17" t="s">
        <v>612</v>
      </c>
      <c r="P323" s="17" t="s">
        <v>65</v>
      </c>
      <c r="Q323" s="17" t="s">
        <v>105</v>
      </c>
      <c r="R323" s="2" t="n">
        <v>1156.76</v>
      </c>
      <c r="S323" s="2" t="n">
        <v>1799</v>
      </c>
      <c r="T323" s="99" t="n">
        <v>2</v>
      </c>
      <c r="U323" s="1" t="str">
        <f aca="false">D323&amp;"-"&amp;E323&amp;"-"&amp;M323&amp;"-"&amp;O323&amp;"-"&amp;P323&amp;"-"&amp;Q323</f>
        <v>TRIUMPH-21 W-150I669-WHITE-36-G</v>
      </c>
      <c r="W323" s="1" t="s">
        <v>586</v>
      </c>
    </row>
    <row r="324" customFormat="false" ht="15" hidden="true" customHeight="false" outlineLevel="0" collapsed="false">
      <c r="B324" s="61" t="s">
        <v>636</v>
      </c>
      <c r="C324" s="2" t="s">
        <v>580</v>
      </c>
      <c r="D324" s="2" t="s">
        <v>581</v>
      </c>
      <c r="E324" s="25" t="s">
        <v>609</v>
      </c>
      <c r="F324" s="3" t="s">
        <v>80</v>
      </c>
      <c r="G324" s="3" t="s">
        <v>41</v>
      </c>
      <c r="H324" s="3" t="s">
        <v>70</v>
      </c>
      <c r="I324" s="3" t="s">
        <v>43</v>
      </c>
      <c r="K324" s="27" t="s">
        <v>610</v>
      </c>
      <c r="L324" s="52"/>
      <c r="M324" s="61" t="s">
        <v>610</v>
      </c>
      <c r="N324" s="61" t="s">
        <v>637</v>
      </c>
      <c r="O324" s="61" t="s">
        <v>638</v>
      </c>
      <c r="P324" s="61" t="s">
        <v>65</v>
      </c>
      <c r="Q324" s="61" t="s">
        <v>105</v>
      </c>
      <c r="R324" s="2" t="n">
        <v>1156.76</v>
      </c>
      <c r="S324" s="2" t="n">
        <v>1799</v>
      </c>
      <c r="T324" s="99" t="n">
        <v>2</v>
      </c>
      <c r="U324" s="1" t="str">
        <f aca="false">D324&amp;"-"&amp;E324&amp;"-"&amp;M324&amp;"-"&amp;O324&amp;"-"&amp;P324&amp;"-"&amp;Q324</f>
        <v>TRIUMPH-21 W-150I669-COFEE-36-G</v>
      </c>
      <c r="W324" s="1" t="s">
        <v>586</v>
      </c>
    </row>
    <row r="325" customFormat="false" ht="15" hidden="true" customHeight="false" outlineLevel="0" collapsed="false">
      <c r="B325" s="61" t="s">
        <v>639</v>
      </c>
      <c r="C325" s="2" t="s">
        <v>580</v>
      </c>
      <c r="D325" s="2" t="s">
        <v>581</v>
      </c>
      <c r="E325" s="25" t="s">
        <v>609</v>
      </c>
      <c r="F325" s="3" t="s">
        <v>80</v>
      </c>
      <c r="G325" s="3" t="s">
        <v>41</v>
      </c>
      <c r="H325" s="3" t="s">
        <v>70</v>
      </c>
      <c r="I325" s="3" t="s">
        <v>43</v>
      </c>
      <c r="K325" s="27" t="s">
        <v>610</v>
      </c>
      <c r="L325" s="52"/>
      <c r="M325" s="61" t="s">
        <v>610</v>
      </c>
      <c r="N325" s="61" t="s">
        <v>617</v>
      </c>
      <c r="O325" s="29" t="s">
        <v>77</v>
      </c>
      <c r="P325" s="61" t="s">
        <v>65</v>
      </c>
      <c r="Q325" s="61" t="s">
        <v>105</v>
      </c>
      <c r="R325" s="2" t="n">
        <v>1156.76</v>
      </c>
      <c r="S325" s="2" t="n">
        <v>1799</v>
      </c>
      <c r="T325" s="99" t="n">
        <v>2</v>
      </c>
      <c r="U325" s="1" t="str">
        <f aca="false">D325&amp;"-"&amp;E325&amp;"-"&amp;M325&amp;"-"&amp;O325&amp;"-"&amp;P325&amp;"-"&amp;Q325</f>
        <v>TRIUMPH-21 W-150I669-BLACK-36-G</v>
      </c>
      <c r="W325" s="1" t="s">
        <v>586</v>
      </c>
    </row>
    <row r="326" customFormat="false" ht="15" hidden="true" customHeight="false" outlineLevel="0" collapsed="false">
      <c r="B326" s="61" t="s">
        <v>640</v>
      </c>
      <c r="C326" s="2" t="s">
        <v>580</v>
      </c>
      <c r="D326" s="2" t="s">
        <v>581</v>
      </c>
      <c r="E326" s="25" t="s">
        <v>609</v>
      </c>
      <c r="F326" s="3" t="s">
        <v>80</v>
      </c>
      <c r="G326" s="3" t="s">
        <v>41</v>
      </c>
      <c r="H326" s="3" t="s">
        <v>70</v>
      </c>
      <c r="I326" s="3" t="s">
        <v>43</v>
      </c>
      <c r="K326" s="27" t="s">
        <v>610</v>
      </c>
      <c r="L326" s="52"/>
      <c r="M326" s="61" t="s">
        <v>610</v>
      </c>
      <c r="N326" s="61" t="s">
        <v>587</v>
      </c>
      <c r="O326" s="61" t="s">
        <v>465</v>
      </c>
      <c r="P326" s="61" t="s">
        <v>65</v>
      </c>
      <c r="Q326" s="61" t="s">
        <v>105</v>
      </c>
      <c r="R326" s="2" t="n">
        <v>1156.76</v>
      </c>
      <c r="S326" s="2" t="n">
        <v>1799</v>
      </c>
      <c r="T326" s="99" t="n">
        <v>0</v>
      </c>
      <c r="U326" s="1" t="str">
        <f aca="false">D326&amp;"-"&amp;E326&amp;"-"&amp;M326&amp;"-"&amp;O326&amp;"-"&amp;P326&amp;"-"&amp;Q326</f>
        <v>TRIUMPH-21 W-150I669-SKIN-36-G</v>
      </c>
      <c r="W326" s="1" t="s">
        <v>586</v>
      </c>
    </row>
    <row r="327" customFormat="false" ht="15" hidden="true" customHeight="false" outlineLevel="0" collapsed="false">
      <c r="B327" s="25" t="s">
        <v>641</v>
      </c>
      <c r="C327" s="2" t="s">
        <v>580</v>
      </c>
      <c r="D327" s="2" t="s">
        <v>581</v>
      </c>
      <c r="E327" s="25" t="s">
        <v>609</v>
      </c>
      <c r="F327" s="3" t="s">
        <v>80</v>
      </c>
      <c r="G327" s="3" t="s">
        <v>41</v>
      </c>
      <c r="H327" s="3" t="s">
        <v>70</v>
      </c>
      <c r="I327" s="3" t="s">
        <v>43</v>
      </c>
      <c r="K327" s="27" t="s">
        <v>610</v>
      </c>
      <c r="L327" s="52"/>
      <c r="M327" s="61" t="s">
        <v>610</v>
      </c>
      <c r="N327" s="25" t="s">
        <v>617</v>
      </c>
      <c r="O327" s="25" t="s">
        <v>77</v>
      </c>
      <c r="P327" s="61" t="s">
        <v>65</v>
      </c>
      <c r="Q327" s="25" t="s">
        <v>143</v>
      </c>
      <c r="R327" s="2" t="n">
        <v>1156.76</v>
      </c>
      <c r="S327" s="2" t="n">
        <v>1799</v>
      </c>
      <c r="T327" s="99" t="n">
        <v>0</v>
      </c>
      <c r="U327" s="1" t="str">
        <f aca="false">D327&amp;"-"&amp;E327&amp;"-"&amp;M327&amp;"-"&amp;O327&amp;"-"&amp;P327&amp;"-"&amp;Q327</f>
        <v>TRIUMPH-21 W-150I669-BLACK-36-H</v>
      </c>
      <c r="W327" s="1" t="s">
        <v>586</v>
      </c>
    </row>
    <row r="328" customFormat="false" ht="15" hidden="true" customHeight="false" outlineLevel="0" collapsed="false">
      <c r="B328" s="61" t="s">
        <v>642</v>
      </c>
      <c r="C328" s="2" t="s">
        <v>580</v>
      </c>
      <c r="D328" s="2" t="s">
        <v>581</v>
      </c>
      <c r="E328" s="25" t="s">
        <v>609</v>
      </c>
      <c r="F328" s="3" t="s">
        <v>80</v>
      </c>
      <c r="G328" s="3" t="s">
        <v>41</v>
      </c>
      <c r="H328" s="3" t="s">
        <v>70</v>
      </c>
      <c r="I328" s="3" t="s">
        <v>43</v>
      </c>
      <c r="K328" s="27" t="s">
        <v>610</v>
      </c>
      <c r="L328" s="52"/>
      <c r="M328" s="61" t="s">
        <v>610</v>
      </c>
      <c r="N328" s="61" t="s">
        <v>625</v>
      </c>
      <c r="O328" s="61" t="s">
        <v>594</v>
      </c>
      <c r="P328" s="25" t="s">
        <v>154</v>
      </c>
      <c r="Q328" s="61" t="s">
        <v>97</v>
      </c>
      <c r="R328" s="2" t="n">
        <v>1156.76</v>
      </c>
      <c r="S328" s="2" t="n">
        <v>1799</v>
      </c>
      <c r="T328" s="99" t="n">
        <v>1</v>
      </c>
      <c r="U328" s="1" t="str">
        <f aca="false">D328&amp;"-"&amp;E328&amp;"-"&amp;M328&amp;"-"&amp;O328&amp;"-"&amp;P328&amp;"-"&amp;Q328</f>
        <v>TRIUMPH-21 W-150I669-PINK-38-D</v>
      </c>
      <c r="W328" s="1" t="s">
        <v>586</v>
      </c>
    </row>
    <row r="329" customFormat="false" ht="15" hidden="true" customHeight="false" outlineLevel="0" collapsed="false">
      <c r="B329" s="25" t="s">
        <v>643</v>
      </c>
      <c r="C329" s="2" t="s">
        <v>580</v>
      </c>
      <c r="D329" s="2" t="s">
        <v>581</v>
      </c>
      <c r="E329" s="25" t="s">
        <v>609</v>
      </c>
      <c r="F329" s="3" t="s">
        <v>80</v>
      </c>
      <c r="G329" s="3" t="s">
        <v>41</v>
      </c>
      <c r="H329" s="3" t="s">
        <v>70</v>
      </c>
      <c r="I329" s="3" t="s">
        <v>43</v>
      </c>
      <c r="K329" s="27" t="s">
        <v>610</v>
      </c>
      <c r="L329" s="52"/>
      <c r="M329" s="61" t="s">
        <v>610</v>
      </c>
      <c r="N329" s="25" t="s">
        <v>624</v>
      </c>
      <c r="O329" s="25" t="s">
        <v>585</v>
      </c>
      <c r="P329" s="25" t="s">
        <v>154</v>
      </c>
      <c r="Q329" s="25" t="s">
        <v>97</v>
      </c>
      <c r="R329" s="2" t="n">
        <v>1156.76</v>
      </c>
      <c r="S329" s="2" t="n">
        <v>1799</v>
      </c>
      <c r="T329" s="99" t="n">
        <v>1</v>
      </c>
      <c r="U329" s="1" t="str">
        <f aca="false">D329&amp;"-"&amp;E329&amp;"-"&amp;M329&amp;"-"&amp;O329&amp;"-"&amp;P329&amp;"-"&amp;Q329</f>
        <v>TRIUMPH-21 W-150I669-CORAL-38-D</v>
      </c>
      <c r="W329" s="1" t="s">
        <v>586</v>
      </c>
    </row>
    <row r="330" customFormat="false" ht="15" hidden="true" customHeight="false" outlineLevel="0" collapsed="false">
      <c r="B330" s="61" t="s">
        <v>644</v>
      </c>
      <c r="C330" s="2" t="s">
        <v>580</v>
      </c>
      <c r="D330" s="2" t="s">
        <v>581</v>
      </c>
      <c r="E330" s="25" t="s">
        <v>609</v>
      </c>
      <c r="F330" s="3" t="s">
        <v>80</v>
      </c>
      <c r="G330" s="3" t="s">
        <v>41</v>
      </c>
      <c r="H330" s="3" t="s">
        <v>70</v>
      </c>
      <c r="I330" s="3" t="s">
        <v>43</v>
      </c>
      <c r="K330" s="27" t="s">
        <v>610</v>
      </c>
      <c r="L330" s="52"/>
      <c r="M330" s="61" t="s">
        <v>610</v>
      </c>
      <c r="N330" s="61" t="s">
        <v>617</v>
      </c>
      <c r="O330" s="61" t="s">
        <v>77</v>
      </c>
      <c r="P330" s="61" t="s">
        <v>154</v>
      </c>
      <c r="Q330" s="61" t="s">
        <v>97</v>
      </c>
      <c r="R330" s="2" t="n">
        <v>1156.76</v>
      </c>
      <c r="S330" s="2" t="n">
        <v>1799</v>
      </c>
      <c r="T330" s="99" t="n">
        <v>1</v>
      </c>
      <c r="U330" s="1" t="str">
        <f aca="false">D330&amp;"-"&amp;E330&amp;"-"&amp;M330&amp;"-"&amp;O330&amp;"-"&amp;P330&amp;"-"&amp;Q330</f>
        <v>TRIUMPH-21 W-150I669-BLACK-38-D</v>
      </c>
      <c r="W330" s="1" t="s">
        <v>586</v>
      </c>
    </row>
    <row r="331" customFormat="false" ht="15" hidden="true" customHeight="false" outlineLevel="0" collapsed="false">
      <c r="B331" s="25" t="s">
        <v>645</v>
      </c>
      <c r="C331" s="2" t="s">
        <v>580</v>
      </c>
      <c r="D331" s="2" t="s">
        <v>581</v>
      </c>
      <c r="E331" s="25" t="s">
        <v>609</v>
      </c>
      <c r="F331" s="3" t="s">
        <v>80</v>
      </c>
      <c r="G331" s="3" t="s">
        <v>41</v>
      </c>
      <c r="H331" s="3" t="s">
        <v>70</v>
      </c>
      <c r="I331" s="3" t="s">
        <v>43</v>
      </c>
      <c r="K331" s="27" t="s">
        <v>610</v>
      </c>
      <c r="L331" s="52"/>
      <c r="M331" s="61" t="s">
        <v>610</v>
      </c>
      <c r="N331" s="25" t="s">
        <v>611</v>
      </c>
      <c r="O331" s="25" t="s">
        <v>612</v>
      </c>
      <c r="P331" s="25" t="s">
        <v>154</v>
      </c>
      <c r="Q331" s="25" t="s">
        <v>97</v>
      </c>
      <c r="R331" s="2" t="n">
        <v>1156.76</v>
      </c>
      <c r="S331" s="2" t="n">
        <v>1799</v>
      </c>
      <c r="T331" s="99" t="n">
        <v>1</v>
      </c>
      <c r="U331" s="1" t="str">
        <f aca="false">D331&amp;"-"&amp;E331&amp;"-"&amp;M331&amp;"-"&amp;O331&amp;"-"&amp;P331&amp;"-"&amp;Q331</f>
        <v>TRIUMPH-21 W-150I669-WHITE-38-D</v>
      </c>
      <c r="W331" s="1" t="s">
        <v>586</v>
      </c>
    </row>
    <row r="332" customFormat="false" ht="15" hidden="true" customHeight="false" outlineLevel="0" collapsed="false">
      <c r="B332" s="61" t="s">
        <v>646</v>
      </c>
      <c r="C332" s="2" t="s">
        <v>580</v>
      </c>
      <c r="D332" s="2" t="s">
        <v>581</v>
      </c>
      <c r="E332" s="25" t="s">
        <v>609</v>
      </c>
      <c r="F332" s="3" t="s">
        <v>80</v>
      </c>
      <c r="G332" s="3" t="s">
        <v>41</v>
      </c>
      <c r="H332" s="3" t="s">
        <v>70</v>
      </c>
      <c r="I332" s="3" t="s">
        <v>43</v>
      </c>
      <c r="K332" s="27" t="s">
        <v>610</v>
      </c>
      <c r="L332" s="52"/>
      <c r="M332" s="61" t="s">
        <v>610</v>
      </c>
      <c r="N332" s="61" t="s">
        <v>587</v>
      </c>
      <c r="O332" s="61" t="s">
        <v>465</v>
      </c>
      <c r="P332" s="61" t="s">
        <v>154</v>
      </c>
      <c r="Q332" s="61" t="s">
        <v>97</v>
      </c>
      <c r="R332" s="2" t="n">
        <v>1156.76</v>
      </c>
      <c r="S332" s="2" t="n">
        <v>1799</v>
      </c>
      <c r="T332" s="99" t="n">
        <v>1</v>
      </c>
      <c r="U332" s="1" t="str">
        <f aca="false">D332&amp;"-"&amp;E332&amp;"-"&amp;M332&amp;"-"&amp;O332&amp;"-"&amp;P332&amp;"-"&amp;Q332</f>
        <v>TRIUMPH-21 W-150I669-SKIN-38-D</v>
      </c>
      <c r="W332" s="1" t="s">
        <v>586</v>
      </c>
    </row>
    <row r="333" customFormat="false" ht="15" hidden="true" customHeight="false" outlineLevel="0" collapsed="false">
      <c r="B333" s="29" t="s">
        <v>647</v>
      </c>
      <c r="C333" s="2" t="s">
        <v>580</v>
      </c>
      <c r="D333" s="2" t="s">
        <v>581</v>
      </c>
      <c r="E333" s="25" t="s">
        <v>609</v>
      </c>
      <c r="F333" s="3" t="s">
        <v>80</v>
      </c>
      <c r="G333" s="3" t="s">
        <v>41</v>
      </c>
      <c r="H333" s="3" t="s">
        <v>70</v>
      </c>
      <c r="I333" s="3" t="s">
        <v>43</v>
      </c>
      <c r="K333" s="27" t="s">
        <v>610</v>
      </c>
      <c r="L333" s="52"/>
      <c r="M333" s="61" t="s">
        <v>610</v>
      </c>
      <c r="N333" s="29" t="s">
        <v>615</v>
      </c>
      <c r="O333" s="29" t="s">
        <v>89</v>
      </c>
      <c r="P333" s="29" t="s">
        <v>154</v>
      </c>
      <c r="Q333" s="61" t="s">
        <v>97</v>
      </c>
      <c r="R333" s="2" t="n">
        <v>1156.76</v>
      </c>
      <c r="S333" s="2" t="n">
        <v>1799</v>
      </c>
      <c r="T333" s="99" t="n">
        <v>1</v>
      </c>
      <c r="U333" s="1" t="str">
        <f aca="false">D333&amp;"-"&amp;E333&amp;"-"&amp;M333&amp;"-"&amp;O333&amp;"-"&amp;P333&amp;"-"&amp;Q333</f>
        <v>TRIUMPH-21 W-150I669-BLUE-38-D</v>
      </c>
      <c r="W333" s="1" t="s">
        <v>586</v>
      </c>
    </row>
    <row r="334" customFormat="false" ht="15" hidden="true" customHeight="false" outlineLevel="0" collapsed="false">
      <c r="B334" s="31" t="n">
        <v>7611358606207</v>
      </c>
      <c r="C334" s="2" t="s">
        <v>580</v>
      </c>
      <c r="D334" s="2" t="s">
        <v>581</v>
      </c>
      <c r="E334" s="25" t="s">
        <v>609</v>
      </c>
      <c r="F334" s="3" t="s">
        <v>80</v>
      </c>
      <c r="G334" s="3" t="s">
        <v>41</v>
      </c>
      <c r="H334" s="3" t="s">
        <v>70</v>
      </c>
      <c r="I334" s="3" t="s">
        <v>43</v>
      </c>
      <c r="K334" s="27" t="s">
        <v>610</v>
      </c>
      <c r="L334" s="52"/>
      <c r="M334" s="61" t="s">
        <v>610</v>
      </c>
      <c r="N334" s="17" t="s">
        <v>618</v>
      </c>
      <c r="O334" s="17" t="s">
        <v>619</v>
      </c>
      <c r="P334" s="25" t="s">
        <v>154</v>
      </c>
      <c r="Q334" s="25" t="s">
        <v>97</v>
      </c>
      <c r="R334" s="2" t="n">
        <v>1156.76</v>
      </c>
      <c r="S334" s="2" t="n">
        <v>1799</v>
      </c>
      <c r="T334" s="99" t="n">
        <v>1</v>
      </c>
      <c r="U334" s="1" t="str">
        <f aca="false">D334&amp;"-"&amp;E334&amp;"-"&amp;M334&amp;"-"&amp;O334&amp;"-"&amp;P334&amp;"-"&amp;Q334</f>
        <v>TRIUMPH-21 W-150I669-GREEN-38-D</v>
      </c>
      <c r="W334" s="1" t="s">
        <v>586</v>
      </c>
    </row>
    <row r="335" customFormat="false" ht="15" hidden="true" customHeight="false" outlineLevel="0" collapsed="false">
      <c r="B335" s="25" t="s">
        <v>648</v>
      </c>
      <c r="C335" s="2" t="s">
        <v>580</v>
      </c>
      <c r="D335" s="2" t="s">
        <v>581</v>
      </c>
      <c r="E335" s="25" t="s">
        <v>609</v>
      </c>
      <c r="F335" s="3" t="s">
        <v>80</v>
      </c>
      <c r="G335" s="3" t="s">
        <v>41</v>
      </c>
      <c r="H335" s="3" t="s">
        <v>70</v>
      </c>
      <c r="I335" s="3" t="s">
        <v>43</v>
      </c>
      <c r="K335" s="27" t="s">
        <v>610</v>
      </c>
      <c r="L335" s="52"/>
      <c r="M335" s="61" t="s">
        <v>610</v>
      </c>
      <c r="N335" s="25" t="s">
        <v>615</v>
      </c>
      <c r="O335" s="25" t="s">
        <v>89</v>
      </c>
      <c r="P335" s="25" t="s">
        <v>154</v>
      </c>
      <c r="Q335" s="25" t="s">
        <v>66</v>
      </c>
      <c r="R335" s="2" t="n">
        <v>1156.76</v>
      </c>
      <c r="S335" s="2" t="n">
        <v>1799</v>
      </c>
      <c r="T335" s="99" t="n">
        <v>1</v>
      </c>
      <c r="U335" s="1" t="str">
        <f aca="false">D335&amp;"-"&amp;E335&amp;"-"&amp;M335&amp;"-"&amp;O335&amp;"-"&amp;P335&amp;"-"&amp;Q335</f>
        <v>TRIUMPH-21 W-150I669-BLUE-38-E</v>
      </c>
      <c r="W335" s="1" t="s">
        <v>586</v>
      </c>
    </row>
    <row r="336" customFormat="false" ht="15" hidden="true" customHeight="false" outlineLevel="0" collapsed="false">
      <c r="B336" s="61" t="s">
        <v>649</v>
      </c>
      <c r="C336" s="2" t="s">
        <v>580</v>
      </c>
      <c r="D336" s="2" t="s">
        <v>581</v>
      </c>
      <c r="E336" s="25" t="s">
        <v>609</v>
      </c>
      <c r="F336" s="3" t="s">
        <v>80</v>
      </c>
      <c r="G336" s="3" t="s">
        <v>41</v>
      </c>
      <c r="H336" s="3" t="s">
        <v>70</v>
      </c>
      <c r="I336" s="3" t="s">
        <v>43</v>
      </c>
      <c r="K336" s="27" t="s">
        <v>610</v>
      </c>
      <c r="L336" s="52"/>
      <c r="M336" s="61" t="s">
        <v>610</v>
      </c>
      <c r="N336" s="61" t="s">
        <v>624</v>
      </c>
      <c r="O336" s="61" t="s">
        <v>585</v>
      </c>
      <c r="P336" s="61" t="s">
        <v>154</v>
      </c>
      <c r="Q336" s="61" t="s">
        <v>66</v>
      </c>
      <c r="R336" s="2" t="n">
        <v>1156.76</v>
      </c>
      <c r="S336" s="2" t="n">
        <v>1799</v>
      </c>
      <c r="T336" s="99" t="n">
        <v>1</v>
      </c>
      <c r="U336" s="1" t="str">
        <f aca="false">D336&amp;"-"&amp;E336&amp;"-"&amp;M336&amp;"-"&amp;O336&amp;"-"&amp;P336&amp;"-"&amp;Q336</f>
        <v>TRIUMPH-21 W-150I669-CORAL-38-E</v>
      </c>
      <c r="W336" s="1" t="s">
        <v>586</v>
      </c>
    </row>
    <row r="337" customFormat="false" ht="15" hidden="true" customHeight="false" outlineLevel="0" collapsed="false">
      <c r="B337" s="61" t="s">
        <v>650</v>
      </c>
      <c r="C337" s="2" t="s">
        <v>580</v>
      </c>
      <c r="D337" s="2" t="s">
        <v>581</v>
      </c>
      <c r="E337" s="25" t="s">
        <v>609</v>
      </c>
      <c r="F337" s="3" t="s">
        <v>80</v>
      </c>
      <c r="G337" s="3" t="s">
        <v>41</v>
      </c>
      <c r="H337" s="3" t="s">
        <v>70</v>
      </c>
      <c r="I337" s="3" t="s">
        <v>43</v>
      </c>
      <c r="K337" s="27" t="s">
        <v>610</v>
      </c>
      <c r="L337" s="52"/>
      <c r="M337" s="61" t="s">
        <v>610</v>
      </c>
      <c r="N337" s="61" t="s">
        <v>587</v>
      </c>
      <c r="O337" s="61" t="s">
        <v>465</v>
      </c>
      <c r="P337" s="61" t="s">
        <v>154</v>
      </c>
      <c r="Q337" s="61" t="s">
        <v>66</v>
      </c>
      <c r="R337" s="2" t="n">
        <v>1156.76</v>
      </c>
      <c r="S337" s="2" t="n">
        <v>1799</v>
      </c>
      <c r="T337" s="99" t="n">
        <v>0</v>
      </c>
      <c r="U337" s="1" t="str">
        <f aca="false">D337&amp;"-"&amp;E337&amp;"-"&amp;M337&amp;"-"&amp;O337&amp;"-"&amp;P337&amp;"-"&amp;Q337</f>
        <v>TRIUMPH-21 W-150I669-SKIN-38-E</v>
      </c>
      <c r="W337" s="1" t="s">
        <v>586</v>
      </c>
    </row>
    <row r="338" customFormat="false" ht="15" hidden="true" customHeight="false" outlineLevel="0" collapsed="false">
      <c r="B338" s="61" t="s">
        <v>651</v>
      </c>
      <c r="C338" s="2" t="s">
        <v>580</v>
      </c>
      <c r="D338" s="2" t="s">
        <v>581</v>
      </c>
      <c r="E338" s="25" t="s">
        <v>609</v>
      </c>
      <c r="F338" s="3" t="s">
        <v>80</v>
      </c>
      <c r="G338" s="3" t="s">
        <v>41</v>
      </c>
      <c r="H338" s="3" t="s">
        <v>70</v>
      </c>
      <c r="I338" s="3" t="s">
        <v>43</v>
      </c>
      <c r="K338" s="27" t="s">
        <v>610</v>
      </c>
      <c r="L338" s="52"/>
      <c r="M338" s="61" t="s">
        <v>610</v>
      </c>
      <c r="N338" s="61" t="s">
        <v>611</v>
      </c>
      <c r="O338" s="61" t="s">
        <v>612</v>
      </c>
      <c r="P338" s="61" t="s">
        <v>154</v>
      </c>
      <c r="Q338" s="61" t="s">
        <v>66</v>
      </c>
      <c r="R338" s="2" t="n">
        <v>1156.76</v>
      </c>
      <c r="S338" s="2" t="n">
        <v>1799</v>
      </c>
      <c r="T338" s="30" t="n">
        <v>0</v>
      </c>
      <c r="U338" s="1" t="str">
        <f aca="false">D338&amp;"-"&amp;E338&amp;"-"&amp;M338&amp;"-"&amp;O338&amp;"-"&amp;P338&amp;"-"&amp;Q338</f>
        <v>TRIUMPH-21 W-150I669-WHITE-38-E</v>
      </c>
      <c r="W338" s="1" t="s">
        <v>586</v>
      </c>
    </row>
    <row r="339" customFormat="false" ht="15" hidden="true" customHeight="false" outlineLevel="0" collapsed="false">
      <c r="B339" s="61" t="s">
        <v>652</v>
      </c>
      <c r="C339" s="2" t="s">
        <v>580</v>
      </c>
      <c r="D339" s="2" t="s">
        <v>581</v>
      </c>
      <c r="E339" s="25" t="s">
        <v>609</v>
      </c>
      <c r="F339" s="3" t="s">
        <v>80</v>
      </c>
      <c r="G339" s="3" t="s">
        <v>41</v>
      </c>
      <c r="H339" s="3" t="s">
        <v>70</v>
      </c>
      <c r="I339" s="3" t="s">
        <v>43</v>
      </c>
      <c r="K339" s="27" t="s">
        <v>653</v>
      </c>
      <c r="L339" s="52"/>
      <c r="M339" s="61" t="s">
        <v>610</v>
      </c>
      <c r="N339" s="61" t="s">
        <v>617</v>
      </c>
      <c r="O339" s="61" t="s">
        <v>77</v>
      </c>
      <c r="P339" s="61" t="s">
        <v>154</v>
      </c>
      <c r="Q339" s="61" t="s">
        <v>50</v>
      </c>
      <c r="R339" s="2" t="n">
        <v>1156.76</v>
      </c>
      <c r="S339" s="2" t="n">
        <v>1799</v>
      </c>
      <c r="T339" s="30" t="n">
        <v>1</v>
      </c>
      <c r="U339" s="1" t="str">
        <f aca="false">D339&amp;"-"&amp;E339&amp;"-"&amp;M339&amp;"-"&amp;O339&amp;"-"&amp;P339&amp;"-"&amp;Q339</f>
        <v>TRIUMPH-21 W-150I669-BLACK-38-F</v>
      </c>
      <c r="W339" s="1" t="s">
        <v>586</v>
      </c>
    </row>
    <row r="340" customFormat="false" ht="15" hidden="true" customHeight="false" outlineLevel="0" collapsed="false">
      <c r="B340" s="61" t="s">
        <v>654</v>
      </c>
      <c r="C340" s="2" t="s">
        <v>580</v>
      </c>
      <c r="D340" s="2" t="s">
        <v>581</v>
      </c>
      <c r="E340" s="25" t="s">
        <v>609</v>
      </c>
      <c r="F340" s="3" t="s">
        <v>80</v>
      </c>
      <c r="G340" s="3" t="s">
        <v>41</v>
      </c>
      <c r="H340" s="3" t="s">
        <v>70</v>
      </c>
      <c r="I340" s="3" t="s">
        <v>43</v>
      </c>
      <c r="K340" s="27" t="s">
        <v>655</v>
      </c>
      <c r="L340" s="52"/>
      <c r="M340" s="61" t="s">
        <v>610</v>
      </c>
      <c r="N340" s="61" t="s">
        <v>618</v>
      </c>
      <c r="O340" s="61" t="s">
        <v>619</v>
      </c>
      <c r="P340" s="61" t="s">
        <v>154</v>
      </c>
      <c r="Q340" s="61" t="s">
        <v>50</v>
      </c>
      <c r="R340" s="2" t="n">
        <v>1156.76</v>
      </c>
      <c r="S340" s="2" t="n">
        <v>1799</v>
      </c>
      <c r="T340" s="30" t="n">
        <v>1</v>
      </c>
      <c r="U340" s="1" t="str">
        <f aca="false">D340&amp;"-"&amp;E340&amp;"-"&amp;M340&amp;"-"&amp;O340&amp;"-"&amp;P340&amp;"-"&amp;Q340</f>
        <v>TRIUMPH-21 W-150I669-GREEN-38-F</v>
      </c>
      <c r="W340" s="1" t="s">
        <v>586</v>
      </c>
    </row>
    <row r="341" customFormat="false" ht="15" hidden="true" customHeight="false" outlineLevel="0" collapsed="false">
      <c r="B341" s="61" t="s">
        <v>656</v>
      </c>
      <c r="C341" s="2" t="s">
        <v>580</v>
      </c>
      <c r="D341" s="2" t="s">
        <v>581</v>
      </c>
      <c r="E341" s="25" t="s">
        <v>609</v>
      </c>
      <c r="F341" s="3" t="s">
        <v>80</v>
      </c>
      <c r="G341" s="3" t="s">
        <v>41</v>
      </c>
      <c r="H341" s="3" t="s">
        <v>70</v>
      </c>
      <c r="I341" s="3" t="s">
        <v>43</v>
      </c>
      <c r="K341" s="27" t="s">
        <v>657</v>
      </c>
      <c r="L341" s="52"/>
      <c r="M341" s="61" t="s">
        <v>610</v>
      </c>
      <c r="N341" s="61" t="s">
        <v>587</v>
      </c>
      <c r="O341" s="61" t="s">
        <v>465</v>
      </c>
      <c r="P341" s="61" t="s">
        <v>154</v>
      </c>
      <c r="Q341" s="61" t="s">
        <v>50</v>
      </c>
      <c r="R341" s="2" t="n">
        <v>1156.76</v>
      </c>
      <c r="S341" s="2" t="n">
        <v>1799</v>
      </c>
      <c r="T341" s="30" t="n">
        <v>1</v>
      </c>
      <c r="U341" s="1" t="str">
        <f aca="false">D341&amp;"-"&amp;E341&amp;"-"&amp;M341&amp;"-"&amp;O341&amp;"-"&amp;P341&amp;"-"&amp;Q341</f>
        <v>TRIUMPH-21 W-150I669-SKIN-38-F</v>
      </c>
      <c r="W341" s="1" t="s">
        <v>586</v>
      </c>
    </row>
    <row r="342" customFormat="false" ht="15" hidden="true" customHeight="false" outlineLevel="0" collapsed="false">
      <c r="B342" s="61" t="s">
        <v>658</v>
      </c>
      <c r="C342" s="2" t="s">
        <v>580</v>
      </c>
      <c r="D342" s="2" t="s">
        <v>581</v>
      </c>
      <c r="E342" s="25" t="s">
        <v>609</v>
      </c>
      <c r="F342" s="3" t="s">
        <v>80</v>
      </c>
      <c r="G342" s="3" t="s">
        <v>41</v>
      </c>
      <c r="H342" s="3" t="s">
        <v>70</v>
      </c>
      <c r="I342" s="3" t="s">
        <v>43</v>
      </c>
      <c r="K342" s="27" t="s">
        <v>610</v>
      </c>
      <c r="L342" s="52"/>
      <c r="M342" s="61" t="s">
        <v>610</v>
      </c>
      <c r="N342" s="61" t="s">
        <v>618</v>
      </c>
      <c r="O342" s="61" t="s">
        <v>619</v>
      </c>
      <c r="P342" s="61" t="s">
        <v>154</v>
      </c>
      <c r="Q342" s="61" t="s">
        <v>105</v>
      </c>
      <c r="R342" s="2" t="n">
        <v>1156.76</v>
      </c>
      <c r="S342" s="2" t="n">
        <v>1799</v>
      </c>
      <c r="T342" s="99" t="n">
        <v>0</v>
      </c>
      <c r="U342" s="1" t="str">
        <f aca="false">D342&amp;"-"&amp;E342&amp;"-"&amp;M342&amp;"-"&amp;O342&amp;"-"&amp;P342&amp;"-"&amp;Q342</f>
        <v>TRIUMPH-21 W-150I669-GREEN-38-G</v>
      </c>
      <c r="W342" s="1" t="s">
        <v>586</v>
      </c>
    </row>
    <row r="343" customFormat="false" ht="15" hidden="true" customHeight="false" outlineLevel="0" collapsed="false">
      <c r="B343" s="61" t="s">
        <v>659</v>
      </c>
      <c r="C343" s="2" t="s">
        <v>580</v>
      </c>
      <c r="D343" s="2" t="s">
        <v>581</v>
      </c>
      <c r="E343" s="25" t="s">
        <v>609</v>
      </c>
      <c r="F343" s="3" t="s">
        <v>80</v>
      </c>
      <c r="G343" s="3" t="s">
        <v>41</v>
      </c>
      <c r="H343" s="3" t="s">
        <v>70</v>
      </c>
      <c r="I343" s="3" t="s">
        <v>43</v>
      </c>
      <c r="K343" s="27" t="s">
        <v>610</v>
      </c>
      <c r="L343" s="52"/>
      <c r="M343" s="61" t="s">
        <v>610</v>
      </c>
      <c r="N343" s="61" t="s">
        <v>611</v>
      </c>
      <c r="O343" s="61" t="s">
        <v>612</v>
      </c>
      <c r="P343" s="61" t="s">
        <v>154</v>
      </c>
      <c r="Q343" s="61" t="s">
        <v>105</v>
      </c>
      <c r="R343" s="2" t="n">
        <v>1156.76</v>
      </c>
      <c r="S343" s="2" t="n">
        <v>1799</v>
      </c>
      <c r="T343" s="99" t="n">
        <v>0</v>
      </c>
      <c r="U343" s="1" t="str">
        <f aca="false">D343&amp;"-"&amp;E343&amp;"-"&amp;M343&amp;"-"&amp;O343&amp;"-"&amp;P343&amp;"-"&amp;Q343</f>
        <v>TRIUMPH-21 W-150I669-WHITE-38-G</v>
      </c>
      <c r="W343" s="1" t="s">
        <v>586</v>
      </c>
    </row>
    <row r="344" customFormat="false" ht="15" hidden="true" customHeight="false" outlineLevel="0" collapsed="false">
      <c r="B344" s="61" t="s">
        <v>660</v>
      </c>
      <c r="C344" s="2" t="s">
        <v>580</v>
      </c>
      <c r="D344" s="2" t="s">
        <v>581</v>
      </c>
      <c r="E344" s="25" t="s">
        <v>609</v>
      </c>
      <c r="F344" s="3" t="s">
        <v>80</v>
      </c>
      <c r="G344" s="3" t="s">
        <v>41</v>
      </c>
      <c r="H344" s="3" t="s">
        <v>70</v>
      </c>
      <c r="I344" s="3" t="s">
        <v>43</v>
      </c>
      <c r="K344" s="27" t="s">
        <v>610</v>
      </c>
      <c r="L344" s="52"/>
      <c r="M344" s="61" t="s">
        <v>610</v>
      </c>
      <c r="N344" s="61" t="s">
        <v>637</v>
      </c>
      <c r="O344" s="61" t="s">
        <v>638</v>
      </c>
      <c r="P344" s="61" t="s">
        <v>154</v>
      </c>
      <c r="Q344" s="61" t="s">
        <v>105</v>
      </c>
      <c r="R344" s="2" t="n">
        <v>1156.76</v>
      </c>
      <c r="S344" s="2" t="n">
        <v>1799</v>
      </c>
      <c r="T344" s="99" t="n">
        <v>0</v>
      </c>
      <c r="U344" s="1" t="str">
        <f aca="false">D344&amp;"-"&amp;E344&amp;"-"&amp;M344&amp;"-"&amp;O344&amp;"-"&amp;P344&amp;"-"&amp;Q344</f>
        <v>TRIUMPH-21 W-150I669-COFEE-38-G</v>
      </c>
      <c r="W344" s="1" t="s">
        <v>586</v>
      </c>
    </row>
    <row r="345" customFormat="false" ht="15" hidden="true" customHeight="false" outlineLevel="0" collapsed="false">
      <c r="B345" s="25" t="s">
        <v>661</v>
      </c>
      <c r="C345" s="2" t="s">
        <v>580</v>
      </c>
      <c r="D345" s="2" t="s">
        <v>581</v>
      </c>
      <c r="E345" s="25" t="s">
        <v>609</v>
      </c>
      <c r="F345" s="3" t="s">
        <v>80</v>
      </c>
      <c r="G345" s="3" t="s">
        <v>41</v>
      </c>
      <c r="H345" s="3" t="s">
        <v>70</v>
      </c>
      <c r="I345" s="3" t="s">
        <v>43</v>
      </c>
      <c r="K345" s="27" t="s">
        <v>610</v>
      </c>
      <c r="L345" s="52"/>
      <c r="M345" s="61" t="s">
        <v>610</v>
      </c>
      <c r="N345" s="25" t="s">
        <v>587</v>
      </c>
      <c r="O345" s="25" t="s">
        <v>465</v>
      </c>
      <c r="P345" s="25" t="s">
        <v>154</v>
      </c>
      <c r="Q345" s="25" t="s">
        <v>105</v>
      </c>
      <c r="R345" s="2" t="n">
        <v>1156.76</v>
      </c>
      <c r="S345" s="2" t="n">
        <v>1799</v>
      </c>
      <c r="T345" s="99" t="n">
        <v>2</v>
      </c>
      <c r="U345" s="1" t="str">
        <f aca="false">D345&amp;"-"&amp;E345&amp;"-"&amp;M345&amp;"-"&amp;O345&amp;"-"&amp;P345&amp;"-"&amp;Q345</f>
        <v>TRIUMPH-21 W-150I669-SKIN-38-G</v>
      </c>
      <c r="W345" s="1" t="s">
        <v>586</v>
      </c>
    </row>
    <row r="346" customFormat="false" ht="15" hidden="true" customHeight="false" outlineLevel="0" collapsed="false">
      <c r="B346" s="61" t="s">
        <v>662</v>
      </c>
      <c r="C346" s="2" t="s">
        <v>580</v>
      </c>
      <c r="D346" s="2" t="s">
        <v>581</v>
      </c>
      <c r="E346" s="25" t="s">
        <v>609</v>
      </c>
      <c r="F346" s="3" t="s">
        <v>80</v>
      </c>
      <c r="G346" s="3" t="s">
        <v>41</v>
      </c>
      <c r="H346" s="3" t="s">
        <v>70</v>
      </c>
      <c r="I346" s="3" t="s">
        <v>43</v>
      </c>
      <c r="K346" s="27" t="s">
        <v>610</v>
      </c>
      <c r="L346" s="52"/>
      <c r="M346" s="61" t="s">
        <v>610</v>
      </c>
      <c r="N346" s="61" t="s">
        <v>617</v>
      </c>
      <c r="O346" s="61" t="s">
        <v>77</v>
      </c>
      <c r="P346" s="61" t="s">
        <v>154</v>
      </c>
      <c r="Q346" s="61" t="s">
        <v>105</v>
      </c>
      <c r="R346" s="2" t="n">
        <v>1156.76</v>
      </c>
      <c r="S346" s="2" t="n">
        <v>1799</v>
      </c>
      <c r="T346" s="99" t="n">
        <v>0</v>
      </c>
      <c r="U346" s="1" t="str">
        <f aca="false">D346&amp;"-"&amp;E346&amp;"-"&amp;M346&amp;"-"&amp;O346&amp;"-"&amp;P346&amp;"-"&amp;Q346</f>
        <v>TRIUMPH-21 W-150I669-BLACK-38-G</v>
      </c>
      <c r="W346" s="1" t="s">
        <v>586</v>
      </c>
    </row>
    <row r="347" customFormat="false" ht="15" hidden="true" customHeight="false" outlineLevel="0" collapsed="false">
      <c r="B347" s="61" t="s">
        <v>663</v>
      </c>
      <c r="C347" s="2" t="s">
        <v>580</v>
      </c>
      <c r="D347" s="2" t="s">
        <v>581</v>
      </c>
      <c r="E347" s="25" t="s">
        <v>609</v>
      </c>
      <c r="F347" s="3" t="s">
        <v>80</v>
      </c>
      <c r="G347" s="3" t="s">
        <v>41</v>
      </c>
      <c r="H347" s="3" t="s">
        <v>70</v>
      </c>
      <c r="I347" s="3" t="s">
        <v>43</v>
      </c>
      <c r="K347" s="27" t="s">
        <v>610</v>
      </c>
      <c r="L347" s="52"/>
      <c r="M347" s="61" t="s">
        <v>610</v>
      </c>
      <c r="N347" s="61" t="s">
        <v>587</v>
      </c>
      <c r="O347" s="61" t="s">
        <v>465</v>
      </c>
      <c r="P347" s="61" t="s">
        <v>154</v>
      </c>
      <c r="Q347" s="61" t="s">
        <v>143</v>
      </c>
      <c r="R347" s="2" t="n">
        <v>1156.76</v>
      </c>
      <c r="S347" s="2" t="n">
        <v>1799</v>
      </c>
      <c r="T347" s="99" t="n">
        <v>1</v>
      </c>
      <c r="U347" s="1" t="str">
        <f aca="false">D347&amp;"-"&amp;E347&amp;"-"&amp;M347&amp;"-"&amp;O347&amp;"-"&amp;P347&amp;"-"&amp;Q347</f>
        <v>TRIUMPH-21 W-150I669-SKIN-38-H</v>
      </c>
      <c r="W347" s="1" t="s">
        <v>586</v>
      </c>
    </row>
    <row r="348" customFormat="false" ht="15" hidden="true" customHeight="false" outlineLevel="0" collapsed="false">
      <c r="B348" s="25" t="s">
        <v>664</v>
      </c>
      <c r="C348" s="2" t="s">
        <v>580</v>
      </c>
      <c r="D348" s="2" t="s">
        <v>581</v>
      </c>
      <c r="E348" s="25" t="s">
        <v>609</v>
      </c>
      <c r="F348" s="3" t="s">
        <v>80</v>
      </c>
      <c r="G348" s="3" t="s">
        <v>41</v>
      </c>
      <c r="H348" s="3" t="s">
        <v>70</v>
      </c>
      <c r="I348" s="3" t="s">
        <v>43</v>
      </c>
      <c r="K348" s="27" t="s">
        <v>610</v>
      </c>
      <c r="L348" s="52"/>
      <c r="M348" s="61" t="s">
        <v>610</v>
      </c>
      <c r="N348" s="25" t="s">
        <v>617</v>
      </c>
      <c r="O348" s="25" t="s">
        <v>77</v>
      </c>
      <c r="P348" s="25" t="s">
        <v>154</v>
      </c>
      <c r="Q348" s="25" t="s">
        <v>143</v>
      </c>
      <c r="R348" s="2" t="n">
        <v>1156.76</v>
      </c>
      <c r="S348" s="2" t="n">
        <v>1799</v>
      </c>
      <c r="T348" s="99" t="n">
        <v>1</v>
      </c>
      <c r="U348" s="1" t="str">
        <f aca="false">D348&amp;"-"&amp;E348&amp;"-"&amp;M348&amp;"-"&amp;O348&amp;"-"&amp;P348&amp;"-"&amp;Q348</f>
        <v>TRIUMPH-21 W-150I669-BLACK-38-H</v>
      </c>
      <c r="W348" s="1" t="s">
        <v>586</v>
      </c>
    </row>
    <row r="349" customFormat="false" ht="15" hidden="true" customHeight="false" outlineLevel="0" collapsed="false">
      <c r="B349" s="61" t="s">
        <v>665</v>
      </c>
      <c r="C349" s="2" t="s">
        <v>580</v>
      </c>
      <c r="D349" s="2" t="s">
        <v>581</v>
      </c>
      <c r="E349" s="25" t="s">
        <v>609</v>
      </c>
      <c r="F349" s="3" t="s">
        <v>80</v>
      </c>
      <c r="G349" s="3" t="s">
        <v>41</v>
      </c>
      <c r="H349" s="3" t="s">
        <v>70</v>
      </c>
      <c r="I349" s="3" t="s">
        <v>43</v>
      </c>
      <c r="K349" s="27" t="s">
        <v>610</v>
      </c>
      <c r="L349" s="52"/>
      <c r="M349" s="61" t="s">
        <v>610</v>
      </c>
      <c r="N349" s="61" t="s">
        <v>611</v>
      </c>
      <c r="O349" s="61" t="s">
        <v>612</v>
      </c>
      <c r="P349" s="25" t="s">
        <v>417</v>
      </c>
      <c r="Q349" s="61" t="s">
        <v>97</v>
      </c>
      <c r="R349" s="2" t="n">
        <v>1156.76</v>
      </c>
      <c r="S349" s="2" t="n">
        <v>1799</v>
      </c>
      <c r="T349" s="99" t="n">
        <v>1</v>
      </c>
      <c r="U349" s="1" t="str">
        <f aca="false">D349&amp;"-"&amp;E349&amp;"-"&amp;M349&amp;"-"&amp;O349&amp;"-"&amp;P349&amp;"-"&amp;Q349</f>
        <v>TRIUMPH-21 W-150I669-WHITE-40-D</v>
      </c>
      <c r="W349" s="1" t="s">
        <v>586</v>
      </c>
    </row>
    <row r="350" customFormat="false" ht="15" hidden="true" customHeight="false" outlineLevel="0" collapsed="false">
      <c r="B350" s="61" t="s">
        <v>666</v>
      </c>
      <c r="C350" s="2" t="s">
        <v>580</v>
      </c>
      <c r="D350" s="2" t="s">
        <v>581</v>
      </c>
      <c r="E350" s="25" t="s">
        <v>609</v>
      </c>
      <c r="F350" s="3" t="s">
        <v>80</v>
      </c>
      <c r="G350" s="3" t="s">
        <v>41</v>
      </c>
      <c r="H350" s="3" t="s">
        <v>70</v>
      </c>
      <c r="I350" s="3" t="s">
        <v>43</v>
      </c>
      <c r="K350" s="27" t="s">
        <v>610</v>
      </c>
      <c r="L350" s="52"/>
      <c r="M350" s="61" t="s">
        <v>610</v>
      </c>
      <c r="N350" s="61" t="s">
        <v>624</v>
      </c>
      <c r="O350" s="61" t="s">
        <v>89</v>
      </c>
      <c r="P350" s="61" t="s">
        <v>417</v>
      </c>
      <c r="Q350" s="61" t="s">
        <v>97</v>
      </c>
      <c r="R350" s="2" t="n">
        <v>1156.76</v>
      </c>
      <c r="S350" s="2" t="n">
        <v>1799</v>
      </c>
      <c r="T350" s="99" t="n">
        <v>1</v>
      </c>
      <c r="U350" s="1" t="str">
        <f aca="false">D350&amp;"-"&amp;E350&amp;"-"&amp;M350&amp;"-"&amp;O350&amp;"-"&amp;P350&amp;"-"&amp;Q350</f>
        <v>TRIUMPH-21 W-150I669-BLUE-40-D</v>
      </c>
      <c r="W350" s="1" t="s">
        <v>586</v>
      </c>
    </row>
    <row r="351" customFormat="false" ht="15" hidden="true" customHeight="false" outlineLevel="0" collapsed="false">
      <c r="B351" s="25" t="s">
        <v>667</v>
      </c>
      <c r="C351" s="2" t="s">
        <v>580</v>
      </c>
      <c r="D351" s="2" t="s">
        <v>581</v>
      </c>
      <c r="E351" s="25" t="s">
        <v>609</v>
      </c>
      <c r="F351" s="3" t="s">
        <v>80</v>
      </c>
      <c r="G351" s="3" t="s">
        <v>41</v>
      </c>
      <c r="H351" s="3" t="s">
        <v>70</v>
      </c>
      <c r="I351" s="3" t="s">
        <v>43</v>
      </c>
      <c r="K351" s="27" t="s">
        <v>610</v>
      </c>
      <c r="L351" s="52"/>
      <c r="M351" s="61" t="s">
        <v>610</v>
      </c>
      <c r="N351" s="25" t="s">
        <v>615</v>
      </c>
      <c r="O351" s="25" t="s">
        <v>89</v>
      </c>
      <c r="P351" s="61" t="s">
        <v>417</v>
      </c>
      <c r="Q351" s="25" t="s">
        <v>97</v>
      </c>
      <c r="R351" s="2" t="n">
        <v>1156.76</v>
      </c>
      <c r="S351" s="2" t="n">
        <v>1799</v>
      </c>
      <c r="T351" s="99" t="n">
        <v>1</v>
      </c>
      <c r="U351" s="1" t="str">
        <f aca="false">D351&amp;"-"&amp;E351&amp;"-"&amp;M351&amp;"-"&amp;O351&amp;"-"&amp;P351&amp;"-"&amp;Q351</f>
        <v>TRIUMPH-21 W-150I669-BLUE-40-D</v>
      </c>
      <c r="W351" s="1" t="s">
        <v>586</v>
      </c>
    </row>
    <row r="352" customFormat="false" ht="15" hidden="true" customHeight="false" outlineLevel="0" collapsed="false">
      <c r="B352" s="25" t="s">
        <v>668</v>
      </c>
      <c r="C352" s="2" t="s">
        <v>580</v>
      </c>
      <c r="D352" s="2" t="s">
        <v>581</v>
      </c>
      <c r="E352" s="25" t="s">
        <v>609</v>
      </c>
      <c r="F352" s="3" t="s">
        <v>80</v>
      </c>
      <c r="G352" s="3" t="s">
        <v>41</v>
      </c>
      <c r="H352" s="3" t="s">
        <v>70</v>
      </c>
      <c r="I352" s="3" t="s">
        <v>43</v>
      </c>
      <c r="K352" s="27" t="s">
        <v>610</v>
      </c>
      <c r="L352" s="52"/>
      <c r="M352" s="61" t="s">
        <v>610</v>
      </c>
      <c r="N352" s="25" t="s">
        <v>587</v>
      </c>
      <c r="O352" s="25" t="s">
        <v>465</v>
      </c>
      <c r="P352" s="25" t="s">
        <v>417</v>
      </c>
      <c r="Q352" s="25" t="s">
        <v>97</v>
      </c>
      <c r="R352" s="2" t="n">
        <v>1156.76</v>
      </c>
      <c r="S352" s="2" t="n">
        <v>1799</v>
      </c>
      <c r="T352" s="99" t="n">
        <v>1</v>
      </c>
      <c r="U352" s="1" t="str">
        <f aca="false">D352&amp;"-"&amp;E352&amp;"-"&amp;M352&amp;"-"&amp;O352&amp;"-"&amp;P352&amp;"-"&amp;Q352</f>
        <v>TRIUMPH-21 W-150I669-SKIN-40-D</v>
      </c>
      <c r="W352" s="1" t="s">
        <v>586</v>
      </c>
    </row>
    <row r="353" customFormat="false" ht="15" hidden="true" customHeight="false" outlineLevel="0" collapsed="false">
      <c r="B353" s="61" t="s">
        <v>669</v>
      </c>
      <c r="C353" s="2" t="s">
        <v>580</v>
      </c>
      <c r="D353" s="2" t="s">
        <v>581</v>
      </c>
      <c r="E353" s="25" t="s">
        <v>609</v>
      </c>
      <c r="F353" s="3" t="s">
        <v>80</v>
      </c>
      <c r="G353" s="3" t="s">
        <v>41</v>
      </c>
      <c r="H353" s="3" t="s">
        <v>70</v>
      </c>
      <c r="I353" s="3" t="s">
        <v>43</v>
      </c>
      <c r="K353" s="27" t="s">
        <v>610</v>
      </c>
      <c r="L353" s="52"/>
      <c r="M353" s="61" t="s">
        <v>610</v>
      </c>
      <c r="N353" s="61" t="s">
        <v>617</v>
      </c>
      <c r="O353" s="61" t="s">
        <v>77</v>
      </c>
      <c r="P353" s="25" t="s">
        <v>417</v>
      </c>
      <c r="Q353" s="61" t="s">
        <v>97</v>
      </c>
      <c r="R353" s="2" t="n">
        <v>1156.76</v>
      </c>
      <c r="S353" s="2" t="n">
        <v>1799</v>
      </c>
      <c r="T353" s="99" t="n">
        <v>1</v>
      </c>
      <c r="U353" s="1" t="str">
        <f aca="false">D353&amp;"-"&amp;E353&amp;"-"&amp;M353&amp;"-"&amp;O353&amp;"-"&amp;P353&amp;"-"&amp;Q353</f>
        <v>TRIUMPH-21 W-150I669-BLACK-40-D</v>
      </c>
      <c r="W353" s="1" t="s">
        <v>586</v>
      </c>
    </row>
    <row r="354" customFormat="false" ht="15" hidden="true" customHeight="false" outlineLevel="0" collapsed="false">
      <c r="B354" s="31" t="n">
        <v>7611358606214</v>
      </c>
      <c r="C354" s="2" t="s">
        <v>580</v>
      </c>
      <c r="D354" s="2" t="s">
        <v>581</v>
      </c>
      <c r="E354" s="25" t="s">
        <v>609</v>
      </c>
      <c r="F354" s="3" t="s">
        <v>80</v>
      </c>
      <c r="G354" s="3" t="s">
        <v>41</v>
      </c>
      <c r="H354" s="3" t="s">
        <v>70</v>
      </c>
      <c r="I354" s="3" t="s">
        <v>43</v>
      </c>
      <c r="K354" s="27" t="s">
        <v>610</v>
      </c>
      <c r="L354" s="52"/>
      <c r="M354" s="61" t="s">
        <v>610</v>
      </c>
      <c r="N354" s="61" t="s">
        <v>618</v>
      </c>
      <c r="O354" s="61" t="s">
        <v>619</v>
      </c>
      <c r="P354" s="61" t="s">
        <v>417</v>
      </c>
      <c r="Q354" s="61" t="s">
        <v>97</v>
      </c>
      <c r="R354" s="2" t="n">
        <v>1156.76</v>
      </c>
      <c r="S354" s="2" t="n">
        <v>1799</v>
      </c>
      <c r="T354" s="99" t="n">
        <v>1</v>
      </c>
      <c r="U354" s="1" t="str">
        <f aca="false">D354&amp;"-"&amp;E354&amp;"-"&amp;M354&amp;"-"&amp;O354&amp;"-"&amp;P354&amp;"-"&amp;Q354</f>
        <v>TRIUMPH-21 W-150I669-GREEN-40-D</v>
      </c>
      <c r="W354" s="1" t="s">
        <v>586</v>
      </c>
    </row>
    <row r="355" customFormat="false" ht="15" hidden="true" customHeight="false" outlineLevel="0" collapsed="false">
      <c r="B355" s="25" t="s">
        <v>670</v>
      </c>
      <c r="C355" s="2" t="s">
        <v>580</v>
      </c>
      <c r="D355" s="2" t="s">
        <v>581</v>
      </c>
      <c r="E355" s="25" t="s">
        <v>609</v>
      </c>
      <c r="F355" s="3" t="s">
        <v>80</v>
      </c>
      <c r="G355" s="3" t="s">
        <v>41</v>
      </c>
      <c r="H355" s="3" t="s">
        <v>70</v>
      </c>
      <c r="I355" s="3" t="s">
        <v>43</v>
      </c>
      <c r="K355" s="27" t="s">
        <v>610</v>
      </c>
      <c r="L355" s="52"/>
      <c r="M355" s="61" t="s">
        <v>610</v>
      </c>
      <c r="N355" s="25" t="s">
        <v>624</v>
      </c>
      <c r="O355" s="17" t="s">
        <v>585</v>
      </c>
      <c r="P355" s="61" t="s">
        <v>417</v>
      </c>
      <c r="Q355" s="25" t="s">
        <v>66</v>
      </c>
      <c r="R355" s="2" t="n">
        <v>1156.76</v>
      </c>
      <c r="S355" s="2" t="n">
        <v>1799</v>
      </c>
      <c r="T355" s="99" t="n">
        <v>1</v>
      </c>
      <c r="U355" s="1" t="str">
        <f aca="false">D355&amp;"-"&amp;E355&amp;"-"&amp;M355&amp;"-"&amp;O355&amp;"-"&amp;P355&amp;"-"&amp;Q355</f>
        <v>TRIUMPH-21 W-150I669-CORAL-40-E</v>
      </c>
      <c r="W355" s="1" t="s">
        <v>586</v>
      </c>
    </row>
    <row r="356" customFormat="false" ht="15" hidden="true" customHeight="false" outlineLevel="0" collapsed="false">
      <c r="B356" s="25" t="s">
        <v>671</v>
      </c>
      <c r="C356" s="2" t="s">
        <v>580</v>
      </c>
      <c r="D356" s="2" t="s">
        <v>581</v>
      </c>
      <c r="E356" s="25" t="s">
        <v>609</v>
      </c>
      <c r="F356" s="3" t="s">
        <v>80</v>
      </c>
      <c r="G356" s="3" t="s">
        <v>41</v>
      </c>
      <c r="H356" s="3" t="s">
        <v>70</v>
      </c>
      <c r="I356" s="3" t="s">
        <v>43</v>
      </c>
      <c r="K356" s="27" t="s">
        <v>610</v>
      </c>
      <c r="L356" s="52"/>
      <c r="M356" s="61" t="s">
        <v>610</v>
      </c>
      <c r="N356" s="25" t="s">
        <v>587</v>
      </c>
      <c r="O356" s="25" t="s">
        <v>465</v>
      </c>
      <c r="P356" s="61" t="s">
        <v>417</v>
      </c>
      <c r="Q356" s="25" t="s">
        <v>66</v>
      </c>
      <c r="R356" s="2" t="n">
        <v>1156.76</v>
      </c>
      <c r="S356" s="2" t="n">
        <v>1799</v>
      </c>
      <c r="T356" s="99" t="n">
        <v>1</v>
      </c>
      <c r="U356" s="1" t="str">
        <f aca="false">D356&amp;"-"&amp;E356&amp;"-"&amp;M356&amp;"-"&amp;O356&amp;"-"&amp;P356&amp;"-"&amp;Q356</f>
        <v>TRIUMPH-21 W-150I669-SKIN-40-E</v>
      </c>
      <c r="W356" s="1" t="s">
        <v>586</v>
      </c>
    </row>
    <row r="357" customFormat="false" ht="15" hidden="true" customHeight="false" outlineLevel="0" collapsed="false">
      <c r="B357" s="61" t="s">
        <v>672</v>
      </c>
      <c r="C357" s="2" t="s">
        <v>580</v>
      </c>
      <c r="D357" s="2" t="s">
        <v>581</v>
      </c>
      <c r="E357" s="25" t="s">
        <v>609</v>
      </c>
      <c r="F357" s="3" t="s">
        <v>80</v>
      </c>
      <c r="G357" s="3" t="s">
        <v>41</v>
      </c>
      <c r="H357" s="3" t="s">
        <v>70</v>
      </c>
      <c r="I357" s="3" t="s">
        <v>43</v>
      </c>
      <c r="K357" s="27" t="s">
        <v>610</v>
      </c>
      <c r="L357" s="52"/>
      <c r="M357" s="61" t="s">
        <v>610</v>
      </c>
      <c r="N357" s="61" t="s">
        <v>615</v>
      </c>
      <c r="O357" s="61" t="s">
        <v>89</v>
      </c>
      <c r="P357" s="61" t="s">
        <v>417</v>
      </c>
      <c r="Q357" s="61" t="s">
        <v>66</v>
      </c>
      <c r="R357" s="2" t="n">
        <v>1156.76</v>
      </c>
      <c r="S357" s="2" t="n">
        <v>1799</v>
      </c>
      <c r="T357" s="99" t="n">
        <v>1</v>
      </c>
      <c r="U357" s="1" t="str">
        <f aca="false">D357&amp;"-"&amp;E357&amp;"-"&amp;M357&amp;"-"&amp;O357&amp;"-"&amp;P357&amp;"-"&amp;Q357</f>
        <v>TRIUMPH-21 W-150I669-BLUE-40-E</v>
      </c>
      <c r="W357" s="1" t="s">
        <v>586</v>
      </c>
    </row>
    <row r="358" customFormat="false" ht="15" hidden="true" customHeight="false" outlineLevel="0" collapsed="false">
      <c r="B358" s="61" t="s">
        <v>673</v>
      </c>
      <c r="C358" s="2" t="s">
        <v>580</v>
      </c>
      <c r="D358" s="2" t="s">
        <v>581</v>
      </c>
      <c r="E358" s="25" t="s">
        <v>609</v>
      </c>
      <c r="F358" s="3" t="s">
        <v>80</v>
      </c>
      <c r="G358" s="3" t="s">
        <v>41</v>
      </c>
      <c r="H358" s="3" t="s">
        <v>70</v>
      </c>
      <c r="I358" s="3" t="s">
        <v>43</v>
      </c>
      <c r="K358" s="27" t="s">
        <v>610</v>
      </c>
      <c r="L358" s="52"/>
      <c r="M358" s="61" t="s">
        <v>610</v>
      </c>
      <c r="N358" s="61" t="s">
        <v>637</v>
      </c>
      <c r="O358" s="61" t="s">
        <v>674</v>
      </c>
      <c r="P358" s="61" t="s">
        <v>417</v>
      </c>
      <c r="Q358" s="61" t="s">
        <v>66</v>
      </c>
      <c r="R358" s="2" t="n">
        <v>1156.76</v>
      </c>
      <c r="S358" s="2" t="n">
        <v>1799</v>
      </c>
      <c r="T358" s="99" t="n">
        <v>0</v>
      </c>
      <c r="U358" s="1" t="str">
        <f aca="false">D358&amp;"-"&amp;E358&amp;"-"&amp;M358&amp;"-"&amp;O358&amp;"-"&amp;P358&amp;"-"&amp;Q358</f>
        <v>TRIUMPH-21 W-150I669-COFFE-40-E</v>
      </c>
      <c r="W358" s="1" t="s">
        <v>586</v>
      </c>
    </row>
    <row r="359" customFormat="false" ht="15" hidden="true" customHeight="false" outlineLevel="0" collapsed="false">
      <c r="B359" s="61" t="s">
        <v>675</v>
      </c>
      <c r="C359" s="2" t="s">
        <v>580</v>
      </c>
      <c r="D359" s="2" t="s">
        <v>581</v>
      </c>
      <c r="E359" s="25" t="s">
        <v>609</v>
      </c>
      <c r="F359" s="3" t="s">
        <v>80</v>
      </c>
      <c r="G359" s="3" t="s">
        <v>41</v>
      </c>
      <c r="H359" s="3" t="s">
        <v>70</v>
      </c>
      <c r="I359" s="3" t="s">
        <v>43</v>
      </c>
      <c r="K359" s="27" t="s">
        <v>610</v>
      </c>
      <c r="L359" s="52"/>
      <c r="M359" s="61" t="s">
        <v>610</v>
      </c>
      <c r="N359" s="61" t="s">
        <v>618</v>
      </c>
      <c r="O359" s="61" t="s">
        <v>619</v>
      </c>
      <c r="P359" s="25" t="s">
        <v>417</v>
      </c>
      <c r="Q359" s="61" t="s">
        <v>66</v>
      </c>
      <c r="R359" s="2" t="n">
        <v>1156.76</v>
      </c>
      <c r="S359" s="2" t="n">
        <v>1799</v>
      </c>
      <c r="T359" s="99" t="n">
        <v>0</v>
      </c>
      <c r="U359" s="1" t="str">
        <f aca="false">D359&amp;"-"&amp;E359&amp;"-"&amp;M359&amp;"-"&amp;O359&amp;"-"&amp;P359&amp;"-"&amp;Q359</f>
        <v>TRIUMPH-21 W-150I669-GREEN-40-E</v>
      </c>
      <c r="W359" s="1" t="s">
        <v>586</v>
      </c>
    </row>
    <row r="360" customFormat="false" ht="15" hidden="true" customHeight="false" outlineLevel="0" collapsed="false">
      <c r="B360" s="61" t="s">
        <v>671</v>
      </c>
      <c r="C360" s="2" t="s">
        <v>580</v>
      </c>
      <c r="D360" s="2" t="s">
        <v>581</v>
      </c>
      <c r="E360" s="25" t="s">
        <v>609</v>
      </c>
      <c r="F360" s="3" t="s">
        <v>80</v>
      </c>
      <c r="G360" s="3" t="s">
        <v>41</v>
      </c>
      <c r="H360" s="3" t="s">
        <v>70</v>
      </c>
      <c r="I360" s="3" t="s">
        <v>43</v>
      </c>
      <c r="K360" s="27" t="s">
        <v>610</v>
      </c>
      <c r="L360" s="52"/>
      <c r="M360" s="61" t="s">
        <v>610</v>
      </c>
      <c r="N360" s="25" t="s">
        <v>587</v>
      </c>
      <c r="O360" s="61" t="s">
        <v>465</v>
      </c>
      <c r="P360" s="25" t="s">
        <v>417</v>
      </c>
      <c r="Q360" s="61" t="s">
        <v>66</v>
      </c>
      <c r="R360" s="2" t="n">
        <v>1156.76</v>
      </c>
      <c r="S360" s="2" t="n">
        <v>1799</v>
      </c>
      <c r="T360" s="99" t="n">
        <v>1</v>
      </c>
      <c r="U360" s="1" t="str">
        <f aca="false">D360&amp;"-"&amp;E360&amp;"-"&amp;M360&amp;"-"&amp;O360&amp;"-"&amp;P360&amp;"-"&amp;Q360</f>
        <v>TRIUMPH-21 W-150I669-SKIN-40-E</v>
      </c>
      <c r="W360" s="1" t="s">
        <v>586</v>
      </c>
    </row>
    <row r="361" customFormat="false" ht="15" hidden="true" customHeight="false" outlineLevel="0" collapsed="false">
      <c r="B361" s="25" t="s">
        <v>676</v>
      </c>
      <c r="C361" s="2" t="s">
        <v>580</v>
      </c>
      <c r="D361" s="2" t="s">
        <v>581</v>
      </c>
      <c r="E361" s="25" t="s">
        <v>609</v>
      </c>
      <c r="F361" s="3" t="s">
        <v>80</v>
      </c>
      <c r="G361" s="3" t="s">
        <v>41</v>
      </c>
      <c r="H361" s="3" t="s">
        <v>70</v>
      </c>
      <c r="I361" s="3" t="s">
        <v>43</v>
      </c>
      <c r="K361" s="27" t="s">
        <v>610</v>
      </c>
      <c r="L361" s="52"/>
      <c r="M361" s="61" t="s">
        <v>610</v>
      </c>
      <c r="N361" s="61" t="s">
        <v>617</v>
      </c>
      <c r="O361" s="61" t="s">
        <v>77</v>
      </c>
      <c r="P361" s="25" t="s">
        <v>417</v>
      </c>
      <c r="Q361" s="25" t="s">
        <v>50</v>
      </c>
      <c r="R361" s="2" t="n">
        <v>1156.76</v>
      </c>
      <c r="S361" s="2" t="n">
        <v>1799</v>
      </c>
      <c r="T361" s="99" t="n">
        <v>2</v>
      </c>
      <c r="U361" s="1" t="str">
        <f aca="false">D361&amp;"-"&amp;E361&amp;"-"&amp;M361&amp;"-"&amp;O361&amp;"-"&amp;P361&amp;"-"&amp;Q361</f>
        <v>TRIUMPH-21 W-150I669-BLACK-40-F</v>
      </c>
      <c r="W361" s="1" t="s">
        <v>586</v>
      </c>
    </row>
    <row r="362" customFormat="false" ht="15" hidden="true" customHeight="false" outlineLevel="0" collapsed="false">
      <c r="B362" s="25" t="s">
        <v>677</v>
      </c>
      <c r="C362" s="2" t="s">
        <v>580</v>
      </c>
      <c r="D362" s="2" t="s">
        <v>581</v>
      </c>
      <c r="E362" s="25" t="s">
        <v>609</v>
      </c>
      <c r="F362" s="3" t="s">
        <v>80</v>
      </c>
      <c r="G362" s="3" t="s">
        <v>41</v>
      </c>
      <c r="H362" s="3" t="s">
        <v>70</v>
      </c>
      <c r="I362" s="3" t="s">
        <v>43</v>
      </c>
      <c r="K362" s="27" t="s">
        <v>610</v>
      </c>
      <c r="L362" s="52"/>
      <c r="M362" s="61" t="s">
        <v>610</v>
      </c>
      <c r="N362" s="61" t="s">
        <v>587</v>
      </c>
      <c r="O362" s="25" t="s">
        <v>465</v>
      </c>
      <c r="P362" s="25" t="s">
        <v>417</v>
      </c>
      <c r="Q362" s="25" t="s">
        <v>50</v>
      </c>
      <c r="R362" s="2" t="n">
        <v>1156.76</v>
      </c>
      <c r="S362" s="2" t="n">
        <v>1799</v>
      </c>
      <c r="T362" s="99" t="n">
        <v>0</v>
      </c>
      <c r="U362" s="1" t="str">
        <f aca="false">D362&amp;"-"&amp;E362&amp;"-"&amp;M362&amp;"-"&amp;O362&amp;"-"&amp;P362&amp;"-"&amp;Q362</f>
        <v>TRIUMPH-21 W-150I669-SKIN-40-F</v>
      </c>
      <c r="W362" s="1" t="s">
        <v>586</v>
      </c>
    </row>
    <row r="363" customFormat="false" ht="15" hidden="true" customHeight="false" outlineLevel="0" collapsed="false">
      <c r="B363" s="25" t="s">
        <v>678</v>
      </c>
      <c r="C363" s="2" t="s">
        <v>580</v>
      </c>
      <c r="D363" s="2" t="s">
        <v>581</v>
      </c>
      <c r="E363" s="25" t="s">
        <v>609</v>
      </c>
      <c r="F363" s="3" t="s">
        <v>80</v>
      </c>
      <c r="G363" s="3" t="s">
        <v>41</v>
      </c>
      <c r="H363" s="3" t="s">
        <v>70</v>
      </c>
      <c r="I363" s="3" t="s">
        <v>43</v>
      </c>
      <c r="K363" s="27" t="s">
        <v>610</v>
      </c>
      <c r="L363" s="52"/>
      <c r="M363" s="61" t="s">
        <v>610</v>
      </c>
      <c r="N363" s="61" t="s">
        <v>587</v>
      </c>
      <c r="O363" s="25" t="s">
        <v>465</v>
      </c>
      <c r="P363" s="25" t="s">
        <v>417</v>
      </c>
      <c r="Q363" s="25" t="s">
        <v>105</v>
      </c>
      <c r="R363" s="2" t="n">
        <v>1156.76</v>
      </c>
      <c r="S363" s="2" t="n">
        <v>1799</v>
      </c>
      <c r="T363" s="99" t="n">
        <v>2</v>
      </c>
      <c r="U363" s="1" t="str">
        <f aca="false">D363&amp;"-"&amp;E363&amp;"-"&amp;M363&amp;"-"&amp;O363&amp;"-"&amp;P363&amp;"-"&amp;Q363</f>
        <v>TRIUMPH-21 W-150I669-SKIN-40-G</v>
      </c>
      <c r="W363" s="1" t="s">
        <v>586</v>
      </c>
    </row>
    <row r="364" customFormat="false" ht="15" hidden="true" customHeight="false" outlineLevel="0" collapsed="false">
      <c r="B364" s="25" t="s">
        <v>679</v>
      </c>
      <c r="C364" s="2" t="s">
        <v>580</v>
      </c>
      <c r="D364" s="2" t="s">
        <v>581</v>
      </c>
      <c r="E364" s="25" t="s">
        <v>609</v>
      </c>
      <c r="F364" s="3" t="s">
        <v>80</v>
      </c>
      <c r="G364" s="3" t="s">
        <v>41</v>
      </c>
      <c r="H364" s="3" t="s">
        <v>70</v>
      </c>
      <c r="I364" s="3" t="s">
        <v>43</v>
      </c>
      <c r="K364" s="27" t="s">
        <v>610</v>
      </c>
      <c r="L364" s="52"/>
      <c r="M364" s="61" t="s">
        <v>610</v>
      </c>
      <c r="N364" s="61" t="s">
        <v>611</v>
      </c>
      <c r="O364" s="61" t="s">
        <v>612</v>
      </c>
      <c r="P364" s="25" t="s">
        <v>417</v>
      </c>
      <c r="Q364" s="25" t="s">
        <v>105</v>
      </c>
      <c r="R364" s="2" t="n">
        <v>1156.76</v>
      </c>
      <c r="S364" s="2" t="n">
        <v>1799</v>
      </c>
      <c r="T364" s="99" t="n">
        <v>1</v>
      </c>
      <c r="U364" s="1" t="str">
        <f aca="false">D364&amp;"-"&amp;E364&amp;"-"&amp;M364&amp;"-"&amp;O364&amp;"-"&amp;P364&amp;"-"&amp;Q364</f>
        <v>TRIUMPH-21 W-150I669-WHITE-40-G</v>
      </c>
      <c r="W364" s="1" t="s">
        <v>586</v>
      </c>
    </row>
    <row r="365" customFormat="false" ht="15" hidden="true" customHeight="false" outlineLevel="0" collapsed="false">
      <c r="B365" s="31" t="n">
        <v>7613114294178</v>
      </c>
      <c r="C365" s="2" t="s">
        <v>580</v>
      </c>
      <c r="D365" s="2" t="s">
        <v>581</v>
      </c>
      <c r="E365" s="25" t="s">
        <v>609</v>
      </c>
      <c r="F365" s="3" t="s">
        <v>80</v>
      </c>
      <c r="G365" s="3" t="s">
        <v>41</v>
      </c>
      <c r="H365" s="3" t="s">
        <v>70</v>
      </c>
      <c r="I365" s="3" t="s">
        <v>43</v>
      </c>
      <c r="K365" s="27" t="s">
        <v>610</v>
      </c>
      <c r="L365" s="52"/>
      <c r="M365" s="61" t="s">
        <v>610</v>
      </c>
      <c r="N365" s="61" t="s">
        <v>617</v>
      </c>
      <c r="O365" s="29" t="s">
        <v>77</v>
      </c>
      <c r="P365" s="25" t="s">
        <v>417</v>
      </c>
      <c r="Q365" s="25" t="s">
        <v>105</v>
      </c>
      <c r="R365" s="2" t="n">
        <v>1156.76</v>
      </c>
      <c r="S365" s="2" t="n">
        <v>1799</v>
      </c>
      <c r="T365" s="99" t="n">
        <v>0</v>
      </c>
      <c r="U365" s="1" t="str">
        <f aca="false">D365&amp;"-"&amp;E365&amp;"-"&amp;M365&amp;"-"&amp;O365&amp;"-"&amp;P365&amp;"-"&amp;Q365</f>
        <v>TRIUMPH-21 W-150I669-BLACK-40-G</v>
      </c>
      <c r="W365" s="1" t="s">
        <v>586</v>
      </c>
    </row>
    <row r="366" customFormat="false" ht="15" hidden="true" customHeight="false" outlineLevel="0" collapsed="false">
      <c r="B366" s="61" t="s">
        <v>680</v>
      </c>
      <c r="C366" s="2" t="s">
        <v>580</v>
      </c>
      <c r="D366" s="2" t="s">
        <v>581</v>
      </c>
      <c r="E366" s="25" t="s">
        <v>609</v>
      </c>
      <c r="F366" s="3" t="s">
        <v>80</v>
      </c>
      <c r="G366" s="3" t="s">
        <v>41</v>
      </c>
      <c r="H366" s="3" t="s">
        <v>70</v>
      </c>
      <c r="I366" s="3" t="s">
        <v>43</v>
      </c>
      <c r="K366" s="27" t="s">
        <v>610</v>
      </c>
      <c r="L366" s="52"/>
      <c r="M366" s="61" t="s">
        <v>610</v>
      </c>
      <c r="N366" s="61" t="s">
        <v>617</v>
      </c>
      <c r="O366" s="61" t="s">
        <v>77</v>
      </c>
      <c r="P366" s="25" t="s">
        <v>417</v>
      </c>
      <c r="Q366" s="61" t="s">
        <v>143</v>
      </c>
      <c r="R366" s="2" t="n">
        <v>1156.76</v>
      </c>
      <c r="S366" s="2" t="n">
        <v>1799</v>
      </c>
      <c r="T366" s="99" t="n">
        <v>2</v>
      </c>
      <c r="U366" s="1" t="str">
        <f aca="false">D366&amp;"-"&amp;E366&amp;"-"&amp;M366&amp;"-"&amp;O366&amp;"-"&amp;P366&amp;"-"&amp;Q366</f>
        <v>TRIUMPH-21 W-150I669-BLACK-40-H</v>
      </c>
      <c r="W366" s="1" t="s">
        <v>586</v>
      </c>
    </row>
    <row r="367" customFormat="false" ht="15" hidden="true" customHeight="false" outlineLevel="0" collapsed="false">
      <c r="B367" s="25" t="s">
        <v>681</v>
      </c>
      <c r="C367" s="2" t="s">
        <v>580</v>
      </c>
      <c r="D367" s="2" t="s">
        <v>581</v>
      </c>
      <c r="E367" s="25" t="s">
        <v>609</v>
      </c>
      <c r="F367" s="3" t="s">
        <v>80</v>
      </c>
      <c r="G367" s="3" t="s">
        <v>41</v>
      </c>
      <c r="H367" s="3" t="s">
        <v>70</v>
      </c>
      <c r="I367" s="3" t="s">
        <v>43</v>
      </c>
      <c r="K367" s="27" t="s">
        <v>610</v>
      </c>
      <c r="L367" s="52"/>
      <c r="M367" s="61" t="s">
        <v>610</v>
      </c>
      <c r="N367" s="25" t="s">
        <v>587</v>
      </c>
      <c r="O367" s="25" t="s">
        <v>465</v>
      </c>
      <c r="P367" s="25" t="s">
        <v>417</v>
      </c>
      <c r="Q367" s="25" t="s">
        <v>143</v>
      </c>
      <c r="R367" s="2" t="n">
        <v>1156.76</v>
      </c>
      <c r="S367" s="2" t="n">
        <v>1799</v>
      </c>
      <c r="T367" s="99" t="n">
        <v>2</v>
      </c>
      <c r="U367" s="1" t="str">
        <f aca="false">D367&amp;"-"&amp;E367&amp;"-"&amp;M367&amp;"-"&amp;O367&amp;"-"&amp;P367&amp;"-"&amp;Q367</f>
        <v>TRIUMPH-21 W-150I669-SKIN-40-H</v>
      </c>
      <c r="W367" s="1" t="s">
        <v>586</v>
      </c>
    </row>
    <row r="368" customFormat="false" ht="15" hidden="true" customHeight="false" outlineLevel="0" collapsed="false">
      <c r="B368" s="25" t="s">
        <v>682</v>
      </c>
      <c r="C368" s="2" t="s">
        <v>580</v>
      </c>
      <c r="D368" s="2" t="s">
        <v>581</v>
      </c>
      <c r="E368" s="25" t="s">
        <v>609</v>
      </c>
      <c r="F368" s="3" t="s">
        <v>80</v>
      </c>
      <c r="G368" s="3" t="s">
        <v>41</v>
      </c>
      <c r="H368" s="3" t="s">
        <v>70</v>
      </c>
      <c r="I368" s="3" t="s">
        <v>43</v>
      </c>
      <c r="K368" s="27" t="s">
        <v>610</v>
      </c>
      <c r="L368" s="52"/>
      <c r="M368" s="61" t="s">
        <v>610</v>
      </c>
      <c r="N368" s="25" t="s">
        <v>587</v>
      </c>
      <c r="O368" s="25" t="s">
        <v>465</v>
      </c>
      <c r="P368" s="25" t="s">
        <v>440</v>
      </c>
      <c r="Q368" s="25" t="s">
        <v>66</v>
      </c>
      <c r="R368" s="2" t="n">
        <v>1156.76</v>
      </c>
      <c r="S368" s="2" t="n">
        <v>1799</v>
      </c>
      <c r="T368" s="99" t="n">
        <v>2</v>
      </c>
      <c r="U368" s="1" t="str">
        <f aca="false">D368&amp;"-"&amp;E368&amp;"-"&amp;M368&amp;"-"&amp;O368&amp;"-"&amp;P368&amp;"-"&amp;Q368</f>
        <v>TRIUMPH-21 W-150I669-SKIN-42-E</v>
      </c>
      <c r="W368" s="1" t="s">
        <v>586</v>
      </c>
    </row>
    <row r="369" customFormat="false" ht="15" hidden="true" customHeight="false" outlineLevel="0" collapsed="false">
      <c r="B369" s="25" t="s">
        <v>683</v>
      </c>
      <c r="C369" s="2" t="s">
        <v>580</v>
      </c>
      <c r="D369" s="2" t="s">
        <v>581</v>
      </c>
      <c r="E369" s="25" t="s">
        <v>609</v>
      </c>
      <c r="F369" s="3" t="s">
        <v>80</v>
      </c>
      <c r="G369" s="3" t="s">
        <v>41</v>
      </c>
      <c r="H369" s="3" t="s">
        <v>70</v>
      </c>
      <c r="I369" s="3" t="s">
        <v>43</v>
      </c>
      <c r="K369" s="27" t="s">
        <v>653</v>
      </c>
      <c r="L369" s="52"/>
      <c r="M369" s="61" t="s">
        <v>610</v>
      </c>
      <c r="N369" s="25" t="s">
        <v>617</v>
      </c>
      <c r="O369" s="25" t="s">
        <v>77</v>
      </c>
      <c r="P369" s="25" t="s">
        <v>440</v>
      </c>
      <c r="Q369" s="25" t="s">
        <v>66</v>
      </c>
      <c r="R369" s="2" t="n">
        <v>1156.76</v>
      </c>
      <c r="S369" s="2" t="n">
        <v>1799</v>
      </c>
      <c r="T369" s="99" t="n">
        <v>2</v>
      </c>
      <c r="U369" s="1" t="str">
        <f aca="false">D369&amp;"-"&amp;E369&amp;"-"&amp;M369&amp;"-"&amp;O369&amp;"-"&amp;P369&amp;"-"&amp;Q369</f>
        <v>TRIUMPH-21 W-150I669-BLACK-42-E</v>
      </c>
      <c r="W369" s="1" t="s">
        <v>586</v>
      </c>
    </row>
    <row r="370" customFormat="false" ht="15" hidden="true" customHeight="false" outlineLevel="0" collapsed="false">
      <c r="B370" s="25" t="s">
        <v>684</v>
      </c>
      <c r="C370" s="2" t="s">
        <v>580</v>
      </c>
      <c r="D370" s="2" t="s">
        <v>581</v>
      </c>
      <c r="E370" s="25" t="s">
        <v>609</v>
      </c>
      <c r="F370" s="3" t="s">
        <v>80</v>
      </c>
      <c r="G370" s="3" t="s">
        <v>41</v>
      </c>
      <c r="H370" s="3" t="s">
        <v>70</v>
      </c>
      <c r="I370" s="3" t="s">
        <v>43</v>
      </c>
      <c r="K370" s="27" t="s">
        <v>610</v>
      </c>
      <c r="L370" s="52"/>
      <c r="M370" s="61" t="s">
        <v>610</v>
      </c>
      <c r="N370" s="25" t="s">
        <v>611</v>
      </c>
      <c r="O370" s="25" t="s">
        <v>612</v>
      </c>
      <c r="P370" s="25" t="s">
        <v>440</v>
      </c>
      <c r="Q370" s="25" t="s">
        <v>50</v>
      </c>
      <c r="R370" s="2" t="n">
        <v>1156.76</v>
      </c>
      <c r="S370" s="2" t="n">
        <v>1799</v>
      </c>
      <c r="T370" s="99" t="n">
        <v>1</v>
      </c>
      <c r="U370" s="1" t="str">
        <f aca="false">D370&amp;"-"&amp;E370&amp;"-"&amp;M370&amp;"-"&amp;O370&amp;"-"&amp;P370&amp;"-"&amp;Q370</f>
        <v>TRIUMPH-21 W-150I669-WHITE-42-F</v>
      </c>
      <c r="W370" s="1" t="s">
        <v>586</v>
      </c>
    </row>
    <row r="371" customFormat="false" ht="15" hidden="true" customHeight="false" outlineLevel="0" collapsed="false">
      <c r="B371" s="25" t="s">
        <v>685</v>
      </c>
      <c r="C371" s="2" t="s">
        <v>580</v>
      </c>
      <c r="D371" s="2" t="s">
        <v>581</v>
      </c>
      <c r="E371" s="25" t="s">
        <v>609</v>
      </c>
      <c r="F371" s="3" t="s">
        <v>80</v>
      </c>
      <c r="G371" s="3" t="s">
        <v>41</v>
      </c>
      <c r="H371" s="3" t="s">
        <v>70</v>
      </c>
      <c r="I371" s="3" t="s">
        <v>43</v>
      </c>
      <c r="K371" s="27" t="s">
        <v>610</v>
      </c>
      <c r="L371" s="52"/>
      <c r="M371" s="61" t="s">
        <v>610</v>
      </c>
      <c r="N371" s="25" t="s">
        <v>617</v>
      </c>
      <c r="O371" s="25" t="s">
        <v>77</v>
      </c>
      <c r="P371" s="25" t="s">
        <v>440</v>
      </c>
      <c r="Q371" s="25" t="s">
        <v>50</v>
      </c>
      <c r="R371" s="2" t="n">
        <v>1156.76</v>
      </c>
      <c r="S371" s="2" t="n">
        <v>1799</v>
      </c>
      <c r="T371" s="99" t="n">
        <v>1</v>
      </c>
      <c r="U371" s="1" t="str">
        <f aca="false">D371&amp;"-"&amp;E371&amp;"-"&amp;M371&amp;"-"&amp;O371&amp;"-"&amp;P371&amp;"-"&amp;Q371</f>
        <v>TRIUMPH-21 W-150I669-BLACK-42-F</v>
      </c>
      <c r="W371" s="1" t="s">
        <v>586</v>
      </c>
    </row>
    <row r="372" customFormat="false" ht="15" hidden="true" customHeight="false" outlineLevel="0" collapsed="false">
      <c r="B372" s="25" t="s">
        <v>686</v>
      </c>
      <c r="C372" s="2" t="s">
        <v>580</v>
      </c>
      <c r="D372" s="2" t="s">
        <v>581</v>
      </c>
      <c r="E372" s="25" t="s">
        <v>609</v>
      </c>
      <c r="F372" s="3" t="s">
        <v>80</v>
      </c>
      <c r="G372" s="3" t="s">
        <v>41</v>
      </c>
      <c r="H372" s="3" t="s">
        <v>70</v>
      </c>
      <c r="I372" s="3" t="s">
        <v>43</v>
      </c>
      <c r="K372" s="27" t="s">
        <v>610</v>
      </c>
      <c r="L372" s="52"/>
      <c r="M372" s="61" t="s">
        <v>610</v>
      </c>
      <c r="N372" s="25" t="s">
        <v>587</v>
      </c>
      <c r="O372" s="25" t="s">
        <v>465</v>
      </c>
      <c r="P372" s="25" t="s">
        <v>440</v>
      </c>
      <c r="Q372" s="25" t="s">
        <v>50</v>
      </c>
      <c r="R372" s="2" t="n">
        <v>1156.76</v>
      </c>
      <c r="S372" s="2" t="n">
        <v>1799</v>
      </c>
      <c r="T372" s="99" t="n">
        <v>1</v>
      </c>
      <c r="U372" s="1" t="str">
        <f aca="false">D372&amp;"-"&amp;E372&amp;"-"&amp;M372&amp;"-"&amp;O372&amp;"-"&amp;P372&amp;"-"&amp;Q372</f>
        <v>TRIUMPH-21 W-150I669-SKIN-42-F</v>
      </c>
      <c r="W372" s="1" t="s">
        <v>586</v>
      </c>
    </row>
    <row r="373" customFormat="false" ht="15" hidden="true" customHeight="false" outlineLevel="0" collapsed="false">
      <c r="B373" s="25" t="s">
        <v>687</v>
      </c>
      <c r="C373" s="2" t="s">
        <v>580</v>
      </c>
      <c r="D373" s="2" t="s">
        <v>581</v>
      </c>
      <c r="E373" s="25" t="s">
        <v>609</v>
      </c>
      <c r="F373" s="3" t="s">
        <v>80</v>
      </c>
      <c r="G373" s="3" t="s">
        <v>41</v>
      </c>
      <c r="H373" s="3" t="s">
        <v>70</v>
      </c>
      <c r="I373" s="3" t="s">
        <v>43</v>
      </c>
      <c r="K373" s="27" t="s">
        <v>610</v>
      </c>
      <c r="L373" s="52"/>
      <c r="M373" s="61" t="s">
        <v>610</v>
      </c>
      <c r="N373" s="25" t="s">
        <v>617</v>
      </c>
      <c r="O373" s="25" t="s">
        <v>77</v>
      </c>
      <c r="P373" s="25" t="s">
        <v>440</v>
      </c>
      <c r="Q373" s="25" t="s">
        <v>105</v>
      </c>
      <c r="R373" s="2" t="n">
        <v>1156.76</v>
      </c>
      <c r="S373" s="2" t="n">
        <v>1799</v>
      </c>
      <c r="T373" s="99" t="n">
        <v>2</v>
      </c>
      <c r="U373" s="1" t="str">
        <f aca="false">D373&amp;"-"&amp;E373&amp;"-"&amp;M373&amp;"-"&amp;O373&amp;"-"&amp;P373&amp;"-"&amp;Q373</f>
        <v>TRIUMPH-21 W-150I669-BLACK-42-G</v>
      </c>
      <c r="W373" s="1" t="s">
        <v>586</v>
      </c>
    </row>
    <row r="374" customFormat="false" ht="15" hidden="true" customHeight="false" outlineLevel="0" collapsed="false">
      <c r="B374" s="31" t="n">
        <v>7613114289983</v>
      </c>
      <c r="C374" s="2" t="s">
        <v>580</v>
      </c>
      <c r="D374" s="2" t="s">
        <v>581</v>
      </c>
      <c r="E374" s="61" t="s">
        <v>688</v>
      </c>
      <c r="F374" s="3" t="s">
        <v>80</v>
      </c>
      <c r="G374" s="26" t="s">
        <v>689</v>
      </c>
      <c r="H374" s="3" t="s">
        <v>70</v>
      </c>
      <c r="I374" s="3" t="s">
        <v>43</v>
      </c>
      <c r="K374" s="27" t="s">
        <v>690</v>
      </c>
      <c r="L374" s="52"/>
      <c r="M374" s="61" t="s">
        <v>690</v>
      </c>
      <c r="N374" s="25" t="s">
        <v>617</v>
      </c>
      <c r="O374" s="25" t="s">
        <v>77</v>
      </c>
      <c r="P374" s="61" t="s">
        <v>134</v>
      </c>
      <c r="Q374" s="25" t="s">
        <v>66</v>
      </c>
      <c r="R374" s="2" t="n">
        <v>1092.46</v>
      </c>
      <c r="S374" s="2" t="n">
        <v>1699</v>
      </c>
      <c r="T374" s="99" t="n">
        <v>1</v>
      </c>
      <c r="U374" s="1" t="str">
        <f aca="false">D374&amp;"-"&amp;E374&amp;"-"&amp;M374&amp;"-"&amp;O374&amp;"-"&amp;P374&amp;"-"&amp;Q374</f>
        <v>TRIUMPH-21 N-100|300-BLACK-34-E</v>
      </c>
      <c r="W374" s="1" t="s">
        <v>586</v>
      </c>
    </row>
    <row r="375" customFormat="false" ht="15" hidden="true" customHeight="false" outlineLevel="0" collapsed="false">
      <c r="B375" s="61" t="s">
        <v>691</v>
      </c>
      <c r="C375" s="2" t="s">
        <v>580</v>
      </c>
      <c r="D375" s="2" t="s">
        <v>581</v>
      </c>
      <c r="E375" s="61" t="s">
        <v>688</v>
      </c>
      <c r="F375" s="3" t="s">
        <v>80</v>
      </c>
      <c r="G375" s="26" t="s">
        <v>689</v>
      </c>
      <c r="H375" s="3" t="s">
        <v>70</v>
      </c>
      <c r="I375" s="3" t="s">
        <v>43</v>
      </c>
      <c r="K375" s="27" t="s">
        <v>690</v>
      </c>
      <c r="L375" s="52"/>
      <c r="M375" s="61" t="s">
        <v>690</v>
      </c>
      <c r="N375" s="61" t="s">
        <v>587</v>
      </c>
      <c r="O375" s="61" t="s">
        <v>465</v>
      </c>
      <c r="P375" s="61" t="s">
        <v>134</v>
      </c>
      <c r="Q375" s="61" t="s">
        <v>66</v>
      </c>
      <c r="R375" s="2" t="n">
        <v>1092.46</v>
      </c>
      <c r="S375" s="2" t="n">
        <v>1699</v>
      </c>
      <c r="T375" s="99" t="n">
        <v>1</v>
      </c>
      <c r="U375" s="1" t="str">
        <f aca="false">D375&amp;"-"&amp;E375&amp;"-"&amp;M375&amp;"-"&amp;O375&amp;"-"&amp;P375&amp;"-"&amp;Q375</f>
        <v>TRIUMPH-21 N-100|300-SKIN-34-E</v>
      </c>
      <c r="W375" s="1" t="s">
        <v>586</v>
      </c>
    </row>
    <row r="376" customFormat="false" ht="15" hidden="true" customHeight="false" outlineLevel="0" collapsed="false">
      <c r="B376" s="25" t="s">
        <v>692</v>
      </c>
      <c r="C376" s="2" t="s">
        <v>580</v>
      </c>
      <c r="D376" s="2" t="s">
        <v>581</v>
      </c>
      <c r="E376" s="61" t="s">
        <v>688</v>
      </c>
      <c r="F376" s="3" t="s">
        <v>80</v>
      </c>
      <c r="G376" s="26" t="s">
        <v>689</v>
      </c>
      <c r="H376" s="3" t="s">
        <v>70</v>
      </c>
      <c r="I376" s="3" t="s">
        <v>43</v>
      </c>
      <c r="K376" s="27" t="s">
        <v>690</v>
      </c>
      <c r="L376" s="52"/>
      <c r="M376" s="61" t="s">
        <v>690</v>
      </c>
      <c r="N376" s="25" t="s">
        <v>611</v>
      </c>
      <c r="O376" s="25" t="s">
        <v>612</v>
      </c>
      <c r="P376" s="61" t="s">
        <v>134</v>
      </c>
      <c r="Q376" s="25" t="s">
        <v>66</v>
      </c>
      <c r="R376" s="2" t="n">
        <v>1092.46</v>
      </c>
      <c r="S376" s="2" t="n">
        <v>1699</v>
      </c>
      <c r="T376" s="99" t="n">
        <v>1</v>
      </c>
      <c r="U376" s="1" t="str">
        <f aca="false">D376&amp;"-"&amp;E376&amp;"-"&amp;M376&amp;"-"&amp;O376&amp;"-"&amp;P376&amp;"-"&amp;Q376</f>
        <v>TRIUMPH-21 N-100|300-WHITE-34-E</v>
      </c>
      <c r="W376" s="1" t="s">
        <v>586</v>
      </c>
    </row>
    <row r="377" customFormat="false" ht="15" hidden="true" customHeight="false" outlineLevel="0" collapsed="false">
      <c r="B377" s="61" t="s">
        <v>693</v>
      </c>
      <c r="C377" s="2" t="s">
        <v>580</v>
      </c>
      <c r="D377" s="2" t="s">
        <v>581</v>
      </c>
      <c r="E377" s="61" t="s">
        <v>688</v>
      </c>
      <c r="F377" s="3" t="s">
        <v>80</v>
      </c>
      <c r="G377" s="26" t="s">
        <v>689</v>
      </c>
      <c r="H377" s="3" t="s">
        <v>70</v>
      </c>
      <c r="I377" s="3" t="s">
        <v>43</v>
      </c>
      <c r="K377" s="27" t="s">
        <v>690</v>
      </c>
      <c r="L377" s="52"/>
      <c r="M377" s="61" t="s">
        <v>690</v>
      </c>
      <c r="N377" s="61" t="s">
        <v>617</v>
      </c>
      <c r="O377" s="61" t="s">
        <v>77</v>
      </c>
      <c r="P377" s="61" t="s">
        <v>134</v>
      </c>
      <c r="Q377" s="2" t="s">
        <v>66</v>
      </c>
      <c r="R377" s="2" t="n">
        <v>1092.46</v>
      </c>
      <c r="S377" s="2" t="n">
        <v>1699</v>
      </c>
      <c r="T377" s="99" t="n">
        <v>1</v>
      </c>
      <c r="U377" s="1" t="str">
        <f aca="false">D377&amp;"-"&amp;E377&amp;"-"&amp;M377&amp;"-"&amp;O377&amp;"-"&amp;P377&amp;"-"&amp;Q377</f>
        <v>TRIUMPH-21 N-100|300-BLACK-34-E</v>
      </c>
      <c r="W377" s="1" t="s">
        <v>586</v>
      </c>
    </row>
    <row r="378" customFormat="false" ht="15" hidden="true" customHeight="false" outlineLevel="0" collapsed="false">
      <c r="B378" s="61" t="s">
        <v>694</v>
      </c>
      <c r="C378" s="2" t="s">
        <v>580</v>
      </c>
      <c r="D378" s="2" t="s">
        <v>581</v>
      </c>
      <c r="E378" s="61" t="s">
        <v>688</v>
      </c>
      <c r="F378" s="3" t="s">
        <v>80</v>
      </c>
      <c r="G378" s="26" t="s">
        <v>689</v>
      </c>
      <c r="H378" s="3" t="s">
        <v>70</v>
      </c>
      <c r="I378" s="3" t="s">
        <v>43</v>
      </c>
      <c r="K378" s="27" t="s">
        <v>690</v>
      </c>
      <c r="L378" s="52"/>
      <c r="M378" s="61" t="s">
        <v>690</v>
      </c>
      <c r="N378" s="61" t="s">
        <v>611</v>
      </c>
      <c r="O378" s="61" t="s">
        <v>612</v>
      </c>
      <c r="P378" s="61" t="s">
        <v>134</v>
      </c>
      <c r="Q378" s="2" t="s">
        <v>50</v>
      </c>
      <c r="R378" s="2" t="n">
        <v>1092.46</v>
      </c>
      <c r="S378" s="2" t="n">
        <v>1699</v>
      </c>
      <c r="T378" s="99" t="n">
        <v>1</v>
      </c>
      <c r="U378" s="1" t="str">
        <f aca="false">D378&amp;"-"&amp;E378&amp;"-"&amp;M378&amp;"-"&amp;O378&amp;"-"&amp;P378&amp;"-"&amp;Q378</f>
        <v>TRIUMPH-21 N-100|300-WHITE-34-F</v>
      </c>
      <c r="W378" s="1" t="s">
        <v>586</v>
      </c>
    </row>
    <row r="379" customFormat="false" ht="15" hidden="true" customHeight="false" outlineLevel="0" collapsed="false">
      <c r="B379" s="25" t="s">
        <v>695</v>
      </c>
      <c r="C379" s="2" t="s">
        <v>580</v>
      </c>
      <c r="D379" s="2" t="s">
        <v>581</v>
      </c>
      <c r="E379" s="61" t="s">
        <v>688</v>
      </c>
      <c r="F379" s="3" t="s">
        <v>80</v>
      </c>
      <c r="G379" s="26" t="s">
        <v>689</v>
      </c>
      <c r="H379" s="3" t="s">
        <v>70</v>
      </c>
      <c r="I379" s="3" t="s">
        <v>43</v>
      </c>
      <c r="K379" s="27" t="s">
        <v>690</v>
      </c>
      <c r="L379" s="52"/>
      <c r="M379" s="61" t="s">
        <v>690</v>
      </c>
      <c r="N379" s="25" t="s">
        <v>611</v>
      </c>
      <c r="O379" s="61" t="s">
        <v>612</v>
      </c>
      <c r="P379" s="17" t="s">
        <v>65</v>
      </c>
      <c r="Q379" s="86" t="s">
        <v>66</v>
      </c>
      <c r="R379" s="2" t="n">
        <v>1092.46</v>
      </c>
      <c r="S379" s="2" t="n">
        <v>1699</v>
      </c>
      <c r="T379" s="99" t="n">
        <v>1</v>
      </c>
      <c r="U379" s="1" t="str">
        <f aca="false">D379&amp;"-"&amp;E379&amp;"-"&amp;M379&amp;"-"&amp;O379&amp;"-"&amp;P379&amp;"-"&amp;Q379</f>
        <v>TRIUMPH-21 N-100|300-WHITE-36-E</v>
      </c>
      <c r="W379" s="1" t="s">
        <v>586</v>
      </c>
    </row>
    <row r="380" customFormat="false" ht="15" hidden="true" customHeight="false" outlineLevel="0" collapsed="false">
      <c r="B380" s="25" t="s">
        <v>696</v>
      </c>
      <c r="C380" s="2" t="s">
        <v>580</v>
      </c>
      <c r="D380" s="2" t="s">
        <v>581</v>
      </c>
      <c r="E380" s="61" t="s">
        <v>688</v>
      </c>
      <c r="F380" s="3" t="s">
        <v>80</v>
      </c>
      <c r="G380" s="26" t="s">
        <v>689</v>
      </c>
      <c r="H380" s="3" t="s">
        <v>70</v>
      </c>
      <c r="I380" s="3" t="s">
        <v>43</v>
      </c>
      <c r="K380" s="27" t="s">
        <v>690</v>
      </c>
      <c r="L380" s="52"/>
      <c r="M380" s="61" t="s">
        <v>690</v>
      </c>
      <c r="N380" s="25" t="s">
        <v>615</v>
      </c>
      <c r="O380" s="17" t="s">
        <v>89</v>
      </c>
      <c r="P380" s="17" t="s">
        <v>65</v>
      </c>
      <c r="Q380" s="86" t="s">
        <v>66</v>
      </c>
      <c r="R380" s="2" t="n">
        <v>1092.46</v>
      </c>
      <c r="S380" s="2" t="n">
        <v>1699</v>
      </c>
      <c r="T380" s="99" t="n">
        <v>1</v>
      </c>
      <c r="U380" s="1" t="str">
        <f aca="false">D380&amp;"-"&amp;E380&amp;"-"&amp;M380&amp;"-"&amp;O380&amp;"-"&amp;P380&amp;"-"&amp;Q380</f>
        <v>TRIUMPH-21 N-100|300-BLUE-36-E</v>
      </c>
      <c r="W380" s="1" t="s">
        <v>586</v>
      </c>
    </row>
    <row r="381" customFormat="false" ht="15" hidden="true" customHeight="false" outlineLevel="0" collapsed="false">
      <c r="B381" s="61" t="s">
        <v>697</v>
      </c>
      <c r="C381" s="2" t="s">
        <v>580</v>
      </c>
      <c r="D381" s="2" t="s">
        <v>581</v>
      </c>
      <c r="E381" s="61" t="s">
        <v>688</v>
      </c>
      <c r="F381" s="3" t="s">
        <v>80</v>
      </c>
      <c r="G381" s="26" t="s">
        <v>689</v>
      </c>
      <c r="H381" s="3" t="s">
        <v>70</v>
      </c>
      <c r="I381" s="3" t="s">
        <v>43</v>
      </c>
      <c r="K381" s="27" t="s">
        <v>690</v>
      </c>
      <c r="L381" s="52"/>
      <c r="M381" s="61" t="s">
        <v>690</v>
      </c>
      <c r="N381" s="61" t="s">
        <v>617</v>
      </c>
      <c r="O381" s="29" t="s">
        <v>77</v>
      </c>
      <c r="P381" s="17" t="s">
        <v>65</v>
      </c>
      <c r="Q381" s="86" t="s">
        <v>66</v>
      </c>
      <c r="R381" s="2" t="n">
        <v>1092.46</v>
      </c>
      <c r="S381" s="2" t="n">
        <v>1699</v>
      </c>
      <c r="T381" s="99" t="n">
        <v>1</v>
      </c>
      <c r="U381" s="1" t="str">
        <f aca="false">D381&amp;"-"&amp;E381&amp;"-"&amp;M381&amp;"-"&amp;O381&amp;"-"&amp;P381&amp;"-"&amp;Q381</f>
        <v>TRIUMPH-21 N-100|300-BLACK-36-E</v>
      </c>
      <c r="W381" s="1" t="s">
        <v>586</v>
      </c>
    </row>
    <row r="382" customFormat="false" ht="15" hidden="true" customHeight="false" outlineLevel="0" collapsed="false">
      <c r="B382" s="29" t="s">
        <v>698</v>
      </c>
      <c r="C382" s="2" t="s">
        <v>580</v>
      </c>
      <c r="D382" s="2" t="s">
        <v>581</v>
      </c>
      <c r="E382" s="61" t="s">
        <v>688</v>
      </c>
      <c r="F382" s="3" t="s">
        <v>80</v>
      </c>
      <c r="G382" s="26" t="s">
        <v>689</v>
      </c>
      <c r="H382" s="3" t="s">
        <v>70</v>
      </c>
      <c r="I382" s="3" t="s">
        <v>43</v>
      </c>
      <c r="K382" s="27" t="s">
        <v>690</v>
      </c>
      <c r="L382" s="52"/>
      <c r="M382" s="61" t="s">
        <v>690</v>
      </c>
      <c r="N382" s="29" t="s">
        <v>615</v>
      </c>
      <c r="O382" s="29" t="s">
        <v>89</v>
      </c>
      <c r="P382" s="17" t="s">
        <v>65</v>
      </c>
      <c r="Q382" s="86" t="s">
        <v>50</v>
      </c>
      <c r="R382" s="2" t="n">
        <v>1092.46</v>
      </c>
      <c r="S382" s="2" t="n">
        <v>1699</v>
      </c>
      <c r="T382" s="99" t="n">
        <v>1</v>
      </c>
      <c r="U382" s="1" t="str">
        <f aca="false">D382&amp;"-"&amp;E382&amp;"-"&amp;M382&amp;"-"&amp;O382&amp;"-"&amp;P382&amp;"-"&amp;Q382</f>
        <v>TRIUMPH-21 N-100|300-BLUE-36-F</v>
      </c>
      <c r="W382" s="1" t="s">
        <v>586</v>
      </c>
    </row>
    <row r="383" customFormat="false" ht="15" hidden="true" customHeight="false" outlineLevel="0" collapsed="false">
      <c r="B383" s="25" t="s">
        <v>699</v>
      </c>
      <c r="C383" s="2" t="s">
        <v>580</v>
      </c>
      <c r="D383" s="2" t="s">
        <v>581</v>
      </c>
      <c r="E383" s="61" t="s">
        <v>688</v>
      </c>
      <c r="F383" s="3" t="s">
        <v>80</v>
      </c>
      <c r="G383" s="26" t="s">
        <v>689</v>
      </c>
      <c r="H383" s="3" t="s">
        <v>70</v>
      </c>
      <c r="I383" s="3" t="s">
        <v>43</v>
      </c>
      <c r="K383" s="27" t="s">
        <v>690</v>
      </c>
      <c r="L383" s="52"/>
      <c r="M383" s="61" t="s">
        <v>690</v>
      </c>
      <c r="N383" s="17" t="s">
        <v>587</v>
      </c>
      <c r="O383" s="17" t="s">
        <v>465</v>
      </c>
      <c r="P383" s="17" t="s">
        <v>65</v>
      </c>
      <c r="Q383" s="86" t="s">
        <v>50</v>
      </c>
      <c r="R383" s="2" t="n">
        <v>1092.46</v>
      </c>
      <c r="S383" s="2" t="n">
        <v>1699</v>
      </c>
      <c r="T383" s="99" t="n">
        <v>1</v>
      </c>
      <c r="U383" s="1" t="str">
        <f aca="false">D383&amp;"-"&amp;E383&amp;"-"&amp;M383&amp;"-"&amp;O383&amp;"-"&amp;P383&amp;"-"&amp;Q383</f>
        <v>TRIUMPH-21 N-100|300-SKIN-36-F</v>
      </c>
      <c r="W383" s="1" t="s">
        <v>586</v>
      </c>
    </row>
    <row r="384" customFormat="false" ht="15" hidden="true" customHeight="false" outlineLevel="0" collapsed="false">
      <c r="B384" s="25" t="s">
        <v>700</v>
      </c>
      <c r="C384" s="2" t="s">
        <v>580</v>
      </c>
      <c r="D384" s="2" t="s">
        <v>581</v>
      </c>
      <c r="E384" s="61" t="s">
        <v>688</v>
      </c>
      <c r="F384" s="3" t="s">
        <v>80</v>
      </c>
      <c r="G384" s="26" t="s">
        <v>689</v>
      </c>
      <c r="H384" s="3" t="s">
        <v>70</v>
      </c>
      <c r="I384" s="3" t="s">
        <v>43</v>
      </c>
      <c r="K384" s="27" t="s">
        <v>690</v>
      </c>
      <c r="L384" s="52"/>
      <c r="M384" s="61" t="s">
        <v>690</v>
      </c>
      <c r="N384" s="25" t="s">
        <v>611</v>
      </c>
      <c r="O384" s="17" t="s">
        <v>612</v>
      </c>
      <c r="P384" s="17" t="s">
        <v>65</v>
      </c>
      <c r="Q384" s="86" t="s">
        <v>105</v>
      </c>
      <c r="R384" s="2" t="n">
        <v>1092.46</v>
      </c>
      <c r="S384" s="2" t="n">
        <v>1699</v>
      </c>
      <c r="T384" s="99" t="n">
        <v>2</v>
      </c>
      <c r="U384" s="1" t="str">
        <f aca="false">D384&amp;"-"&amp;E384&amp;"-"&amp;M384&amp;"-"&amp;O384&amp;"-"&amp;P384&amp;"-"&amp;Q384</f>
        <v>TRIUMPH-21 N-100|300-WHITE-36-G</v>
      </c>
      <c r="W384" s="1" t="s">
        <v>586</v>
      </c>
    </row>
    <row r="385" customFormat="false" ht="15" hidden="true" customHeight="false" outlineLevel="0" collapsed="false">
      <c r="B385" s="25" t="s">
        <v>701</v>
      </c>
      <c r="C385" s="2" t="s">
        <v>580</v>
      </c>
      <c r="D385" s="2" t="s">
        <v>581</v>
      </c>
      <c r="E385" s="61" t="s">
        <v>688</v>
      </c>
      <c r="F385" s="3" t="s">
        <v>80</v>
      </c>
      <c r="G385" s="26" t="s">
        <v>689</v>
      </c>
      <c r="H385" s="3" t="s">
        <v>70</v>
      </c>
      <c r="I385" s="3" t="s">
        <v>43</v>
      </c>
      <c r="K385" s="27" t="s">
        <v>690</v>
      </c>
      <c r="L385" s="52"/>
      <c r="M385" s="61" t="s">
        <v>690</v>
      </c>
      <c r="N385" s="17" t="s">
        <v>587</v>
      </c>
      <c r="O385" s="17" t="s">
        <v>465</v>
      </c>
      <c r="P385" s="17" t="s">
        <v>65</v>
      </c>
      <c r="Q385" s="86" t="s">
        <v>105</v>
      </c>
      <c r="R385" s="2" t="n">
        <v>1092.46</v>
      </c>
      <c r="S385" s="2" t="n">
        <v>1699</v>
      </c>
      <c r="T385" s="99" t="n">
        <v>1</v>
      </c>
      <c r="U385" s="1" t="str">
        <f aca="false">D385&amp;"-"&amp;E385&amp;"-"&amp;M385&amp;"-"&amp;O385&amp;"-"&amp;P385&amp;"-"&amp;Q385</f>
        <v>TRIUMPH-21 N-100|300-SKIN-36-G</v>
      </c>
      <c r="W385" s="1" t="s">
        <v>586</v>
      </c>
    </row>
    <row r="386" customFormat="false" ht="15" hidden="true" customHeight="false" outlineLevel="0" collapsed="false">
      <c r="B386" s="61" t="s">
        <v>702</v>
      </c>
      <c r="C386" s="2" t="s">
        <v>580</v>
      </c>
      <c r="D386" s="2" t="s">
        <v>581</v>
      </c>
      <c r="E386" s="61" t="s">
        <v>688</v>
      </c>
      <c r="F386" s="3" t="s">
        <v>80</v>
      </c>
      <c r="G386" s="26" t="s">
        <v>689</v>
      </c>
      <c r="H386" s="3" t="s">
        <v>70</v>
      </c>
      <c r="I386" s="3" t="s">
        <v>43</v>
      </c>
      <c r="K386" s="27" t="s">
        <v>690</v>
      </c>
      <c r="L386" s="52"/>
      <c r="M386" s="61" t="s">
        <v>690</v>
      </c>
      <c r="N386" s="61" t="s">
        <v>617</v>
      </c>
      <c r="O386" s="61" t="s">
        <v>77</v>
      </c>
      <c r="P386" s="61" t="s">
        <v>154</v>
      </c>
      <c r="Q386" s="61" t="s">
        <v>97</v>
      </c>
      <c r="R386" s="2" t="n">
        <v>1092.46</v>
      </c>
      <c r="S386" s="2" t="n">
        <v>1699</v>
      </c>
      <c r="T386" s="99" t="n">
        <v>1</v>
      </c>
      <c r="U386" s="1" t="str">
        <f aca="false">D386&amp;"-"&amp;E386&amp;"-"&amp;M386&amp;"-"&amp;O386&amp;"-"&amp;P386&amp;"-"&amp;Q386</f>
        <v>TRIUMPH-21 N-100|300-BLACK-38-D</v>
      </c>
      <c r="W386" s="1" t="s">
        <v>586</v>
      </c>
    </row>
    <row r="387" customFormat="false" ht="15" hidden="true" customHeight="false" outlineLevel="0" collapsed="false">
      <c r="B387" s="25" t="s">
        <v>703</v>
      </c>
      <c r="C387" s="2" t="s">
        <v>580</v>
      </c>
      <c r="D387" s="2" t="s">
        <v>581</v>
      </c>
      <c r="E387" s="61" t="s">
        <v>688</v>
      </c>
      <c r="F387" s="3" t="s">
        <v>80</v>
      </c>
      <c r="G387" s="26" t="s">
        <v>689</v>
      </c>
      <c r="H387" s="3" t="s">
        <v>70</v>
      </c>
      <c r="I387" s="3" t="s">
        <v>43</v>
      </c>
      <c r="K387" s="27" t="s">
        <v>690</v>
      </c>
      <c r="L387" s="52"/>
      <c r="M387" s="61" t="s">
        <v>690</v>
      </c>
      <c r="N387" s="25" t="s">
        <v>611</v>
      </c>
      <c r="O387" s="25" t="s">
        <v>704</v>
      </c>
      <c r="P387" s="61" t="s">
        <v>154</v>
      </c>
      <c r="Q387" s="25" t="s">
        <v>66</v>
      </c>
      <c r="R387" s="2" t="n">
        <v>1092.46</v>
      </c>
      <c r="S387" s="100" t="n">
        <v>1699</v>
      </c>
      <c r="T387" s="23" t="n">
        <v>1</v>
      </c>
      <c r="U387" s="1" t="str">
        <f aca="false">D387&amp;"-"&amp;E387&amp;"-"&amp;M387&amp;"-"&amp;O387&amp;"-"&amp;P387&amp;"-"&amp;Q387</f>
        <v>TRIUMPH-21 N-100|300-WHITE -38-E</v>
      </c>
      <c r="W387" s="1" t="s">
        <v>586</v>
      </c>
    </row>
    <row r="388" customFormat="false" ht="15" hidden="true" customHeight="false" outlineLevel="0" collapsed="false">
      <c r="B388" s="61" t="s">
        <v>705</v>
      </c>
      <c r="C388" s="2" t="s">
        <v>580</v>
      </c>
      <c r="D388" s="2" t="s">
        <v>581</v>
      </c>
      <c r="E388" s="61" t="s">
        <v>688</v>
      </c>
      <c r="F388" s="3" t="s">
        <v>80</v>
      </c>
      <c r="G388" s="26" t="s">
        <v>689</v>
      </c>
      <c r="H388" s="3" t="s">
        <v>70</v>
      </c>
      <c r="I388" s="3" t="s">
        <v>43</v>
      </c>
      <c r="K388" s="27" t="s">
        <v>690</v>
      </c>
      <c r="L388" s="52"/>
      <c r="M388" s="61" t="s">
        <v>690</v>
      </c>
      <c r="N388" s="25" t="s">
        <v>611</v>
      </c>
      <c r="O388" s="61" t="s">
        <v>612</v>
      </c>
      <c r="P388" s="61" t="s">
        <v>154</v>
      </c>
      <c r="Q388" s="61" t="s">
        <v>50</v>
      </c>
      <c r="R388" s="2" t="n">
        <v>1092.46</v>
      </c>
      <c r="S388" s="2" t="n">
        <v>1699</v>
      </c>
      <c r="T388" s="99" t="n">
        <v>1</v>
      </c>
      <c r="U388" s="1" t="str">
        <f aca="false">D388&amp;"-"&amp;E388&amp;"-"&amp;M388&amp;"-"&amp;O388&amp;"-"&amp;P388&amp;"-"&amp;Q388</f>
        <v>TRIUMPH-21 N-100|300-WHITE-38-F</v>
      </c>
      <c r="W388" s="1" t="s">
        <v>586</v>
      </c>
    </row>
    <row r="389" customFormat="false" ht="15" hidden="true" customHeight="false" outlineLevel="0" collapsed="false">
      <c r="B389" s="25" t="s">
        <v>706</v>
      </c>
      <c r="C389" s="2" t="s">
        <v>580</v>
      </c>
      <c r="D389" s="2" t="s">
        <v>581</v>
      </c>
      <c r="E389" s="61" t="s">
        <v>688</v>
      </c>
      <c r="F389" s="3" t="s">
        <v>80</v>
      </c>
      <c r="G389" s="26" t="s">
        <v>689</v>
      </c>
      <c r="H389" s="3" t="s">
        <v>70</v>
      </c>
      <c r="I389" s="3" t="s">
        <v>43</v>
      </c>
      <c r="K389" s="27" t="s">
        <v>690</v>
      </c>
      <c r="L389" s="52"/>
      <c r="M389" s="61" t="s">
        <v>690</v>
      </c>
      <c r="N389" s="61" t="s">
        <v>617</v>
      </c>
      <c r="O389" s="25" t="s">
        <v>77</v>
      </c>
      <c r="P389" s="61" t="s">
        <v>154</v>
      </c>
      <c r="Q389" s="25" t="s">
        <v>50</v>
      </c>
      <c r="R389" s="2" t="n">
        <v>1092.46</v>
      </c>
      <c r="S389" s="2" t="n">
        <v>1699</v>
      </c>
      <c r="T389" s="99" t="n">
        <v>1</v>
      </c>
      <c r="U389" s="1" t="str">
        <f aca="false">D389&amp;"-"&amp;E389&amp;"-"&amp;M389&amp;"-"&amp;O389&amp;"-"&amp;P389&amp;"-"&amp;Q389</f>
        <v>TRIUMPH-21 N-100|300-BLACK-38-F</v>
      </c>
      <c r="W389" s="1" t="s">
        <v>586</v>
      </c>
    </row>
    <row r="390" customFormat="false" ht="15" hidden="true" customHeight="false" outlineLevel="0" collapsed="false">
      <c r="B390" s="25" t="s">
        <v>707</v>
      </c>
      <c r="C390" s="2" t="s">
        <v>580</v>
      </c>
      <c r="D390" s="2" t="s">
        <v>581</v>
      </c>
      <c r="E390" s="61" t="s">
        <v>688</v>
      </c>
      <c r="F390" s="3" t="s">
        <v>80</v>
      </c>
      <c r="G390" s="26" t="s">
        <v>689</v>
      </c>
      <c r="H390" s="3" t="s">
        <v>70</v>
      </c>
      <c r="I390" s="3" t="s">
        <v>43</v>
      </c>
      <c r="K390" s="27" t="s">
        <v>690</v>
      </c>
      <c r="L390" s="52"/>
      <c r="M390" s="61" t="s">
        <v>690</v>
      </c>
      <c r="N390" s="25" t="s">
        <v>617</v>
      </c>
      <c r="O390" s="25" t="s">
        <v>77</v>
      </c>
      <c r="P390" s="25" t="s">
        <v>417</v>
      </c>
      <c r="Q390" s="25" t="s">
        <v>97</v>
      </c>
      <c r="R390" s="2" t="n">
        <v>1092.46</v>
      </c>
      <c r="S390" s="2" t="n">
        <v>1699</v>
      </c>
      <c r="T390" s="99" t="n">
        <v>1</v>
      </c>
      <c r="U390" s="1" t="str">
        <f aca="false">D390&amp;"-"&amp;E390&amp;"-"&amp;M390&amp;"-"&amp;O390&amp;"-"&amp;P390&amp;"-"&amp;Q390</f>
        <v>TRIUMPH-21 N-100|300-BLACK-40-D</v>
      </c>
      <c r="W390" s="1" t="s">
        <v>586</v>
      </c>
    </row>
    <row r="391" customFormat="false" ht="15" hidden="true" customHeight="false" outlineLevel="0" collapsed="false">
      <c r="B391" s="25" t="s">
        <v>708</v>
      </c>
      <c r="C391" s="2" t="s">
        <v>580</v>
      </c>
      <c r="D391" s="2" t="s">
        <v>581</v>
      </c>
      <c r="E391" s="61" t="s">
        <v>688</v>
      </c>
      <c r="F391" s="3" t="s">
        <v>80</v>
      </c>
      <c r="G391" s="26" t="s">
        <v>689</v>
      </c>
      <c r="H391" s="3" t="s">
        <v>70</v>
      </c>
      <c r="I391" s="3" t="s">
        <v>43</v>
      </c>
      <c r="K391" s="27" t="s">
        <v>690</v>
      </c>
      <c r="L391" s="52"/>
      <c r="M391" s="61" t="s">
        <v>690</v>
      </c>
      <c r="N391" s="25" t="s">
        <v>587</v>
      </c>
      <c r="O391" s="25" t="s">
        <v>465</v>
      </c>
      <c r="P391" s="25" t="s">
        <v>417</v>
      </c>
      <c r="Q391" s="25" t="s">
        <v>97</v>
      </c>
      <c r="R391" s="2" t="n">
        <v>1092.46</v>
      </c>
      <c r="S391" s="100" t="n">
        <v>1699</v>
      </c>
      <c r="T391" s="23" t="n">
        <v>1</v>
      </c>
      <c r="U391" s="1" t="str">
        <f aca="false">D391&amp;"-"&amp;E391&amp;"-"&amp;M391&amp;"-"&amp;O391&amp;"-"&amp;P391&amp;"-"&amp;Q391</f>
        <v>TRIUMPH-21 N-100|300-SKIN-40-D</v>
      </c>
      <c r="W391" s="1" t="s">
        <v>586</v>
      </c>
    </row>
    <row r="392" customFormat="false" ht="15" hidden="true" customHeight="false" outlineLevel="0" collapsed="false">
      <c r="B392" s="61" t="s">
        <v>709</v>
      </c>
      <c r="C392" s="2" t="s">
        <v>580</v>
      </c>
      <c r="D392" s="2" t="s">
        <v>581</v>
      </c>
      <c r="E392" s="61" t="s">
        <v>688</v>
      </c>
      <c r="F392" s="3" t="s">
        <v>80</v>
      </c>
      <c r="G392" s="26" t="s">
        <v>689</v>
      </c>
      <c r="H392" s="3" t="s">
        <v>70</v>
      </c>
      <c r="I392" s="3" t="s">
        <v>43</v>
      </c>
      <c r="K392" s="27" t="s">
        <v>690</v>
      </c>
      <c r="L392" s="52"/>
      <c r="M392" s="61" t="s">
        <v>690</v>
      </c>
      <c r="N392" s="61" t="s">
        <v>611</v>
      </c>
      <c r="O392" s="61" t="s">
        <v>612</v>
      </c>
      <c r="P392" s="25" t="s">
        <v>417</v>
      </c>
      <c r="Q392" s="61" t="s">
        <v>97</v>
      </c>
      <c r="R392" s="2" t="n">
        <v>1092.46</v>
      </c>
      <c r="S392" s="2" t="n">
        <v>1699</v>
      </c>
      <c r="T392" s="99" t="n">
        <v>1</v>
      </c>
      <c r="U392" s="1" t="str">
        <f aca="false">D392&amp;"-"&amp;E392&amp;"-"&amp;M392&amp;"-"&amp;O392&amp;"-"&amp;P392&amp;"-"&amp;Q392</f>
        <v>TRIUMPH-21 N-100|300-WHITE-40-D</v>
      </c>
      <c r="W392" s="1" t="s">
        <v>586</v>
      </c>
    </row>
    <row r="393" customFormat="false" ht="15" hidden="true" customHeight="false" outlineLevel="0" collapsed="false">
      <c r="B393" s="25" t="s">
        <v>710</v>
      </c>
      <c r="C393" s="2" t="s">
        <v>580</v>
      </c>
      <c r="D393" s="2" t="s">
        <v>581</v>
      </c>
      <c r="E393" s="61" t="s">
        <v>688</v>
      </c>
      <c r="F393" s="3" t="s">
        <v>80</v>
      </c>
      <c r="G393" s="26" t="s">
        <v>689</v>
      </c>
      <c r="H393" s="3" t="s">
        <v>70</v>
      </c>
      <c r="I393" s="3" t="s">
        <v>43</v>
      </c>
      <c r="K393" s="27" t="s">
        <v>690</v>
      </c>
      <c r="L393" s="52"/>
      <c r="M393" s="61" t="s">
        <v>690</v>
      </c>
      <c r="N393" s="25" t="s">
        <v>611</v>
      </c>
      <c r="O393" s="61" t="s">
        <v>612</v>
      </c>
      <c r="P393" s="25" t="s">
        <v>417</v>
      </c>
      <c r="Q393" s="2" t="s">
        <v>66</v>
      </c>
      <c r="R393" s="2" t="n">
        <v>1092.46</v>
      </c>
      <c r="S393" s="2" t="n">
        <v>1699</v>
      </c>
      <c r="T393" s="23" t="n">
        <v>1</v>
      </c>
      <c r="U393" s="1" t="str">
        <f aca="false">D393&amp;"-"&amp;E393&amp;"-"&amp;M393&amp;"-"&amp;O393&amp;"-"&amp;P393&amp;"-"&amp;Q393</f>
        <v>TRIUMPH-21 N-100|300-WHITE-40-E</v>
      </c>
      <c r="W393" s="1" t="s">
        <v>586</v>
      </c>
    </row>
    <row r="394" customFormat="false" ht="15" hidden="true" customHeight="false" outlineLevel="0" collapsed="false">
      <c r="B394" s="61" t="s">
        <v>711</v>
      </c>
      <c r="C394" s="2" t="s">
        <v>580</v>
      </c>
      <c r="D394" s="2" t="s">
        <v>581</v>
      </c>
      <c r="E394" s="61" t="s">
        <v>688</v>
      </c>
      <c r="F394" s="3" t="s">
        <v>80</v>
      </c>
      <c r="G394" s="26" t="s">
        <v>689</v>
      </c>
      <c r="H394" s="3" t="s">
        <v>70</v>
      </c>
      <c r="I394" s="3" t="s">
        <v>43</v>
      </c>
      <c r="K394" s="27" t="s">
        <v>690</v>
      </c>
      <c r="L394" s="52"/>
      <c r="M394" s="61" t="s">
        <v>690</v>
      </c>
      <c r="N394" s="61" t="s">
        <v>617</v>
      </c>
      <c r="O394" s="25" t="s">
        <v>77</v>
      </c>
      <c r="P394" s="25" t="s">
        <v>417</v>
      </c>
      <c r="Q394" s="2" t="s">
        <v>66</v>
      </c>
      <c r="R394" s="2" t="n">
        <v>1092.46</v>
      </c>
      <c r="S394" s="2" t="n">
        <v>1699</v>
      </c>
      <c r="T394" s="99" t="n">
        <v>1</v>
      </c>
      <c r="U394" s="1" t="str">
        <f aca="false">D394&amp;"-"&amp;E394&amp;"-"&amp;M394&amp;"-"&amp;O394&amp;"-"&amp;P394&amp;"-"&amp;Q394</f>
        <v>TRIUMPH-21 N-100|300-BLACK-40-E</v>
      </c>
      <c r="W394" s="1" t="s">
        <v>586</v>
      </c>
    </row>
    <row r="395" customFormat="false" ht="15" hidden="true" customHeight="false" outlineLevel="0" collapsed="false">
      <c r="B395" s="61" t="s">
        <v>712</v>
      </c>
      <c r="C395" s="2" t="s">
        <v>580</v>
      </c>
      <c r="D395" s="2" t="s">
        <v>581</v>
      </c>
      <c r="E395" s="61" t="s">
        <v>688</v>
      </c>
      <c r="F395" s="3" t="s">
        <v>80</v>
      </c>
      <c r="G395" s="26" t="s">
        <v>689</v>
      </c>
      <c r="H395" s="3" t="s">
        <v>70</v>
      </c>
      <c r="I395" s="3" t="s">
        <v>43</v>
      </c>
      <c r="K395" s="27" t="s">
        <v>690</v>
      </c>
      <c r="L395" s="52"/>
      <c r="M395" s="61" t="s">
        <v>690</v>
      </c>
      <c r="N395" s="61" t="s">
        <v>587</v>
      </c>
      <c r="O395" s="61" t="s">
        <v>465</v>
      </c>
      <c r="P395" s="25" t="s">
        <v>417</v>
      </c>
      <c r="Q395" s="2" t="s">
        <v>66</v>
      </c>
      <c r="R395" s="2" t="n">
        <v>1092.46</v>
      </c>
      <c r="S395" s="100" t="n">
        <v>1699</v>
      </c>
      <c r="T395" s="23" t="n">
        <v>1</v>
      </c>
      <c r="U395" s="1" t="str">
        <f aca="false">D395&amp;"-"&amp;E395&amp;"-"&amp;M395&amp;"-"&amp;O395&amp;"-"&amp;P395&amp;"-"&amp;Q395</f>
        <v>TRIUMPH-21 N-100|300-SKIN-40-E</v>
      </c>
      <c r="W395" s="1" t="s">
        <v>586</v>
      </c>
    </row>
    <row r="396" customFormat="false" ht="15" hidden="true" customHeight="false" outlineLevel="0" collapsed="false">
      <c r="B396" s="61" t="s">
        <v>713</v>
      </c>
      <c r="C396" s="2" t="s">
        <v>580</v>
      </c>
      <c r="D396" s="2" t="s">
        <v>581</v>
      </c>
      <c r="E396" s="61" t="s">
        <v>688</v>
      </c>
      <c r="F396" s="3" t="s">
        <v>80</v>
      </c>
      <c r="G396" s="26" t="s">
        <v>689</v>
      </c>
      <c r="H396" s="3" t="s">
        <v>70</v>
      </c>
      <c r="I396" s="3" t="s">
        <v>43</v>
      </c>
      <c r="K396" s="27" t="s">
        <v>690</v>
      </c>
      <c r="L396" s="52"/>
      <c r="M396" s="61" t="s">
        <v>690</v>
      </c>
      <c r="N396" s="61" t="s">
        <v>625</v>
      </c>
      <c r="O396" s="61" t="s">
        <v>594</v>
      </c>
      <c r="P396" s="25" t="s">
        <v>417</v>
      </c>
      <c r="Q396" s="2" t="s">
        <v>66</v>
      </c>
      <c r="R396" s="2" t="n">
        <v>1092.46</v>
      </c>
      <c r="S396" s="2" t="n">
        <v>1699</v>
      </c>
      <c r="T396" s="99" t="n">
        <v>1</v>
      </c>
      <c r="U396" s="1" t="str">
        <f aca="false">D396&amp;"-"&amp;E396&amp;"-"&amp;M396&amp;"-"&amp;O396&amp;"-"&amp;P396&amp;"-"&amp;Q396</f>
        <v>TRIUMPH-21 N-100|300-PINK-40-E</v>
      </c>
      <c r="W396" s="1" t="s">
        <v>586</v>
      </c>
    </row>
    <row r="397" customFormat="false" ht="15" hidden="true" customHeight="false" outlineLevel="0" collapsed="false">
      <c r="B397" s="25" t="s">
        <v>714</v>
      </c>
      <c r="C397" s="2" t="s">
        <v>580</v>
      </c>
      <c r="D397" s="2" t="s">
        <v>581</v>
      </c>
      <c r="E397" s="61" t="s">
        <v>688</v>
      </c>
      <c r="F397" s="3" t="s">
        <v>80</v>
      </c>
      <c r="G397" s="26" t="s">
        <v>689</v>
      </c>
      <c r="H397" s="3" t="s">
        <v>70</v>
      </c>
      <c r="I397" s="3" t="s">
        <v>43</v>
      </c>
      <c r="K397" s="27" t="s">
        <v>690</v>
      </c>
      <c r="L397" s="52"/>
      <c r="M397" s="61" t="s">
        <v>690</v>
      </c>
      <c r="N397" s="61" t="s">
        <v>617</v>
      </c>
      <c r="O397" s="25" t="s">
        <v>77</v>
      </c>
      <c r="P397" s="25" t="s">
        <v>417</v>
      </c>
      <c r="Q397" s="25" t="s">
        <v>50</v>
      </c>
      <c r="R397" s="2" t="n">
        <v>1092.46</v>
      </c>
      <c r="S397" s="2" t="n">
        <v>1699</v>
      </c>
      <c r="T397" s="99" t="n">
        <v>1</v>
      </c>
      <c r="U397" s="1" t="str">
        <f aca="false">D397&amp;"-"&amp;E397&amp;"-"&amp;M397&amp;"-"&amp;O397&amp;"-"&amp;P397&amp;"-"&amp;Q397</f>
        <v>TRIUMPH-21 N-100|300-BLACK-40-F</v>
      </c>
      <c r="W397" s="1" t="s">
        <v>586</v>
      </c>
    </row>
    <row r="398" customFormat="false" ht="15" hidden="true" customHeight="false" outlineLevel="0" collapsed="false">
      <c r="B398" s="61" t="s">
        <v>715</v>
      </c>
      <c r="C398" s="2" t="s">
        <v>580</v>
      </c>
      <c r="D398" s="2" t="s">
        <v>581</v>
      </c>
      <c r="E398" s="61" t="s">
        <v>688</v>
      </c>
      <c r="F398" s="3" t="s">
        <v>80</v>
      </c>
      <c r="G398" s="26" t="s">
        <v>689</v>
      </c>
      <c r="H398" s="3" t="s">
        <v>70</v>
      </c>
      <c r="I398" s="3" t="s">
        <v>43</v>
      </c>
      <c r="K398" s="27" t="s">
        <v>690</v>
      </c>
      <c r="L398" s="52"/>
      <c r="M398" s="61" t="s">
        <v>690</v>
      </c>
      <c r="N398" s="25" t="s">
        <v>611</v>
      </c>
      <c r="O398" s="61" t="s">
        <v>612</v>
      </c>
      <c r="P398" s="25" t="s">
        <v>417</v>
      </c>
      <c r="Q398" s="61" t="s">
        <v>50</v>
      </c>
      <c r="R398" s="2" t="n">
        <v>1092.46</v>
      </c>
      <c r="S398" s="2" t="n">
        <v>1699</v>
      </c>
      <c r="T398" s="99" t="n">
        <v>1</v>
      </c>
      <c r="U398" s="1" t="str">
        <f aca="false">D398&amp;"-"&amp;E398&amp;"-"&amp;M398&amp;"-"&amp;O398&amp;"-"&amp;P398&amp;"-"&amp;Q398</f>
        <v>TRIUMPH-21 N-100|300-WHITE-40-F</v>
      </c>
      <c r="W398" s="1" t="s">
        <v>586</v>
      </c>
    </row>
    <row r="399" customFormat="false" ht="15" hidden="true" customHeight="false" outlineLevel="0" collapsed="false">
      <c r="B399" s="101" t="n">
        <v>7613114290132</v>
      </c>
      <c r="C399" s="2" t="s">
        <v>580</v>
      </c>
      <c r="D399" s="2" t="s">
        <v>581</v>
      </c>
      <c r="E399" s="61" t="s">
        <v>688</v>
      </c>
      <c r="F399" s="3" t="s">
        <v>80</v>
      </c>
      <c r="G399" s="26" t="s">
        <v>689</v>
      </c>
      <c r="H399" s="3" t="s">
        <v>70</v>
      </c>
      <c r="I399" s="3" t="s">
        <v>43</v>
      </c>
      <c r="K399" s="27" t="s">
        <v>690</v>
      </c>
      <c r="L399" s="52"/>
      <c r="M399" s="61" t="s">
        <v>690</v>
      </c>
      <c r="N399" s="61" t="s">
        <v>617</v>
      </c>
      <c r="O399" s="25" t="s">
        <v>77</v>
      </c>
      <c r="P399" s="25" t="s">
        <v>417</v>
      </c>
      <c r="Q399" s="2" t="s">
        <v>105</v>
      </c>
      <c r="R399" s="2" t="n">
        <v>1092.46</v>
      </c>
      <c r="S399" s="100" t="n">
        <v>1699</v>
      </c>
      <c r="T399" s="23" t="n">
        <v>1</v>
      </c>
      <c r="U399" s="1" t="str">
        <f aca="false">D399&amp;"-"&amp;E399&amp;"-"&amp;M399&amp;"-"&amp;O399&amp;"-"&amp;P399&amp;"-"&amp;Q399</f>
        <v>TRIUMPH-21 N-100|300-BLACK-40-G</v>
      </c>
      <c r="W399" s="1" t="s">
        <v>586</v>
      </c>
    </row>
    <row r="400" customFormat="false" ht="15" hidden="true" customHeight="false" outlineLevel="0" collapsed="false">
      <c r="B400" s="25" t="s">
        <v>716</v>
      </c>
      <c r="C400" s="2" t="s">
        <v>580</v>
      </c>
      <c r="D400" s="2" t="s">
        <v>581</v>
      </c>
      <c r="E400" s="61" t="s">
        <v>688</v>
      </c>
      <c r="F400" s="3" t="s">
        <v>80</v>
      </c>
      <c r="G400" s="26" t="s">
        <v>689</v>
      </c>
      <c r="H400" s="3" t="s">
        <v>70</v>
      </c>
      <c r="I400" s="3" t="s">
        <v>43</v>
      </c>
      <c r="K400" s="27" t="s">
        <v>690</v>
      </c>
      <c r="L400" s="52"/>
      <c r="M400" s="61" t="s">
        <v>690</v>
      </c>
      <c r="N400" s="25" t="s">
        <v>611</v>
      </c>
      <c r="O400" s="17" t="s">
        <v>612</v>
      </c>
      <c r="P400" s="17" t="s">
        <v>440</v>
      </c>
      <c r="Q400" s="86" t="s">
        <v>66</v>
      </c>
      <c r="R400" s="2" t="n">
        <v>1092.46</v>
      </c>
      <c r="S400" s="100" t="n">
        <v>1699</v>
      </c>
      <c r="T400" s="23" t="n">
        <v>1</v>
      </c>
      <c r="U400" s="1" t="str">
        <f aca="false">D400&amp;"-"&amp;E400&amp;"-"&amp;M400&amp;"-"&amp;O400&amp;"-"&amp;P400&amp;"-"&amp;Q400</f>
        <v>TRIUMPH-21 N-100|300-WHITE-42-E</v>
      </c>
      <c r="W400" s="1" t="s">
        <v>586</v>
      </c>
    </row>
    <row r="401" customFormat="false" ht="15" hidden="true" customHeight="false" outlineLevel="0" collapsed="false">
      <c r="B401" s="31" t="n">
        <v>7613114290026</v>
      </c>
      <c r="C401" s="2" t="s">
        <v>580</v>
      </c>
      <c r="D401" s="2" t="s">
        <v>581</v>
      </c>
      <c r="E401" s="61" t="s">
        <v>688</v>
      </c>
      <c r="F401" s="3" t="s">
        <v>80</v>
      </c>
      <c r="G401" s="26" t="s">
        <v>689</v>
      </c>
      <c r="H401" s="3" t="s">
        <v>70</v>
      </c>
      <c r="I401" s="3" t="s">
        <v>43</v>
      </c>
      <c r="K401" s="27" t="s">
        <v>690</v>
      </c>
      <c r="L401" s="52"/>
      <c r="M401" s="61" t="s">
        <v>690</v>
      </c>
      <c r="N401" s="61" t="s">
        <v>617</v>
      </c>
      <c r="O401" s="17" t="s">
        <v>77</v>
      </c>
      <c r="P401" s="17" t="s">
        <v>440</v>
      </c>
      <c r="Q401" s="86" t="s">
        <v>66</v>
      </c>
      <c r="R401" s="2" t="n">
        <v>1092.46</v>
      </c>
      <c r="S401" s="2" t="n">
        <v>1699</v>
      </c>
      <c r="T401" s="99" t="n">
        <v>1</v>
      </c>
      <c r="U401" s="1" t="str">
        <f aca="false">D401&amp;"-"&amp;E401&amp;"-"&amp;M401&amp;"-"&amp;O401&amp;"-"&amp;P401&amp;"-"&amp;Q401</f>
        <v>TRIUMPH-21 N-100|300-BLACK-42-E</v>
      </c>
      <c r="W401" s="1" t="s">
        <v>586</v>
      </c>
    </row>
    <row r="402" customFormat="false" ht="15" hidden="true" customHeight="false" outlineLevel="0" collapsed="false">
      <c r="B402" s="31" t="n">
        <v>7613114290088</v>
      </c>
      <c r="C402" s="2" t="s">
        <v>580</v>
      </c>
      <c r="D402" s="2" t="s">
        <v>581</v>
      </c>
      <c r="E402" s="61" t="s">
        <v>688</v>
      </c>
      <c r="F402" s="3" t="s">
        <v>80</v>
      </c>
      <c r="G402" s="26" t="s">
        <v>689</v>
      </c>
      <c r="H402" s="3" t="s">
        <v>70</v>
      </c>
      <c r="I402" s="3" t="s">
        <v>43</v>
      </c>
      <c r="K402" s="27" t="s">
        <v>690</v>
      </c>
      <c r="L402" s="52"/>
      <c r="M402" s="61" t="s">
        <v>690</v>
      </c>
      <c r="N402" s="61" t="s">
        <v>617</v>
      </c>
      <c r="O402" s="17" t="s">
        <v>77</v>
      </c>
      <c r="P402" s="17" t="s">
        <v>440</v>
      </c>
      <c r="Q402" s="86" t="s">
        <v>50</v>
      </c>
      <c r="R402" s="2" t="n">
        <v>1092.46</v>
      </c>
      <c r="S402" s="2" t="n">
        <v>1699</v>
      </c>
      <c r="T402" s="99" t="n">
        <v>1</v>
      </c>
      <c r="U402" s="1" t="str">
        <f aca="false">D402&amp;"-"&amp;E402&amp;"-"&amp;M402&amp;"-"&amp;O402&amp;"-"&amp;P402&amp;"-"&amp;Q402</f>
        <v>TRIUMPH-21 N-100|300-BLACK-42-F</v>
      </c>
      <c r="W402" s="1" t="s">
        <v>586</v>
      </c>
    </row>
    <row r="403" customFormat="false" ht="15" hidden="true" customHeight="false" outlineLevel="0" collapsed="false">
      <c r="B403" s="25" t="s">
        <v>717</v>
      </c>
      <c r="C403" s="2" t="s">
        <v>580</v>
      </c>
      <c r="D403" s="2" t="s">
        <v>581</v>
      </c>
      <c r="E403" s="61" t="s">
        <v>688</v>
      </c>
      <c r="F403" s="3" t="s">
        <v>80</v>
      </c>
      <c r="G403" s="26" t="s">
        <v>689</v>
      </c>
      <c r="H403" s="3" t="s">
        <v>70</v>
      </c>
      <c r="I403" s="3" t="s">
        <v>43</v>
      </c>
      <c r="K403" s="27" t="s">
        <v>690</v>
      </c>
      <c r="L403" s="52"/>
      <c r="M403" s="61" t="s">
        <v>690</v>
      </c>
      <c r="N403" s="17" t="s">
        <v>587</v>
      </c>
      <c r="O403" s="17" t="s">
        <v>465</v>
      </c>
      <c r="P403" s="17" t="s">
        <v>440</v>
      </c>
      <c r="Q403" s="86" t="s">
        <v>105</v>
      </c>
      <c r="R403" s="2" t="n">
        <v>1092.41</v>
      </c>
      <c r="S403" s="2" t="n">
        <v>1699</v>
      </c>
      <c r="T403" s="99" t="n">
        <v>2</v>
      </c>
      <c r="U403" s="1" t="str">
        <f aca="false">D403&amp;"-"&amp;E403&amp;"-"&amp;M403&amp;"-"&amp;O403&amp;"-"&amp;P403&amp;"-"&amp;Q403</f>
        <v>TRIUMPH-21 N-100|300-SKIN-42-G</v>
      </c>
      <c r="W403" s="1" t="s">
        <v>586</v>
      </c>
    </row>
    <row r="404" customFormat="false" ht="15" hidden="true" customHeight="false" outlineLevel="0" collapsed="false">
      <c r="B404" s="25" t="s">
        <v>718</v>
      </c>
      <c r="C404" s="2" t="s">
        <v>580</v>
      </c>
      <c r="D404" s="2" t="s">
        <v>581</v>
      </c>
      <c r="E404" s="25" t="s">
        <v>719</v>
      </c>
      <c r="F404" s="3" t="s">
        <v>80</v>
      </c>
      <c r="G404" s="3" t="s">
        <v>41</v>
      </c>
      <c r="H404" s="3" t="s">
        <v>70</v>
      </c>
      <c r="I404" s="3" t="s">
        <v>43</v>
      </c>
      <c r="K404" s="27" t="s">
        <v>720</v>
      </c>
      <c r="L404" s="52"/>
      <c r="M404" s="25" t="s">
        <v>720</v>
      </c>
      <c r="N404" s="25" t="s">
        <v>721</v>
      </c>
      <c r="O404" s="17" t="s">
        <v>465</v>
      </c>
      <c r="P404" s="25" t="s">
        <v>92</v>
      </c>
      <c r="Q404" s="2" t="s">
        <v>97</v>
      </c>
      <c r="R404" s="2" t="n">
        <v>1256.26</v>
      </c>
      <c r="S404" s="2" t="n">
        <v>1999</v>
      </c>
      <c r="T404" s="99" t="n">
        <v>1</v>
      </c>
      <c r="U404" s="1" t="str">
        <f aca="false">D404&amp;"-"&amp;E404&amp;"-"&amp;M404&amp;"-"&amp;O404&amp;"-"&amp;P404&amp;"-"&amp;Q404</f>
        <v>TRIUMPH-112 W-151|263-SKIN-32-D</v>
      </c>
      <c r="W404" s="1" t="s">
        <v>586</v>
      </c>
    </row>
    <row r="405" customFormat="false" ht="15" hidden="true" customHeight="false" outlineLevel="0" collapsed="false">
      <c r="B405" s="31" t="n">
        <v>7613142620208</v>
      </c>
      <c r="C405" s="2" t="s">
        <v>580</v>
      </c>
      <c r="D405" s="2" t="s">
        <v>581</v>
      </c>
      <c r="E405" s="25" t="s">
        <v>719</v>
      </c>
      <c r="F405" s="3" t="s">
        <v>80</v>
      </c>
      <c r="G405" s="3" t="s">
        <v>41</v>
      </c>
      <c r="H405" s="3" t="s">
        <v>70</v>
      </c>
      <c r="I405" s="3" t="s">
        <v>43</v>
      </c>
      <c r="K405" s="27" t="s">
        <v>720</v>
      </c>
      <c r="L405" s="52"/>
      <c r="M405" s="25" t="s">
        <v>720</v>
      </c>
      <c r="N405" s="25" t="s">
        <v>722</v>
      </c>
      <c r="O405" s="25" t="s">
        <v>594</v>
      </c>
      <c r="P405" s="25" t="s">
        <v>134</v>
      </c>
      <c r="Q405" s="2" t="s">
        <v>595</v>
      </c>
      <c r="R405" s="2" t="n">
        <v>1256.26</v>
      </c>
      <c r="S405" s="2" t="n">
        <v>1999</v>
      </c>
      <c r="T405" s="99" t="n">
        <v>1</v>
      </c>
      <c r="U405" s="1" t="str">
        <f aca="false">D405&amp;"-"&amp;E405&amp;"-"&amp;M405&amp;"-"&amp;O405&amp;"-"&amp;P405&amp;"-"&amp;Q405</f>
        <v>TRIUMPH-112 W-151|263-PINK-34-C</v>
      </c>
      <c r="W405" s="1" t="s">
        <v>586</v>
      </c>
    </row>
    <row r="406" customFormat="false" ht="15" hidden="true" customHeight="false" outlineLevel="0" collapsed="false">
      <c r="B406" s="31" t="n">
        <v>7613142621861</v>
      </c>
      <c r="C406" s="2" t="s">
        <v>580</v>
      </c>
      <c r="D406" s="2" t="s">
        <v>581</v>
      </c>
      <c r="E406" s="25" t="s">
        <v>719</v>
      </c>
      <c r="F406" s="3" t="s">
        <v>80</v>
      </c>
      <c r="G406" s="3" t="s">
        <v>41</v>
      </c>
      <c r="H406" s="3" t="s">
        <v>70</v>
      </c>
      <c r="I406" s="3" t="s">
        <v>43</v>
      </c>
      <c r="K406" s="27" t="s">
        <v>720</v>
      </c>
      <c r="L406" s="52"/>
      <c r="M406" s="25" t="s">
        <v>720</v>
      </c>
      <c r="N406" s="61" t="s">
        <v>617</v>
      </c>
      <c r="O406" s="25" t="s">
        <v>76</v>
      </c>
      <c r="P406" s="25" t="s">
        <v>134</v>
      </c>
      <c r="Q406" s="2" t="s">
        <v>595</v>
      </c>
      <c r="R406" s="2" t="n">
        <v>1256.26</v>
      </c>
      <c r="S406" s="2" t="n">
        <v>1999</v>
      </c>
      <c r="T406" s="99" t="n">
        <v>1</v>
      </c>
      <c r="U406" s="1" t="str">
        <f aca="false">D406&amp;"-"&amp;E406&amp;"-"&amp;M406&amp;"-"&amp;O406&amp;"-"&amp;P406&amp;"-"&amp;Q406</f>
        <v>TRIUMPH-112 W-151|263-BLK-34-C</v>
      </c>
      <c r="W406" s="1" t="s">
        <v>586</v>
      </c>
    </row>
    <row r="407" customFormat="false" ht="15" hidden="true" customHeight="false" outlineLevel="0" collapsed="false">
      <c r="B407" s="25" t="s">
        <v>723</v>
      </c>
      <c r="C407" s="2" t="s">
        <v>580</v>
      </c>
      <c r="D407" s="2" t="s">
        <v>581</v>
      </c>
      <c r="E407" s="25" t="s">
        <v>719</v>
      </c>
      <c r="F407" s="3" t="s">
        <v>80</v>
      </c>
      <c r="G407" s="3" t="s">
        <v>41</v>
      </c>
      <c r="H407" s="3" t="s">
        <v>70</v>
      </c>
      <c r="I407" s="3" t="s">
        <v>43</v>
      </c>
      <c r="K407" s="27" t="s">
        <v>720</v>
      </c>
      <c r="L407" s="52"/>
      <c r="M407" s="25" t="s">
        <v>720</v>
      </c>
      <c r="N407" s="61" t="s">
        <v>721</v>
      </c>
      <c r="O407" s="25" t="s">
        <v>465</v>
      </c>
      <c r="P407" s="25" t="s">
        <v>134</v>
      </c>
      <c r="Q407" s="25" t="s">
        <v>97</v>
      </c>
      <c r="R407" s="2" t="n">
        <v>1256.26</v>
      </c>
      <c r="S407" s="2" t="n">
        <v>1999</v>
      </c>
      <c r="T407" s="30" t="n">
        <v>3</v>
      </c>
      <c r="U407" s="1" t="str">
        <f aca="false">D407&amp;"-"&amp;E407&amp;"-"&amp;M407&amp;"-"&amp;O407&amp;"-"&amp;P407&amp;"-"&amp;Q407</f>
        <v>TRIUMPH-112 W-151|263-SKIN-34-D</v>
      </c>
      <c r="W407" s="1" t="s">
        <v>586</v>
      </c>
    </row>
    <row r="408" customFormat="false" ht="15" hidden="true" customHeight="false" outlineLevel="0" collapsed="false">
      <c r="B408" s="25" t="s">
        <v>724</v>
      </c>
      <c r="C408" s="2" t="s">
        <v>580</v>
      </c>
      <c r="D408" s="2" t="s">
        <v>581</v>
      </c>
      <c r="E408" s="25" t="s">
        <v>719</v>
      </c>
      <c r="F408" s="3" t="s">
        <v>80</v>
      </c>
      <c r="G408" s="3" t="s">
        <v>41</v>
      </c>
      <c r="H408" s="3" t="s">
        <v>70</v>
      </c>
      <c r="I408" s="3" t="s">
        <v>43</v>
      </c>
      <c r="K408" s="27" t="s">
        <v>720</v>
      </c>
      <c r="L408" s="52"/>
      <c r="M408" s="25" t="s">
        <v>720</v>
      </c>
      <c r="N408" s="61" t="s">
        <v>617</v>
      </c>
      <c r="O408" s="25" t="s">
        <v>77</v>
      </c>
      <c r="P408" s="25" t="s">
        <v>134</v>
      </c>
      <c r="Q408" s="25" t="s">
        <v>97</v>
      </c>
      <c r="R408" s="2" t="n">
        <v>1256.26</v>
      </c>
      <c r="S408" s="2" t="n">
        <v>1999</v>
      </c>
      <c r="T408" s="30" t="n">
        <v>1</v>
      </c>
      <c r="U408" s="1" t="str">
        <f aca="false">D408&amp;"-"&amp;E408&amp;"-"&amp;M408&amp;"-"&amp;O408&amp;"-"&amp;P408&amp;"-"&amp;Q408</f>
        <v>TRIUMPH-112 W-151|263-BLACK-34-D</v>
      </c>
      <c r="W408" s="1" t="s">
        <v>586</v>
      </c>
    </row>
    <row r="409" customFormat="false" ht="15" hidden="true" customHeight="false" outlineLevel="0" collapsed="false">
      <c r="B409" s="25" t="s">
        <v>725</v>
      </c>
      <c r="C409" s="2" t="s">
        <v>580</v>
      </c>
      <c r="D409" s="2" t="s">
        <v>581</v>
      </c>
      <c r="E409" s="25" t="s">
        <v>719</v>
      </c>
      <c r="F409" s="3" t="s">
        <v>80</v>
      </c>
      <c r="G409" s="3" t="s">
        <v>41</v>
      </c>
      <c r="H409" s="3" t="s">
        <v>70</v>
      </c>
      <c r="I409" s="3" t="s">
        <v>43</v>
      </c>
      <c r="K409" s="27" t="s">
        <v>720</v>
      </c>
      <c r="L409" s="52"/>
      <c r="M409" s="25" t="s">
        <v>720</v>
      </c>
      <c r="N409" s="61" t="s">
        <v>617</v>
      </c>
      <c r="O409" s="25" t="s">
        <v>77</v>
      </c>
      <c r="P409" s="25" t="s">
        <v>134</v>
      </c>
      <c r="Q409" s="25" t="s">
        <v>66</v>
      </c>
      <c r="R409" s="2" t="n">
        <v>1256.26</v>
      </c>
      <c r="S409" s="2" t="n">
        <v>1999</v>
      </c>
      <c r="T409" s="30" t="n">
        <v>3</v>
      </c>
      <c r="U409" s="1" t="str">
        <f aca="false">D409&amp;"-"&amp;E409&amp;"-"&amp;M409&amp;"-"&amp;O409&amp;"-"&amp;P409&amp;"-"&amp;Q409</f>
        <v>TRIUMPH-112 W-151|263-BLACK-34-E</v>
      </c>
      <c r="W409" s="1" t="s">
        <v>586</v>
      </c>
    </row>
    <row r="410" customFormat="false" ht="15" hidden="true" customHeight="false" outlineLevel="0" collapsed="false">
      <c r="B410" s="25" t="s">
        <v>725</v>
      </c>
      <c r="C410" s="2" t="s">
        <v>580</v>
      </c>
      <c r="D410" s="2" t="s">
        <v>581</v>
      </c>
      <c r="E410" s="25" t="s">
        <v>719</v>
      </c>
      <c r="F410" s="3" t="s">
        <v>80</v>
      </c>
      <c r="G410" s="3" t="s">
        <v>41</v>
      </c>
      <c r="H410" s="3" t="s">
        <v>70</v>
      </c>
      <c r="I410" s="3" t="s">
        <v>43</v>
      </c>
      <c r="K410" s="27" t="s">
        <v>720</v>
      </c>
      <c r="L410" s="52"/>
      <c r="M410" s="25" t="s">
        <v>720</v>
      </c>
      <c r="N410" s="25" t="s">
        <v>722</v>
      </c>
      <c r="O410" s="25" t="s">
        <v>594</v>
      </c>
      <c r="P410" s="25" t="s">
        <v>134</v>
      </c>
      <c r="Q410" s="25" t="s">
        <v>66</v>
      </c>
      <c r="R410" s="2" t="n">
        <v>1256.26</v>
      </c>
      <c r="S410" s="2" t="n">
        <v>1999</v>
      </c>
      <c r="T410" s="30" t="n">
        <v>1</v>
      </c>
      <c r="U410" s="1" t="str">
        <f aca="false">D410&amp;"-"&amp;E410&amp;"-"&amp;M410&amp;"-"&amp;O410&amp;"-"&amp;P410&amp;"-"&amp;Q410</f>
        <v>TRIUMPH-112 W-151|263-PINK-34-E</v>
      </c>
      <c r="W410" s="1" t="s">
        <v>586</v>
      </c>
    </row>
    <row r="411" customFormat="false" ht="15" hidden="true" customHeight="false" outlineLevel="0" collapsed="false">
      <c r="B411" s="31" t="n">
        <v>7613142620420</v>
      </c>
      <c r="C411" s="2" t="s">
        <v>580</v>
      </c>
      <c r="D411" s="2" t="s">
        <v>581</v>
      </c>
      <c r="E411" s="25" t="s">
        <v>719</v>
      </c>
      <c r="F411" s="3" t="s">
        <v>80</v>
      </c>
      <c r="G411" s="3" t="s">
        <v>41</v>
      </c>
      <c r="H411" s="3" t="s">
        <v>70</v>
      </c>
      <c r="I411" s="3" t="s">
        <v>43</v>
      </c>
      <c r="K411" s="27" t="s">
        <v>720</v>
      </c>
      <c r="L411" s="52"/>
      <c r="M411" s="25" t="s">
        <v>720</v>
      </c>
      <c r="N411" s="61" t="s">
        <v>617</v>
      </c>
      <c r="O411" s="17" t="s">
        <v>77</v>
      </c>
      <c r="P411" s="2" t="n">
        <v>34</v>
      </c>
      <c r="Q411" s="17" t="s">
        <v>50</v>
      </c>
      <c r="R411" s="2" t="n">
        <v>1256.26</v>
      </c>
      <c r="S411" s="2" t="n">
        <v>1999</v>
      </c>
      <c r="T411" s="30" t="n">
        <v>3</v>
      </c>
      <c r="U411" s="1" t="str">
        <f aca="false">D411&amp;"-"&amp;E411&amp;"-"&amp;M411&amp;"-"&amp;O411&amp;"-"&amp;P411&amp;"-"&amp;Q411</f>
        <v>TRIUMPH-112 W-151|263-BLACK-34-F</v>
      </c>
      <c r="W411" s="1" t="s">
        <v>586</v>
      </c>
    </row>
    <row r="412" customFormat="false" ht="15" hidden="true" customHeight="false" outlineLevel="0" collapsed="false">
      <c r="B412" s="61" t="s">
        <v>726</v>
      </c>
      <c r="C412" s="2" t="s">
        <v>580</v>
      </c>
      <c r="D412" s="2" t="s">
        <v>581</v>
      </c>
      <c r="E412" s="25" t="s">
        <v>719</v>
      </c>
      <c r="F412" s="3" t="s">
        <v>80</v>
      </c>
      <c r="G412" s="3" t="s">
        <v>41</v>
      </c>
      <c r="H412" s="3" t="s">
        <v>70</v>
      </c>
      <c r="I412" s="3" t="s">
        <v>43</v>
      </c>
      <c r="K412" s="27" t="s">
        <v>720</v>
      </c>
      <c r="L412" s="52"/>
      <c r="M412" s="25" t="s">
        <v>720</v>
      </c>
      <c r="N412" s="29" t="s">
        <v>721</v>
      </c>
      <c r="O412" s="29" t="s">
        <v>465</v>
      </c>
      <c r="P412" s="61" t="s">
        <v>65</v>
      </c>
      <c r="Q412" s="61" t="s">
        <v>97</v>
      </c>
      <c r="R412" s="2" t="n">
        <v>1256.26</v>
      </c>
      <c r="S412" s="2" t="n">
        <v>1999</v>
      </c>
      <c r="T412" s="30" t="n">
        <v>2</v>
      </c>
      <c r="U412" s="1" t="str">
        <f aca="false">D412&amp;"-"&amp;E412&amp;"-"&amp;M412&amp;"-"&amp;O412&amp;"-"&amp;P412&amp;"-"&amp;Q412</f>
        <v>TRIUMPH-112 W-151|263-SKIN-36-D</v>
      </c>
      <c r="W412" s="1" t="s">
        <v>586</v>
      </c>
    </row>
    <row r="413" customFormat="false" ht="15" hidden="true" customHeight="false" outlineLevel="0" collapsed="false">
      <c r="B413" s="31" t="n">
        <v>7613113513881</v>
      </c>
      <c r="C413" s="2" t="s">
        <v>580</v>
      </c>
      <c r="D413" s="2" t="s">
        <v>581</v>
      </c>
      <c r="E413" s="25" t="s">
        <v>719</v>
      </c>
      <c r="F413" s="3" t="s">
        <v>80</v>
      </c>
      <c r="G413" s="3" t="s">
        <v>41</v>
      </c>
      <c r="H413" s="3" t="s">
        <v>70</v>
      </c>
      <c r="I413" s="3" t="s">
        <v>43</v>
      </c>
      <c r="K413" s="27" t="s">
        <v>720</v>
      </c>
      <c r="L413" s="52"/>
      <c r="M413" s="25" t="s">
        <v>720</v>
      </c>
      <c r="N413" s="61" t="s">
        <v>617</v>
      </c>
      <c r="O413" s="17" t="s">
        <v>77</v>
      </c>
      <c r="P413" s="2" t="n">
        <v>36</v>
      </c>
      <c r="Q413" s="17" t="s">
        <v>97</v>
      </c>
      <c r="R413" s="2" t="n">
        <v>1256.26</v>
      </c>
      <c r="S413" s="2" t="n">
        <v>1999</v>
      </c>
      <c r="T413" s="30" t="n">
        <v>1</v>
      </c>
      <c r="U413" s="1" t="str">
        <f aca="false">D413&amp;"-"&amp;E413&amp;"-"&amp;M413&amp;"-"&amp;O413&amp;"-"&amp;P413&amp;"-"&amp;Q413</f>
        <v>TRIUMPH-112 W-151|263-BLACK-36-D</v>
      </c>
      <c r="W413" s="1" t="s">
        <v>586</v>
      </c>
    </row>
    <row r="414" customFormat="false" ht="15" hidden="true" customHeight="false" outlineLevel="0" collapsed="false">
      <c r="B414" s="31" t="n">
        <v>7613142620383</v>
      </c>
      <c r="C414" s="2" t="s">
        <v>580</v>
      </c>
      <c r="D414" s="2" t="s">
        <v>581</v>
      </c>
      <c r="E414" s="25" t="s">
        <v>719</v>
      </c>
      <c r="F414" s="3" t="s">
        <v>80</v>
      </c>
      <c r="G414" s="3" t="s">
        <v>41</v>
      </c>
      <c r="H414" s="3" t="s">
        <v>70</v>
      </c>
      <c r="I414" s="3" t="s">
        <v>43</v>
      </c>
      <c r="K414" s="27" t="s">
        <v>720</v>
      </c>
      <c r="L414" s="52"/>
      <c r="M414" s="25" t="s">
        <v>720</v>
      </c>
      <c r="N414" s="25" t="s">
        <v>722</v>
      </c>
      <c r="O414" s="17" t="s">
        <v>594</v>
      </c>
      <c r="P414" s="2" t="n">
        <v>36</v>
      </c>
      <c r="Q414" s="17" t="s">
        <v>97</v>
      </c>
      <c r="R414" s="2" t="n">
        <v>1256.26</v>
      </c>
      <c r="S414" s="2" t="n">
        <v>1999</v>
      </c>
      <c r="T414" s="30" t="n">
        <v>1</v>
      </c>
      <c r="U414" s="1" t="str">
        <f aca="false">D414&amp;"-"&amp;E414&amp;"-"&amp;M414&amp;"-"&amp;O414&amp;"-"&amp;P414&amp;"-"&amp;Q414</f>
        <v>TRIUMPH-112 W-151|263-PINK-36-D</v>
      </c>
      <c r="W414" s="1" t="s">
        <v>586</v>
      </c>
    </row>
    <row r="415" customFormat="false" ht="15" hidden="true" customHeight="false" outlineLevel="0" collapsed="false">
      <c r="B415" s="31" t="n">
        <v>7613142620437</v>
      </c>
      <c r="C415" s="2" t="s">
        <v>580</v>
      </c>
      <c r="D415" s="2" t="s">
        <v>581</v>
      </c>
      <c r="E415" s="25" t="s">
        <v>719</v>
      </c>
      <c r="F415" s="3" t="s">
        <v>80</v>
      </c>
      <c r="G415" s="3" t="s">
        <v>41</v>
      </c>
      <c r="H415" s="3" t="s">
        <v>70</v>
      </c>
      <c r="I415" s="3" t="s">
        <v>43</v>
      </c>
      <c r="K415" s="27" t="s">
        <v>720</v>
      </c>
      <c r="L415" s="52"/>
      <c r="M415" s="25" t="s">
        <v>720</v>
      </c>
      <c r="N415" s="25" t="s">
        <v>722</v>
      </c>
      <c r="O415" s="17" t="s">
        <v>594</v>
      </c>
      <c r="P415" s="2" t="n">
        <v>36</v>
      </c>
      <c r="Q415" s="17" t="s">
        <v>66</v>
      </c>
      <c r="R415" s="2" t="n">
        <v>1256.26</v>
      </c>
      <c r="S415" s="2" t="n">
        <v>1999</v>
      </c>
      <c r="T415" s="30" t="n">
        <v>1</v>
      </c>
      <c r="U415" s="1" t="str">
        <f aca="false">D415&amp;"-"&amp;E415&amp;"-"&amp;M415&amp;"-"&amp;O415&amp;"-"&amp;P415&amp;"-"&amp;Q415</f>
        <v>TRIUMPH-112 W-151|263-PINK-36-E</v>
      </c>
      <c r="W415" s="1" t="s">
        <v>586</v>
      </c>
    </row>
    <row r="416" customFormat="false" ht="15" hidden="true" customHeight="false" outlineLevel="0" collapsed="false">
      <c r="B416" s="25" t="s">
        <v>727</v>
      </c>
      <c r="C416" s="2" t="s">
        <v>580</v>
      </c>
      <c r="D416" s="2" t="s">
        <v>581</v>
      </c>
      <c r="E416" s="25" t="s">
        <v>719</v>
      </c>
      <c r="F416" s="3" t="s">
        <v>80</v>
      </c>
      <c r="G416" s="3" t="s">
        <v>41</v>
      </c>
      <c r="H416" s="3" t="s">
        <v>70</v>
      </c>
      <c r="I416" s="3" t="s">
        <v>43</v>
      </c>
      <c r="K416" s="27" t="s">
        <v>720</v>
      </c>
      <c r="L416" s="52"/>
      <c r="M416" s="25" t="s">
        <v>720</v>
      </c>
      <c r="N416" s="61" t="s">
        <v>721</v>
      </c>
      <c r="O416" s="25" t="s">
        <v>465</v>
      </c>
      <c r="P416" s="2" t="n">
        <v>36</v>
      </c>
      <c r="Q416" s="86" t="s">
        <v>66</v>
      </c>
      <c r="R416" s="2" t="n">
        <v>1256.26</v>
      </c>
      <c r="S416" s="2" t="n">
        <v>1999</v>
      </c>
      <c r="T416" s="30" t="n">
        <v>2</v>
      </c>
      <c r="U416" s="1" t="str">
        <f aca="false">D416&amp;"-"&amp;E416&amp;"-"&amp;M416&amp;"-"&amp;O416&amp;"-"&amp;P416&amp;"-"&amp;Q416</f>
        <v>TRIUMPH-112 W-151|263-SKIN-36-E</v>
      </c>
      <c r="W416" s="1" t="s">
        <v>586</v>
      </c>
    </row>
    <row r="417" customFormat="false" ht="15" hidden="true" customHeight="false" outlineLevel="0" collapsed="false">
      <c r="B417" s="61" t="s">
        <v>728</v>
      </c>
      <c r="C417" s="2" t="s">
        <v>580</v>
      </c>
      <c r="D417" s="2" t="s">
        <v>581</v>
      </c>
      <c r="E417" s="25" t="s">
        <v>719</v>
      </c>
      <c r="F417" s="3" t="s">
        <v>80</v>
      </c>
      <c r="G417" s="3" t="s">
        <v>41</v>
      </c>
      <c r="H417" s="3" t="s">
        <v>70</v>
      </c>
      <c r="I417" s="3" t="s">
        <v>43</v>
      </c>
      <c r="K417" s="27" t="s">
        <v>720</v>
      </c>
      <c r="L417" s="52"/>
      <c r="M417" s="25" t="s">
        <v>720</v>
      </c>
      <c r="N417" s="61" t="s">
        <v>617</v>
      </c>
      <c r="O417" s="61" t="s">
        <v>77</v>
      </c>
      <c r="P417" s="61" t="s">
        <v>65</v>
      </c>
      <c r="Q417" s="61" t="s">
        <v>50</v>
      </c>
      <c r="R417" s="2" t="n">
        <v>1256.26</v>
      </c>
      <c r="S417" s="2" t="n">
        <v>1999</v>
      </c>
      <c r="T417" s="30" t="n">
        <v>1</v>
      </c>
      <c r="U417" s="1" t="str">
        <f aca="false">D417&amp;"-"&amp;E417&amp;"-"&amp;M417&amp;"-"&amp;O417&amp;"-"&amp;P417&amp;"-"&amp;Q417</f>
        <v>TRIUMPH-112 W-151|263-BLACK-36-F</v>
      </c>
      <c r="W417" s="1" t="s">
        <v>586</v>
      </c>
    </row>
    <row r="418" customFormat="false" ht="15" hidden="true" customHeight="false" outlineLevel="0" collapsed="false">
      <c r="B418" s="61" t="s">
        <v>729</v>
      </c>
      <c r="C418" s="2" t="s">
        <v>580</v>
      </c>
      <c r="D418" s="2" t="s">
        <v>581</v>
      </c>
      <c r="E418" s="25" t="s">
        <v>719</v>
      </c>
      <c r="F418" s="3" t="s">
        <v>80</v>
      </c>
      <c r="G418" s="3" t="s">
        <v>41</v>
      </c>
      <c r="H418" s="3" t="s">
        <v>70</v>
      </c>
      <c r="I418" s="3" t="s">
        <v>43</v>
      </c>
      <c r="K418" s="27" t="s">
        <v>720</v>
      </c>
      <c r="L418" s="52"/>
      <c r="M418" s="25" t="s">
        <v>720</v>
      </c>
      <c r="N418" s="61" t="s">
        <v>722</v>
      </c>
      <c r="O418" s="61" t="s">
        <v>594</v>
      </c>
      <c r="P418" s="61" t="s">
        <v>154</v>
      </c>
      <c r="Q418" s="61" t="s">
        <v>97</v>
      </c>
      <c r="R418" s="2" t="n">
        <v>1256.26</v>
      </c>
      <c r="S418" s="2" t="n">
        <v>1999</v>
      </c>
      <c r="T418" s="30" t="n">
        <v>1</v>
      </c>
      <c r="U418" s="1" t="str">
        <f aca="false">D418&amp;"-"&amp;E418&amp;"-"&amp;M418&amp;"-"&amp;O418&amp;"-"&amp;P418&amp;"-"&amp;Q418</f>
        <v>TRIUMPH-112 W-151|263-PINK-38-D</v>
      </c>
      <c r="W418" s="1" t="s">
        <v>586</v>
      </c>
    </row>
    <row r="419" customFormat="false" ht="15" hidden="true" customHeight="false" outlineLevel="0" collapsed="false">
      <c r="B419" s="61" t="s">
        <v>730</v>
      </c>
      <c r="C419" s="2" t="s">
        <v>580</v>
      </c>
      <c r="D419" s="2" t="s">
        <v>581</v>
      </c>
      <c r="E419" s="25" t="s">
        <v>719</v>
      </c>
      <c r="F419" s="3" t="s">
        <v>80</v>
      </c>
      <c r="G419" s="3" t="s">
        <v>41</v>
      </c>
      <c r="H419" s="3" t="s">
        <v>70</v>
      </c>
      <c r="I419" s="3" t="s">
        <v>43</v>
      </c>
      <c r="K419" s="27" t="s">
        <v>720</v>
      </c>
      <c r="L419" s="52"/>
      <c r="M419" s="25" t="s">
        <v>720</v>
      </c>
      <c r="N419" s="61" t="s">
        <v>721</v>
      </c>
      <c r="O419" s="61" t="s">
        <v>465</v>
      </c>
      <c r="P419" s="25" t="s">
        <v>154</v>
      </c>
      <c r="Q419" s="25" t="s">
        <v>97</v>
      </c>
      <c r="R419" s="2" t="n">
        <v>1256.26</v>
      </c>
      <c r="S419" s="2" t="n">
        <v>1999</v>
      </c>
      <c r="T419" s="30" t="n">
        <v>1</v>
      </c>
      <c r="U419" s="1" t="str">
        <f aca="false">D419&amp;"-"&amp;E419&amp;"-"&amp;M419&amp;"-"&amp;O419&amp;"-"&amp;P419&amp;"-"&amp;Q419</f>
        <v>TRIUMPH-112 W-151|263-SKIN-38-D</v>
      </c>
      <c r="W419" s="1" t="s">
        <v>586</v>
      </c>
    </row>
    <row r="420" customFormat="false" ht="15" hidden="true" customHeight="false" outlineLevel="0" collapsed="false">
      <c r="B420" s="61" t="s">
        <v>731</v>
      </c>
      <c r="C420" s="2" t="s">
        <v>580</v>
      </c>
      <c r="D420" s="2" t="s">
        <v>581</v>
      </c>
      <c r="E420" s="25" t="s">
        <v>719</v>
      </c>
      <c r="F420" s="3" t="s">
        <v>80</v>
      </c>
      <c r="G420" s="3" t="s">
        <v>41</v>
      </c>
      <c r="H420" s="3" t="s">
        <v>70</v>
      </c>
      <c r="I420" s="3" t="s">
        <v>43</v>
      </c>
      <c r="K420" s="27" t="s">
        <v>720</v>
      </c>
      <c r="L420" s="52"/>
      <c r="M420" s="25" t="s">
        <v>720</v>
      </c>
      <c r="N420" s="61" t="s">
        <v>732</v>
      </c>
      <c r="O420" s="61" t="s">
        <v>674</v>
      </c>
      <c r="P420" s="25" t="s">
        <v>154</v>
      </c>
      <c r="Q420" s="25" t="s">
        <v>66</v>
      </c>
      <c r="R420" s="2" t="n">
        <v>1256.26</v>
      </c>
      <c r="S420" s="2" t="n">
        <v>1999</v>
      </c>
      <c r="T420" s="30" t="n">
        <v>2</v>
      </c>
      <c r="U420" s="1" t="str">
        <f aca="false">D420&amp;"-"&amp;E420&amp;"-"&amp;M420&amp;"-"&amp;O420&amp;"-"&amp;P420&amp;"-"&amp;Q420</f>
        <v>TRIUMPH-112 W-151|263-COFFE-38-E</v>
      </c>
      <c r="W420" s="1" t="s">
        <v>586</v>
      </c>
    </row>
    <row r="421" customFormat="false" ht="15" hidden="true" customHeight="false" outlineLevel="0" collapsed="false">
      <c r="B421" s="61" t="s">
        <v>733</v>
      </c>
      <c r="C421" s="2" t="s">
        <v>580</v>
      </c>
      <c r="D421" s="2" t="s">
        <v>581</v>
      </c>
      <c r="E421" s="25" t="s">
        <v>719</v>
      </c>
      <c r="F421" s="3" t="s">
        <v>80</v>
      </c>
      <c r="G421" s="3" t="s">
        <v>41</v>
      </c>
      <c r="H421" s="3" t="s">
        <v>70</v>
      </c>
      <c r="I421" s="3" t="s">
        <v>43</v>
      </c>
      <c r="K421" s="27" t="s">
        <v>734</v>
      </c>
      <c r="L421" s="52"/>
      <c r="M421" s="25" t="s">
        <v>734</v>
      </c>
      <c r="N421" s="61" t="s">
        <v>617</v>
      </c>
      <c r="O421" s="61" t="s">
        <v>77</v>
      </c>
      <c r="P421" s="25" t="s">
        <v>154</v>
      </c>
      <c r="Q421" s="25" t="s">
        <v>50</v>
      </c>
      <c r="R421" s="2" t="n">
        <v>1256.26</v>
      </c>
      <c r="S421" s="2" t="n">
        <v>1999</v>
      </c>
      <c r="T421" s="30" t="n">
        <v>1</v>
      </c>
      <c r="U421" s="1" t="str">
        <f aca="false">D421&amp;"-"&amp;E421&amp;"-"&amp;M421&amp;"-"&amp;O421&amp;"-"&amp;P421&amp;"-"&amp;Q421</f>
        <v>TRIUMPH-112 W-151|264-BLACK-38-F</v>
      </c>
      <c r="W421" s="1" t="s">
        <v>586</v>
      </c>
    </row>
    <row r="422" customFormat="false" ht="15" hidden="true" customHeight="false" outlineLevel="0" collapsed="false">
      <c r="B422" s="61" t="s">
        <v>735</v>
      </c>
      <c r="C422" s="2" t="s">
        <v>580</v>
      </c>
      <c r="D422" s="2" t="s">
        <v>581</v>
      </c>
      <c r="E422" s="25" t="s">
        <v>719</v>
      </c>
      <c r="F422" s="3" t="s">
        <v>80</v>
      </c>
      <c r="G422" s="3" t="s">
        <v>41</v>
      </c>
      <c r="H422" s="3" t="s">
        <v>70</v>
      </c>
      <c r="I422" s="3" t="s">
        <v>43</v>
      </c>
      <c r="K422" s="27" t="s">
        <v>720</v>
      </c>
      <c r="L422" s="52"/>
      <c r="M422" s="25" t="s">
        <v>720</v>
      </c>
      <c r="N422" s="61" t="s">
        <v>721</v>
      </c>
      <c r="O422" s="61" t="s">
        <v>465</v>
      </c>
      <c r="P422" s="25" t="s">
        <v>154</v>
      </c>
      <c r="Q422" s="25" t="s">
        <v>50</v>
      </c>
      <c r="R422" s="2" t="n">
        <v>1256.26</v>
      </c>
      <c r="S422" s="2" t="n">
        <v>1999</v>
      </c>
      <c r="T422" s="30" t="n">
        <v>1</v>
      </c>
      <c r="U422" s="1" t="str">
        <f aca="false">D422&amp;"-"&amp;E422&amp;"-"&amp;M422&amp;"-"&amp;O422&amp;"-"&amp;P422&amp;"-"&amp;Q422</f>
        <v>TRIUMPH-112 W-151|263-SKIN-38-F</v>
      </c>
      <c r="W422" s="1" t="s">
        <v>586</v>
      </c>
    </row>
    <row r="423" customFormat="false" ht="15" hidden="true" customHeight="false" outlineLevel="0" collapsed="false">
      <c r="B423" s="25" t="s">
        <v>736</v>
      </c>
      <c r="C423" s="2" t="s">
        <v>580</v>
      </c>
      <c r="D423" s="2" t="s">
        <v>581</v>
      </c>
      <c r="E423" s="25" t="s">
        <v>719</v>
      </c>
      <c r="F423" s="3" t="s">
        <v>80</v>
      </c>
      <c r="G423" s="3" t="s">
        <v>41</v>
      </c>
      <c r="H423" s="3" t="s">
        <v>70</v>
      </c>
      <c r="I423" s="3" t="s">
        <v>43</v>
      </c>
      <c r="K423" s="27" t="s">
        <v>720</v>
      </c>
      <c r="L423" s="52"/>
      <c r="M423" s="25" t="s">
        <v>720</v>
      </c>
      <c r="N423" s="25" t="s">
        <v>722</v>
      </c>
      <c r="O423" s="25" t="s">
        <v>594</v>
      </c>
      <c r="P423" s="61" t="s">
        <v>154</v>
      </c>
      <c r="Q423" s="61" t="s">
        <v>50</v>
      </c>
      <c r="R423" s="2" t="n">
        <v>1256.26</v>
      </c>
      <c r="S423" s="2" t="n">
        <v>1999</v>
      </c>
      <c r="T423" s="30" t="n">
        <v>0</v>
      </c>
      <c r="U423" s="1" t="str">
        <f aca="false">D423&amp;"-"&amp;E423&amp;"-"&amp;M423&amp;"-"&amp;O423&amp;"-"&amp;P423&amp;"-"&amp;Q423</f>
        <v>TRIUMPH-112 W-151|263-PINK-38-F</v>
      </c>
      <c r="W423" s="1" t="s">
        <v>586</v>
      </c>
    </row>
    <row r="424" customFormat="false" ht="15" hidden="true" customHeight="false" outlineLevel="0" collapsed="false">
      <c r="B424" s="61" t="s">
        <v>737</v>
      </c>
      <c r="C424" s="2" t="s">
        <v>580</v>
      </c>
      <c r="D424" s="2" t="s">
        <v>581</v>
      </c>
      <c r="E424" s="25" t="s">
        <v>719</v>
      </c>
      <c r="F424" s="3" t="s">
        <v>80</v>
      </c>
      <c r="G424" s="3" t="s">
        <v>41</v>
      </c>
      <c r="H424" s="3" t="s">
        <v>70</v>
      </c>
      <c r="I424" s="3" t="s">
        <v>43</v>
      </c>
      <c r="K424" s="27" t="s">
        <v>720</v>
      </c>
      <c r="L424" s="52"/>
      <c r="M424" s="25" t="s">
        <v>720</v>
      </c>
      <c r="N424" s="61" t="s">
        <v>617</v>
      </c>
      <c r="O424" s="61" t="s">
        <v>77</v>
      </c>
      <c r="P424" s="61" t="s">
        <v>417</v>
      </c>
      <c r="Q424" s="61" t="s">
        <v>97</v>
      </c>
      <c r="R424" s="2" t="n">
        <v>1256.26</v>
      </c>
      <c r="S424" s="2" t="n">
        <v>1999</v>
      </c>
      <c r="T424" s="30" t="n">
        <v>1</v>
      </c>
      <c r="U424" s="1" t="str">
        <f aca="false">D424&amp;"-"&amp;E424&amp;"-"&amp;M424&amp;"-"&amp;O424&amp;"-"&amp;P424&amp;"-"&amp;Q424</f>
        <v>TRIUMPH-112 W-151|263-BLACK-40-D</v>
      </c>
      <c r="W424" s="1" t="s">
        <v>586</v>
      </c>
    </row>
    <row r="425" customFormat="false" ht="15" hidden="true" customHeight="false" outlineLevel="0" collapsed="false">
      <c r="B425" s="102" t="s">
        <v>738</v>
      </c>
      <c r="C425" s="2" t="s">
        <v>580</v>
      </c>
      <c r="D425" s="2" t="s">
        <v>581</v>
      </c>
      <c r="E425" s="25" t="s">
        <v>719</v>
      </c>
      <c r="F425" s="3" t="s">
        <v>80</v>
      </c>
      <c r="G425" s="3" t="s">
        <v>41</v>
      </c>
      <c r="H425" s="3" t="s">
        <v>70</v>
      </c>
      <c r="I425" s="3" t="s">
        <v>43</v>
      </c>
      <c r="K425" s="27" t="s">
        <v>720</v>
      </c>
      <c r="L425" s="52"/>
      <c r="M425" s="25" t="s">
        <v>720</v>
      </c>
      <c r="N425" s="61" t="s">
        <v>721</v>
      </c>
      <c r="O425" s="61" t="s">
        <v>465</v>
      </c>
      <c r="P425" s="61" t="s">
        <v>417</v>
      </c>
      <c r="Q425" s="25" t="s">
        <v>97</v>
      </c>
      <c r="R425" s="2" t="n">
        <v>1256.26</v>
      </c>
      <c r="S425" s="2" t="n">
        <v>1999</v>
      </c>
      <c r="T425" s="30" t="n">
        <v>2</v>
      </c>
      <c r="U425" s="1" t="str">
        <f aca="false">D425&amp;"-"&amp;E425&amp;"-"&amp;M425&amp;"-"&amp;O425&amp;"-"&amp;P425&amp;"-"&amp;Q425</f>
        <v>TRIUMPH-112 W-151|263-SKIN-40-D</v>
      </c>
      <c r="W425" s="1" t="s">
        <v>586</v>
      </c>
    </row>
    <row r="426" customFormat="false" ht="15" hidden="true" customHeight="false" outlineLevel="0" collapsed="false">
      <c r="B426" s="102" t="n">
        <v>7613142621984</v>
      </c>
      <c r="C426" s="2" t="s">
        <v>580</v>
      </c>
      <c r="D426" s="2" t="s">
        <v>581</v>
      </c>
      <c r="E426" s="25" t="s">
        <v>719</v>
      </c>
      <c r="F426" s="3" t="s">
        <v>80</v>
      </c>
      <c r="G426" s="3" t="s">
        <v>41</v>
      </c>
      <c r="H426" s="3" t="s">
        <v>70</v>
      </c>
      <c r="I426" s="3" t="s">
        <v>43</v>
      </c>
      <c r="K426" s="27" t="s">
        <v>734</v>
      </c>
      <c r="L426" s="52"/>
      <c r="M426" s="25" t="s">
        <v>734</v>
      </c>
      <c r="N426" s="61" t="s">
        <v>732</v>
      </c>
      <c r="O426" s="61" t="s">
        <v>77</v>
      </c>
      <c r="P426" s="61" t="s">
        <v>417</v>
      </c>
      <c r="Q426" s="25" t="s">
        <v>66</v>
      </c>
      <c r="R426" s="2" t="n">
        <v>1256.26</v>
      </c>
      <c r="S426" s="2" t="n">
        <v>1999</v>
      </c>
      <c r="T426" s="30" t="n">
        <v>1</v>
      </c>
      <c r="U426" s="1" t="str">
        <f aca="false">D426&amp;"-"&amp;E426&amp;"-"&amp;M426&amp;"-"&amp;O426&amp;"-"&amp;P426&amp;"-"&amp;Q426</f>
        <v>TRIUMPH-112 W-151|264-BLACK-40-E</v>
      </c>
      <c r="W426" s="1" t="s">
        <v>586</v>
      </c>
    </row>
    <row r="427" customFormat="false" ht="15" hidden="true" customHeight="false" outlineLevel="0" collapsed="false">
      <c r="B427" s="61" t="s">
        <v>739</v>
      </c>
      <c r="C427" s="2" t="s">
        <v>580</v>
      </c>
      <c r="D427" s="2" t="s">
        <v>581</v>
      </c>
      <c r="E427" s="25" t="s">
        <v>719</v>
      </c>
      <c r="F427" s="3" t="s">
        <v>80</v>
      </c>
      <c r="G427" s="3" t="s">
        <v>41</v>
      </c>
      <c r="H427" s="3" t="s">
        <v>70</v>
      </c>
      <c r="I427" s="3" t="s">
        <v>43</v>
      </c>
      <c r="K427" s="27" t="s">
        <v>720</v>
      </c>
      <c r="L427" s="52"/>
      <c r="M427" s="25" t="s">
        <v>720</v>
      </c>
      <c r="N427" s="61" t="s">
        <v>617</v>
      </c>
      <c r="O427" s="61" t="s">
        <v>77</v>
      </c>
      <c r="P427" s="61" t="s">
        <v>417</v>
      </c>
      <c r="Q427" s="61" t="s">
        <v>66</v>
      </c>
      <c r="R427" s="2" t="n">
        <v>1256.26</v>
      </c>
      <c r="S427" s="2" t="n">
        <v>1999</v>
      </c>
      <c r="T427" s="30" t="n">
        <v>1</v>
      </c>
      <c r="U427" s="1" t="str">
        <f aca="false">D427&amp;"-"&amp;E427&amp;"-"&amp;M427&amp;"-"&amp;O427&amp;"-"&amp;P427&amp;"-"&amp;Q427</f>
        <v>TRIUMPH-112 W-151|263-BLACK-40-E</v>
      </c>
      <c r="W427" s="1" t="s">
        <v>586</v>
      </c>
    </row>
    <row r="428" customFormat="false" ht="15" hidden="true" customHeight="false" outlineLevel="0" collapsed="false">
      <c r="B428" s="61" t="s">
        <v>740</v>
      </c>
      <c r="C428" s="2" t="s">
        <v>580</v>
      </c>
      <c r="D428" s="2" t="s">
        <v>581</v>
      </c>
      <c r="E428" s="25" t="s">
        <v>719</v>
      </c>
      <c r="F428" s="3" t="s">
        <v>80</v>
      </c>
      <c r="G428" s="3" t="s">
        <v>41</v>
      </c>
      <c r="H428" s="3" t="s">
        <v>70</v>
      </c>
      <c r="I428" s="3" t="s">
        <v>43</v>
      </c>
      <c r="K428" s="27" t="s">
        <v>720</v>
      </c>
      <c r="L428" s="52"/>
      <c r="M428" s="25" t="s">
        <v>720</v>
      </c>
      <c r="N428" s="61" t="s">
        <v>617</v>
      </c>
      <c r="O428" s="61" t="s">
        <v>77</v>
      </c>
      <c r="P428" s="61" t="s">
        <v>417</v>
      </c>
      <c r="Q428" s="61" t="s">
        <v>50</v>
      </c>
      <c r="R428" s="2" t="n">
        <v>1256.26</v>
      </c>
      <c r="S428" s="2" t="n">
        <v>1999</v>
      </c>
      <c r="T428" s="30" t="n">
        <v>1</v>
      </c>
      <c r="U428" s="1" t="str">
        <f aca="false">D428&amp;"-"&amp;E428&amp;"-"&amp;M428&amp;"-"&amp;O428&amp;"-"&amp;P428&amp;"-"&amp;Q428</f>
        <v>TRIUMPH-112 W-151|263-BLACK-40-F</v>
      </c>
      <c r="W428" s="1" t="s">
        <v>586</v>
      </c>
    </row>
    <row r="429" customFormat="false" ht="15" hidden="true" customHeight="false" outlineLevel="0" collapsed="false">
      <c r="B429" s="61" t="s">
        <v>741</v>
      </c>
      <c r="C429" s="2" t="s">
        <v>580</v>
      </c>
      <c r="D429" s="2" t="s">
        <v>581</v>
      </c>
      <c r="E429" s="25" t="s">
        <v>719</v>
      </c>
      <c r="F429" s="3" t="s">
        <v>80</v>
      </c>
      <c r="G429" s="3" t="s">
        <v>41</v>
      </c>
      <c r="H429" s="3" t="s">
        <v>70</v>
      </c>
      <c r="I429" s="3" t="s">
        <v>43</v>
      </c>
      <c r="K429" s="27" t="s">
        <v>720</v>
      </c>
      <c r="L429" s="52"/>
      <c r="M429" s="25" t="s">
        <v>720</v>
      </c>
      <c r="N429" s="61" t="s">
        <v>721</v>
      </c>
      <c r="O429" s="61" t="s">
        <v>465</v>
      </c>
      <c r="P429" s="61" t="s">
        <v>417</v>
      </c>
      <c r="Q429" s="61" t="s">
        <v>66</v>
      </c>
      <c r="R429" s="2" t="n">
        <v>1256.26</v>
      </c>
      <c r="S429" s="2" t="n">
        <v>1999</v>
      </c>
      <c r="T429" s="30" t="n">
        <v>1</v>
      </c>
      <c r="U429" s="1" t="str">
        <f aca="false">D429&amp;"-"&amp;E429&amp;"-"&amp;M429&amp;"-"&amp;O429&amp;"-"&amp;P429&amp;"-"&amp;Q429</f>
        <v>TRIUMPH-112 W-151|263-SKIN-40-E</v>
      </c>
      <c r="W429" s="1" t="s">
        <v>586</v>
      </c>
    </row>
    <row r="430" customFormat="false" ht="15" hidden="true" customHeight="false" outlineLevel="0" collapsed="false">
      <c r="B430" s="61" t="s">
        <v>742</v>
      </c>
      <c r="C430" s="2" t="s">
        <v>580</v>
      </c>
      <c r="D430" s="2" t="s">
        <v>581</v>
      </c>
      <c r="E430" s="25" t="s">
        <v>719</v>
      </c>
      <c r="F430" s="3" t="s">
        <v>80</v>
      </c>
      <c r="G430" s="3" t="s">
        <v>41</v>
      </c>
      <c r="H430" s="3" t="s">
        <v>70</v>
      </c>
      <c r="I430" s="3" t="s">
        <v>43</v>
      </c>
      <c r="K430" s="27" t="s">
        <v>720</v>
      </c>
      <c r="L430" s="52"/>
      <c r="M430" s="25" t="s">
        <v>720</v>
      </c>
      <c r="N430" s="61" t="s">
        <v>722</v>
      </c>
      <c r="O430" s="61" t="s">
        <v>594</v>
      </c>
      <c r="P430" s="61" t="s">
        <v>417</v>
      </c>
      <c r="Q430" s="2" t="s">
        <v>66</v>
      </c>
      <c r="R430" s="2" t="n">
        <v>1256.26</v>
      </c>
      <c r="S430" s="2" t="n">
        <v>1999</v>
      </c>
      <c r="T430" s="30" t="n">
        <v>1</v>
      </c>
      <c r="U430" s="1" t="str">
        <f aca="false">D430&amp;"-"&amp;E430&amp;"-"&amp;M430&amp;"-"&amp;O430&amp;"-"&amp;P430&amp;"-"&amp;Q430</f>
        <v>TRIUMPH-112 W-151|263-PINK-40-E</v>
      </c>
      <c r="W430" s="1" t="s">
        <v>586</v>
      </c>
    </row>
    <row r="431" customFormat="false" ht="15" hidden="true" customHeight="false" outlineLevel="0" collapsed="false">
      <c r="B431" s="103" t="s">
        <v>743</v>
      </c>
      <c r="C431" s="86" t="s">
        <v>580</v>
      </c>
      <c r="D431" s="86" t="s">
        <v>581</v>
      </c>
      <c r="E431" s="103" t="s">
        <v>744</v>
      </c>
      <c r="F431" s="3" t="s">
        <v>80</v>
      </c>
      <c r="G431" s="3" t="s">
        <v>41</v>
      </c>
      <c r="H431" s="3" t="s">
        <v>70</v>
      </c>
      <c r="I431" s="3" t="s">
        <v>43</v>
      </c>
      <c r="K431" s="27" t="s">
        <v>745</v>
      </c>
      <c r="L431" s="52"/>
      <c r="M431" s="103" t="s">
        <v>745</v>
      </c>
      <c r="N431" s="103" t="s">
        <v>617</v>
      </c>
      <c r="O431" s="103" t="s">
        <v>77</v>
      </c>
      <c r="P431" s="86" t="n">
        <v>34</v>
      </c>
      <c r="Q431" s="103" t="s">
        <v>97</v>
      </c>
      <c r="R431" s="86" t="n">
        <v>1221.06</v>
      </c>
      <c r="S431" s="86" t="n">
        <v>1899</v>
      </c>
      <c r="T431" s="30" t="n">
        <v>1</v>
      </c>
      <c r="U431" s="1" t="str">
        <f aca="false">D431&amp;"-"&amp;E431&amp;"-"&amp;M431&amp;"-"&amp;O431&amp;"-"&amp;P431&amp;"-"&amp;Q431</f>
        <v>TRIUMPH-112W-100|526-BLACK-34-D</v>
      </c>
      <c r="W431" s="1" t="s">
        <v>586</v>
      </c>
    </row>
    <row r="432" customFormat="false" ht="15" hidden="true" customHeight="false" outlineLevel="0" collapsed="false">
      <c r="B432" s="61" t="s">
        <v>746</v>
      </c>
      <c r="C432" s="2" t="s">
        <v>580</v>
      </c>
      <c r="D432" s="2" t="s">
        <v>581</v>
      </c>
      <c r="E432" s="25" t="s">
        <v>744</v>
      </c>
      <c r="F432" s="3" t="s">
        <v>80</v>
      </c>
      <c r="G432" s="3" t="s">
        <v>41</v>
      </c>
      <c r="H432" s="3" t="s">
        <v>70</v>
      </c>
      <c r="I432" s="3" t="s">
        <v>43</v>
      </c>
      <c r="K432" s="27" t="s">
        <v>745</v>
      </c>
      <c r="L432" s="52"/>
      <c r="M432" s="25" t="s">
        <v>745</v>
      </c>
      <c r="N432" s="61" t="s">
        <v>587</v>
      </c>
      <c r="O432" s="61" t="s">
        <v>89</v>
      </c>
      <c r="P432" s="2" t="n">
        <v>34</v>
      </c>
      <c r="Q432" s="61" t="s">
        <v>97</v>
      </c>
      <c r="R432" s="86" t="n">
        <v>1221.06</v>
      </c>
      <c r="S432" s="86" t="n">
        <v>1899</v>
      </c>
      <c r="T432" s="30" t="n">
        <v>1</v>
      </c>
      <c r="U432" s="1" t="str">
        <f aca="false">D432&amp;"-"&amp;E432&amp;"-"&amp;M432&amp;"-"&amp;O432&amp;"-"&amp;P432&amp;"-"&amp;Q432</f>
        <v>TRIUMPH-112W-100|526-BLUE-34-D</v>
      </c>
      <c r="W432" s="1" t="s">
        <v>586</v>
      </c>
    </row>
    <row r="433" customFormat="false" ht="15" hidden="true" customHeight="false" outlineLevel="0" collapsed="false">
      <c r="B433" s="104" t="n">
        <v>7613113513317</v>
      </c>
      <c r="C433" s="86" t="s">
        <v>580</v>
      </c>
      <c r="D433" s="86" t="s">
        <v>581</v>
      </c>
      <c r="E433" s="103" t="s">
        <v>747</v>
      </c>
      <c r="F433" s="3" t="s">
        <v>80</v>
      </c>
      <c r="G433" s="26" t="s">
        <v>689</v>
      </c>
      <c r="H433" s="3" t="s">
        <v>70</v>
      </c>
      <c r="I433" s="3" t="s">
        <v>43</v>
      </c>
      <c r="K433" s="27" t="s">
        <v>745</v>
      </c>
      <c r="L433" s="52"/>
      <c r="M433" s="103" t="s">
        <v>745</v>
      </c>
      <c r="N433" s="103" t="s">
        <v>617</v>
      </c>
      <c r="O433" s="103" t="s">
        <v>77</v>
      </c>
      <c r="P433" s="86" t="n">
        <v>34</v>
      </c>
      <c r="Q433" s="103" t="s">
        <v>66</v>
      </c>
      <c r="R433" s="86" t="n">
        <v>1221.06</v>
      </c>
      <c r="S433" s="86" t="n">
        <v>1899</v>
      </c>
      <c r="T433" s="30" t="n">
        <v>1</v>
      </c>
      <c r="U433" s="1" t="str">
        <f aca="false">D433&amp;"-"&amp;E433&amp;"-"&amp;M433&amp;"-"&amp;O433&amp;"-"&amp;P433&amp;"-"&amp;Q433</f>
        <v>TRIUMPH-112 N-100|526-BLACK-34-E</v>
      </c>
      <c r="W433" s="1" t="s">
        <v>586</v>
      </c>
    </row>
    <row r="434" customFormat="false" ht="15" hidden="true" customHeight="false" outlineLevel="0" collapsed="false">
      <c r="B434" s="31" t="n">
        <v>7613113899299</v>
      </c>
      <c r="C434" s="2" t="s">
        <v>580</v>
      </c>
      <c r="D434" s="2" t="s">
        <v>581</v>
      </c>
      <c r="E434" s="61" t="s">
        <v>747</v>
      </c>
      <c r="F434" s="3" t="s">
        <v>80</v>
      </c>
      <c r="G434" s="26" t="s">
        <v>689</v>
      </c>
      <c r="H434" s="3" t="s">
        <v>70</v>
      </c>
      <c r="I434" s="3" t="s">
        <v>43</v>
      </c>
      <c r="K434" s="27" t="s">
        <v>745</v>
      </c>
      <c r="L434" s="52"/>
      <c r="M434" s="25" t="s">
        <v>745</v>
      </c>
      <c r="N434" s="61" t="s">
        <v>748</v>
      </c>
      <c r="O434" s="61" t="s">
        <v>89</v>
      </c>
      <c r="P434" s="2" t="n">
        <v>34</v>
      </c>
      <c r="Q434" s="61" t="s">
        <v>66</v>
      </c>
      <c r="R434" s="86" t="n">
        <v>1221.06</v>
      </c>
      <c r="S434" s="86" t="n">
        <v>1899</v>
      </c>
      <c r="T434" s="30" t="n">
        <v>1</v>
      </c>
      <c r="U434" s="1" t="str">
        <f aca="false">D434&amp;"-"&amp;E434&amp;"-"&amp;M434&amp;"-"&amp;O434&amp;"-"&amp;P434&amp;"-"&amp;Q434</f>
        <v>TRIUMPH-112 N-100|526-BLUE-34-E</v>
      </c>
      <c r="W434" s="1" t="s">
        <v>586</v>
      </c>
    </row>
    <row r="435" customFormat="false" ht="15" hidden="true" customHeight="false" outlineLevel="0" collapsed="false">
      <c r="B435" s="31" t="n">
        <v>7613141155701</v>
      </c>
      <c r="C435" s="2" t="s">
        <v>580</v>
      </c>
      <c r="D435" s="2" t="s">
        <v>581</v>
      </c>
      <c r="E435" s="61" t="s">
        <v>747</v>
      </c>
      <c r="F435" s="3" t="s">
        <v>80</v>
      </c>
      <c r="G435" s="26" t="s">
        <v>689</v>
      </c>
      <c r="H435" s="3" t="s">
        <v>70</v>
      </c>
      <c r="I435" s="3" t="s">
        <v>43</v>
      </c>
      <c r="K435" s="27" t="s">
        <v>745</v>
      </c>
      <c r="L435" s="52"/>
      <c r="M435" s="25" t="s">
        <v>745</v>
      </c>
      <c r="N435" s="61" t="s">
        <v>721</v>
      </c>
      <c r="O435" s="61" t="s">
        <v>465</v>
      </c>
      <c r="P435" s="2" t="n">
        <v>34</v>
      </c>
      <c r="Q435" s="61" t="s">
        <v>66</v>
      </c>
      <c r="R435" s="86" t="n">
        <v>1221.06</v>
      </c>
      <c r="S435" s="86" t="n">
        <v>1899</v>
      </c>
      <c r="T435" s="30" t="n">
        <v>1</v>
      </c>
      <c r="U435" s="1" t="str">
        <f aca="false">D435&amp;"-"&amp;E435&amp;"-"&amp;M435&amp;"-"&amp;O435&amp;"-"&amp;P435&amp;"-"&amp;Q435</f>
        <v>TRIUMPH-112 N-100|526-SKIN-34-E</v>
      </c>
      <c r="W435" s="1" t="s">
        <v>586</v>
      </c>
    </row>
    <row r="436" customFormat="false" ht="15" hidden="true" customHeight="false" outlineLevel="0" collapsed="false">
      <c r="B436" s="31" t="n">
        <v>7613113513355</v>
      </c>
      <c r="C436" s="2" t="s">
        <v>580</v>
      </c>
      <c r="D436" s="2" t="s">
        <v>581</v>
      </c>
      <c r="E436" s="61" t="s">
        <v>747</v>
      </c>
      <c r="F436" s="3" t="s">
        <v>80</v>
      </c>
      <c r="G436" s="26" t="s">
        <v>689</v>
      </c>
      <c r="H436" s="3" t="s">
        <v>70</v>
      </c>
      <c r="I436" s="3" t="s">
        <v>43</v>
      </c>
      <c r="K436" s="27" t="s">
        <v>745</v>
      </c>
      <c r="L436" s="52"/>
      <c r="M436" s="25" t="s">
        <v>745</v>
      </c>
      <c r="N436" s="61" t="s">
        <v>617</v>
      </c>
      <c r="O436" s="61" t="s">
        <v>77</v>
      </c>
      <c r="P436" s="2" t="n">
        <v>34</v>
      </c>
      <c r="Q436" s="61" t="s">
        <v>50</v>
      </c>
      <c r="R436" s="86" t="n">
        <v>1221.06</v>
      </c>
      <c r="S436" s="86" t="n">
        <v>1899</v>
      </c>
      <c r="T436" s="30" t="n">
        <v>0</v>
      </c>
      <c r="U436" s="1" t="str">
        <f aca="false">D436&amp;"-"&amp;E436&amp;"-"&amp;M436&amp;"-"&amp;O436&amp;"-"&amp;P436&amp;"-"&amp;Q436</f>
        <v>TRIUMPH-112 N-100|526-BLACK-34-F</v>
      </c>
      <c r="W436" s="1" t="s">
        <v>586</v>
      </c>
    </row>
    <row r="437" customFormat="false" ht="15" hidden="true" customHeight="false" outlineLevel="0" collapsed="false">
      <c r="B437" s="31" t="n">
        <v>7613113899343</v>
      </c>
      <c r="C437" s="2" t="s">
        <v>580</v>
      </c>
      <c r="D437" s="2" t="s">
        <v>581</v>
      </c>
      <c r="E437" s="61" t="s">
        <v>747</v>
      </c>
      <c r="F437" s="3" t="s">
        <v>80</v>
      </c>
      <c r="G437" s="26" t="s">
        <v>689</v>
      </c>
      <c r="H437" s="3" t="s">
        <v>70</v>
      </c>
      <c r="I437" s="3" t="s">
        <v>43</v>
      </c>
      <c r="K437" s="27" t="s">
        <v>745</v>
      </c>
      <c r="L437" s="52"/>
      <c r="M437" s="25" t="s">
        <v>745</v>
      </c>
      <c r="N437" s="61" t="s">
        <v>748</v>
      </c>
      <c r="O437" s="61" t="s">
        <v>89</v>
      </c>
      <c r="P437" s="2" t="n">
        <v>34</v>
      </c>
      <c r="Q437" s="61" t="s">
        <v>50</v>
      </c>
      <c r="R437" s="86" t="n">
        <v>1221.06</v>
      </c>
      <c r="S437" s="86" t="n">
        <v>1899</v>
      </c>
      <c r="T437" s="30" t="n">
        <v>1</v>
      </c>
      <c r="U437" s="1" t="str">
        <f aca="false">D437&amp;"-"&amp;E437&amp;"-"&amp;M437&amp;"-"&amp;O437&amp;"-"&amp;P437&amp;"-"&amp;Q437</f>
        <v>TRIUMPH-112 N-100|526-BLUE-34-F</v>
      </c>
      <c r="W437" s="1" t="s">
        <v>586</v>
      </c>
    </row>
    <row r="438" customFormat="false" ht="15" hidden="true" customHeight="false" outlineLevel="0" collapsed="false">
      <c r="B438" s="31" t="n">
        <v>7613113034966</v>
      </c>
      <c r="C438" s="2" t="s">
        <v>580</v>
      </c>
      <c r="D438" s="2" t="s">
        <v>581</v>
      </c>
      <c r="E438" s="61" t="s">
        <v>747</v>
      </c>
      <c r="F438" s="3" t="s">
        <v>80</v>
      </c>
      <c r="G438" s="26" t="s">
        <v>689</v>
      </c>
      <c r="H438" s="3" t="s">
        <v>70</v>
      </c>
      <c r="I438" s="3" t="s">
        <v>43</v>
      </c>
      <c r="K438" s="27" t="s">
        <v>745</v>
      </c>
      <c r="L438" s="52"/>
      <c r="M438" s="25" t="s">
        <v>745</v>
      </c>
      <c r="N438" s="61" t="s">
        <v>749</v>
      </c>
      <c r="O438" s="61" t="s">
        <v>465</v>
      </c>
      <c r="P438" s="2" t="n">
        <v>34</v>
      </c>
      <c r="Q438" s="61" t="s">
        <v>50</v>
      </c>
      <c r="R438" s="86" t="n">
        <v>1221.06</v>
      </c>
      <c r="S438" s="86" t="n">
        <v>1899</v>
      </c>
      <c r="T438" s="30" t="n">
        <v>0</v>
      </c>
      <c r="U438" s="1" t="str">
        <f aca="false">D438&amp;"-"&amp;E438&amp;"-"&amp;M438&amp;"-"&amp;O438&amp;"-"&amp;P438&amp;"-"&amp;Q438</f>
        <v>TRIUMPH-112 N-100|526-SKIN-34-F</v>
      </c>
      <c r="W438" s="1" t="s">
        <v>586</v>
      </c>
    </row>
    <row r="439" customFormat="false" ht="15" hidden="true" customHeight="false" outlineLevel="0" collapsed="false">
      <c r="B439" s="31" t="n">
        <v>7613113034843</v>
      </c>
      <c r="C439" s="2" t="s">
        <v>580</v>
      </c>
      <c r="D439" s="2" t="s">
        <v>581</v>
      </c>
      <c r="E439" s="61" t="s">
        <v>747</v>
      </c>
      <c r="F439" s="3" t="s">
        <v>80</v>
      </c>
      <c r="G439" s="26" t="s">
        <v>689</v>
      </c>
      <c r="H439" s="3" t="s">
        <v>70</v>
      </c>
      <c r="I439" s="3" t="s">
        <v>43</v>
      </c>
      <c r="K439" s="27" t="s">
        <v>745</v>
      </c>
      <c r="L439" s="52"/>
      <c r="M439" s="25" t="s">
        <v>745</v>
      </c>
      <c r="N439" s="61" t="s">
        <v>749</v>
      </c>
      <c r="O439" s="61" t="s">
        <v>465</v>
      </c>
      <c r="P439" s="2" t="n">
        <v>36</v>
      </c>
      <c r="Q439" s="61" t="s">
        <v>97</v>
      </c>
      <c r="R439" s="86" t="n">
        <v>1221.06</v>
      </c>
      <c r="S439" s="86" t="n">
        <v>1899</v>
      </c>
      <c r="T439" s="30" t="n">
        <v>1</v>
      </c>
      <c r="U439" s="1" t="str">
        <f aca="false">D439&amp;"-"&amp;E439&amp;"-"&amp;M439&amp;"-"&amp;O439&amp;"-"&amp;P439&amp;"-"&amp;Q439</f>
        <v>TRIUMPH-112 N-100|526-SKIN-36-D</v>
      </c>
      <c r="W439" s="1" t="s">
        <v>586</v>
      </c>
    </row>
    <row r="440" customFormat="false" ht="15" hidden="true" customHeight="false" outlineLevel="0" collapsed="false">
      <c r="B440" s="31" t="n">
        <v>7613113899251</v>
      </c>
      <c r="C440" s="2" t="s">
        <v>580</v>
      </c>
      <c r="D440" s="2" t="s">
        <v>581</v>
      </c>
      <c r="E440" s="61" t="s">
        <v>747</v>
      </c>
      <c r="F440" s="3" t="s">
        <v>80</v>
      </c>
      <c r="G440" s="26" t="s">
        <v>689</v>
      </c>
      <c r="H440" s="3" t="s">
        <v>70</v>
      </c>
      <c r="I440" s="3" t="s">
        <v>43</v>
      </c>
      <c r="K440" s="27" t="s">
        <v>745</v>
      </c>
      <c r="L440" s="52"/>
      <c r="M440" s="25" t="s">
        <v>745</v>
      </c>
      <c r="N440" s="61" t="s">
        <v>748</v>
      </c>
      <c r="O440" s="61" t="s">
        <v>89</v>
      </c>
      <c r="P440" s="2" t="n">
        <v>36</v>
      </c>
      <c r="Q440" s="61" t="s">
        <v>97</v>
      </c>
      <c r="R440" s="86" t="n">
        <v>1221.06</v>
      </c>
      <c r="S440" s="86" t="n">
        <v>1899</v>
      </c>
      <c r="T440" s="30" t="n">
        <v>1</v>
      </c>
      <c r="U440" s="1" t="str">
        <f aca="false">D440&amp;"-"&amp;E440&amp;"-"&amp;M440&amp;"-"&amp;O440&amp;"-"&amp;P440&amp;"-"&amp;Q440</f>
        <v>TRIUMPH-112 N-100|526-BLUE-36-D</v>
      </c>
      <c r="W440" s="1" t="s">
        <v>586</v>
      </c>
    </row>
    <row r="441" customFormat="false" ht="15" hidden="true" customHeight="false" outlineLevel="0" collapsed="false">
      <c r="B441" s="31" t="n">
        <v>7613142619172</v>
      </c>
      <c r="C441" s="2" t="s">
        <v>580</v>
      </c>
      <c r="D441" s="2" t="s">
        <v>581</v>
      </c>
      <c r="E441" s="61" t="s">
        <v>747</v>
      </c>
      <c r="F441" s="3" t="s">
        <v>80</v>
      </c>
      <c r="G441" s="26" t="s">
        <v>689</v>
      </c>
      <c r="H441" s="3" t="s">
        <v>70</v>
      </c>
      <c r="I441" s="3" t="s">
        <v>43</v>
      </c>
      <c r="K441" s="27" t="s">
        <v>745</v>
      </c>
      <c r="L441" s="52"/>
      <c r="M441" s="25" t="s">
        <v>745</v>
      </c>
      <c r="N441" s="61" t="s">
        <v>722</v>
      </c>
      <c r="O441" s="61" t="s">
        <v>594</v>
      </c>
      <c r="P441" s="2" t="n">
        <v>36</v>
      </c>
      <c r="Q441" s="61" t="s">
        <v>97</v>
      </c>
      <c r="R441" s="86" t="n">
        <v>1221.06</v>
      </c>
      <c r="S441" s="86" t="n">
        <v>1899</v>
      </c>
      <c r="T441" s="30" t="n">
        <v>1</v>
      </c>
      <c r="U441" s="1" t="str">
        <f aca="false">D441&amp;"-"&amp;E441&amp;"-"&amp;M441&amp;"-"&amp;O441&amp;"-"&amp;P441&amp;"-"&amp;Q441</f>
        <v>TRIUMPH-112 N-100|526-PINK-36-D</v>
      </c>
      <c r="W441" s="1" t="s">
        <v>586</v>
      </c>
    </row>
    <row r="442" customFormat="false" ht="15" hidden="true" customHeight="false" outlineLevel="0" collapsed="false">
      <c r="B442" s="31" t="n">
        <v>7613113513287</v>
      </c>
      <c r="C442" s="2" t="s">
        <v>580</v>
      </c>
      <c r="D442" s="2" t="s">
        <v>581</v>
      </c>
      <c r="E442" s="61" t="s">
        <v>747</v>
      </c>
      <c r="F442" s="3" t="s">
        <v>80</v>
      </c>
      <c r="G442" s="26" t="s">
        <v>689</v>
      </c>
      <c r="H442" s="3" t="s">
        <v>70</v>
      </c>
      <c r="I442" s="3" t="s">
        <v>43</v>
      </c>
      <c r="K442" s="27" t="s">
        <v>745</v>
      </c>
      <c r="L442" s="52"/>
      <c r="M442" s="25" t="s">
        <v>745</v>
      </c>
      <c r="N442" s="61" t="s">
        <v>617</v>
      </c>
      <c r="O442" s="61" t="s">
        <v>77</v>
      </c>
      <c r="P442" s="2" t="n">
        <v>36</v>
      </c>
      <c r="Q442" s="61" t="s">
        <v>97</v>
      </c>
      <c r="R442" s="86" t="n">
        <v>1221.06</v>
      </c>
      <c r="S442" s="86" t="n">
        <v>1899</v>
      </c>
      <c r="T442" s="30" t="n">
        <v>1</v>
      </c>
      <c r="U442" s="1" t="str">
        <f aca="false">D442&amp;"-"&amp;E442&amp;"-"&amp;M442&amp;"-"&amp;O442&amp;"-"&amp;P442&amp;"-"&amp;Q442</f>
        <v>TRIUMPH-112 N-100|526-BLACK-36-D</v>
      </c>
      <c r="W442" s="1" t="s">
        <v>586</v>
      </c>
    </row>
    <row r="443" customFormat="false" ht="15" hidden="true" customHeight="false" outlineLevel="0" collapsed="false">
      <c r="B443" s="31" t="n">
        <v>7613113034911</v>
      </c>
      <c r="C443" s="2" t="s">
        <v>580</v>
      </c>
      <c r="D443" s="2" t="s">
        <v>581</v>
      </c>
      <c r="E443" s="61" t="s">
        <v>747</v>
      </c>
      <c r="F443" s="3" t="s">
        <v>80</v>
      </c>
      <c r="G443" s="26" t="s">
        <v>689</v>
      </c>
      <c r="H443" s="3" t="s">
        <v>70</v>
      </c>
      <c r="I443" s="3" t="s">
        <v>43</v>
      </c>
      <c r="K443" s="27" t="s">
        <v>745</v>
      </c>
      <c r="L443" s="52"/>
      <c r="M443" s="25" t="s">
        <v>745</v>
      </c>
      <c r="N443" s="61" t="s">
        <v>749</v>
      </c>
      <c r="O443" s="61" t="s">
        <v>465</v>
      </c>
      <c r="P443" s="2" t="n">
        <v>36</v>
      </c>
      <c r="Q443" s="61" t="s">
        <v>66</v>
      </c>
      <c r="R443" s="86" t="n">
        <v>1221.06</v>
      </c>
      <c r="S443" s="86" t="n">
        <v>1899</v>
      </c>
      <c r="T443" s="30" t="n">
        <v>2</v>
      </c>
      <c r="U443" s="1" t="str">
        <f aca="false">D443&amp;"-"&amp;E443&amp;"-"&amp;M443&amp;"-"&amp;O443&amp;"-"&amp;P443&amp;"-"&amp;Q443</f>
        <v>TRIUMPH-112 N-100|526-SKIN-36-E</v>
      </c>
      <c r="W443" s="1" t="s">
        <v>586</v>
      </c>
    </row>
    <row r="444" customFormat="false" ht="15" hidden="true" customHeight="false" outlineLevel="0" collapsed="false">
      <c r="B444" s="31" t="n">
        <v>7613141155718</v>
      </c>
      <c r="C444" s="2" t="s">
        <v>580</v>
      </c>
      <c r="D444" s="2" t="s">
        <v>581</v>
      </c>
      <c r="E444" s="61" t="s">
        <v>747</v>
      </c>
      <c r="F444" s="3" t="s">
        <v>80</v>
      </c>
      <c r="G444" s="26" t="s">
        <v>689</v>
      </c>
      <c r="H444" s="3" t="s">
        <v>70</v>
      </c>
      <c r="I444" s="3" t="s">
        <v>43</v>
      </c>
      <c r="K444" s="27" t="s">
        <v>745</v>
      </c>
      <c r="L444" s="52"/>
      <c r="M444" s="25" t="s">
        <v>745</v>
      </c>
      <c r="N444" s="61" t="s">
        <v>721</v>
      </c>
      <c r="O444" s="61" t="s">
        <v>465</v>
      </c>
      <c r="P444" s="2" t="n">
        <v>36</v>
      </c>
      <c r="Q444" s="61" t="s">
        <v>66</v>
      </c>
      <c r="R444" s="86" t="n">
        <v>1221.06</v>
      </c>
      <c r="S444" s="86" t="n">
        <v>1899</v>
      </c>
      <c r="T444" s="30" t="n">
        <v>1</v>
      </c>
      <c r="U444" s="1" t="str">
        <f aca="false">D444&amp;"-"&amp;E444&amp;"-"&amp;M444&amp;"-"&amp;O444&amp;"-"&amp;P444&amp;"-"&amp;Q444</f>
        <v>TRIUMPH-112 N-100|526-SKIN-36-E</v>
      </c>
      <c r="W444" s="1" t="s">
        <v>586</v>
      </c>
    </row>
    <row r="445" customFormat="false" ht="15" hidden="true" customHeight="false" outlineLevel="0" collapsed="false">
      <c r="B445" s="31" t="n">
        <v>7613113899305</v>
      </c>
      <c r="C445" s="2" t="s">
        <v>580</v>
      </c>
      <c r="D445" s="2" t="s">
        <v>581</v>
      </c>
      <c r="E445" s="61" t="s">
        <v>747</v>
      </c>
      <c r="F445" s="3" t="s">
        <v>80</v>
      </c>
      <c r="G445" s="26" t="s">
        <v>689</v>
      </c>
      <c r="H445" s="3" t="s">
        <v>70</v>
      </c>
      <c r="I445" s="3" t="s">
        <v>43</v>
      </c>
      <c r="K445" s="27" t="s">
        <v>745</v>
      </c>
      <c r="L445" s="52"/>
      <c r="M445" s="25" t="s">
        <v>745</v>
      </c>
      <c r="N445" s="61" t="s">
        <v>748</v>
      </c>
      <c r="O445" s="61" t="s">
        <v>89</v>
      </c>
      <c r="P445" s="2" t="n">
        <v>36</v>
      </c>
      <c r="Q445" s="61" t="s">
        <v>66</v>
      </c>
      <c r="R445" s="86" t="n">
        <v>1221.06</v>
      </c>
      <c r="S445" s="86" t="n">
        <v>1899</v>
      </c>
      <c r="T445" s="30" t="n">
        <v>1</v>
      </c>
      <c r="U445" s="1" t="str">
        <f aca="false">D445&amp;"-"&amp;E445&amp;"-"&amp;M445&amp;"-"&amp;O445&amp;"-"&amp;P445&amp;"-"&amp;Q445</f>
        <v>TRIUMPH-112 N-100|526-BLUE-36-E</v>
      </c>
      <c r="W445" s="1" t="s">
        <v>586</v>
      </c>
    </row>
    <row r="446" customFormat="false" ht="15" hidden="true" customHeight="false" outlineLevel="0" collapsed="false">
      <c r="B446" s="31" t="n">
        <v>7613142619226</v>
      </c>
      <c r="C446" s="2" t="s">
        <v>580</v>
      </c>
      <c r="D446" s="2" t="s">
        <v>581</v>
      </c>
      <c r="E446" s="61" t="s">
        <v>747</v>
      </c>
      <c r="F446" s="3" t="s">
        <v>80</v>
      </c>
      <c r="G446" s="26" t="s">
        <v>689</v>
      </c>
      <c r="H446" s="3" t="s">
        <v>70</v>
      </c>
      <c r="I446" s="3" t="s">
        <v>43</v>
      </c>
      <c r="K446" s="27" t="s">
        <v>745</v>
      </c>
      <c r="L446" s="52"/>
      <c r="M446" s="25" t="s">
        <v>745</v>
      </c>
      <c r="N446" s="61" t="s">
        <v>722</v>
      </c>
      <c r="O446" s="61" t="s">
        <v>594</v>
      </c>
      <c r="P446" s="2" t="n">
        <v>36</v>
      </c>
      <c r="Q446" s="61" t="s">
        <v>66</v>
      </c>
      <c r="R446" s="86" t="n">
        <v>1221.06</v>
      </c>
      <c r="S446" s="86" t="n">
        <v>1899</v>
      </c>
      <c r="T446" s="30" t="n">
        <v>1</v>
      </c>
      <c r="U446" s="1" t="str">
        <f aca="false">D446&amp;"-"&amp;E446&amp;"-"&amp;M446&amp;"-"&amp;O446&amp;"-"&amp;P446&amp;"-"&amp;Q446</f>
        <v>TRIUMPH-112 N-100|526-PINK-36-E</v>
      </c>
      <c r="W446" s="1" t="s">
        <v>586</v>
      </c>
    </row>
    <row r="447" customFormat="false" ht="15" hidden="true" customHeight="false" outlineLevel="0" collapsed="false">
      <c r="B447" s="31" t="n">
        <v>7613113513324</v>
      </c>
      <c r="C447" s="2" t="s">
        <v>580</v>
      </c>
      <c r="D447" s="2" t="s">
        <v>581</v>
      </c>
      <c r="E447" s="61" t="s">
        <v>747</v>
      </c>
      <c r="F447" s="3" t="s">
        <v>80</v>
      </c>
      <c r="G447" s="26" t="s">
        <v>689</v>
      </c>
      <c r="H447" s="3" t="s">
        <v>70</v>
      </c>
      <c r="I447" s="3" t="s">
        <v>43</v>
      </c>
      <c r="K447" s="27" t="s">
        <v>745</v>
      </c>
      <c r="L447" s="52"/>
      <c r="M447" s="25" t="s">
        <v>745</v>
      </c>
      <c r="N447" s="61" t="s">
        <v>617</v>
      </c>
      <c r="O447" s="61" t="s">
        <v>77</v>
      </c>
      <c r="P447" s="2" t="n">
        <v>36</v>
      </c>
      <c r="Q447" s="61" t="s">
        <v>66</v>
      </c>
      <c r="R447" s="86" t="n">
        <v>1221.06</v>
      </c>
      <c r="S447" s="86" t="n">
        <v>1899</v>
      </c>
      <c r="T447" s="30" t="n">
        <v>1</v>
      </c>
      <c r="U447" s="1" t="str">
        <f aca="false">D447&amp;"-"&amp;E447&amp;"-"&amp;M447&amp;"-"&amp;O447&amp;"-"&amp;P447&amp;"-"&amp;Q447</f>
        <v>TRIUMPH-112 N-100|526-BLACK-36-E</v>
      </c>
      <c r="W447" s="1" t="s">
        <v>586</v>
      </c>
    </row>
    <row r="448" customFormat="false" ht="15" hidden="true" customHeight="false" outlineLevel="0" collapsed="false">
      <c r="B448" s="31" t="n">
        <v>7613113513362</v>
      </c>
      <c r="C448" s="2" t="s">
        <v>580</v>
      </c>
      <c r="D448" s="2" t="s">
        <v>581</v>
      </c>
      <c r="E448" s="61" t="s">
        <v>747</v>
      </c>
      <c r="F448" s="3" t="s">
        <v>80</v>
      </c>
      <c r="G448" s="26" t="s">
        <v>689</v>
      </c>
      <c r="H448" s="3" t="s">
        <v>70</v>
      </c>
      <c r="I448" s="3" t="s">
        <v>43</v>
      </c>
      <c r="K448" s="27" t="s">
        <v>745</v>
      </c>
      <c r="L448" s="52"/>
      <c r="M448" s="25" t="s">
        <v>745</v>
      </c>
      <c r="N448" s="61" t="s">
        <v>617</v>
      </c>
      <c r="O448" s="29" t="s">
        <v>77</v>
      </c>
      <c r="P448" s="2" t="n">
        <v>36</v>
      </c>
      <c r="Q448" s="29" t="s">
        <v>50</v>
      </c>
      <c r="R448" s="86" t="n">
        <v>1221.06</v>
      </c>
      <c r="S448" s="86" t="n">
        <v>1899</v>
      </c>
      <c r="T448" s="30" t="n">
        <v>2</v>
      </c>
      <c r="U448" s="1" t="str">
        <f aca="false">D448&amp;"-"&amp;E448&amp;"-"&amp;M448&amp;"-"&amp;O448&amp;"-"&amp;P448&amp;"-"&amp;Q448</f>
        <v>TRIUMPH-112 N-100|526-BLACK-36-F</v>
      </c>
      <c r="W448" s="1" t="s">
        <v>586</v>
      </c>
    </row>
    <row r="449" customFormat="false" ht="15" hidden="true" customHeight="false" outlineLevel="0" collapsed="false">
      <c r="B449" s="31" t="n">
        <v>7613113034973</v>
      </c>
      <c r="C449" s="2" t="s">
        <v>580</v>
      </c>
      <c r="D449" s="2" t="s">
        <v>581</v>
      </c>
      <c r="E449" s="61" t="s">
        <v>747</v>
      </c>
      <c r="F449" s="3" t="s">
        <v>80</v>
      </c>
      <c r="G449" s="26" t="s">
        <v>689</v>
      </c>
      <c r="H449" s="3" t="s">
        <v>70</v>
      </c>
      <c r="I449" s="3" t="s">
        <v>43</v>
      </c>
      <c r="K449" s="27" t="s">
        <v>745</v>
      </c>
      <c r="L449" s="52"/>
      <c r="M449" s="25" t="s">
        <v>745</v>
      </c>
      <c r="N449" s="29" t="s">
        <v>749</v>
      </c>
      <c r="O449" s="29" t="s">
        <v>465</v>
      </c>
      <c r="P449" s="2" t="n">
        <v>36</v>
      </c>
      <c r="Q449" s="29" t="s">
        <v>50</v>
      </c>
      <c r="R449" s="86" t="n">
        <v>1221.06</v>
      </c>
      <c r="S449" s="86" t="n">
        <v>1899</v>
      </c>
      <c r="T449" s="30" t="n">
        <v>1</v>
      </c>
      <c r="U449" s="1" t="str">
        <f aca="false">D449&amp;"-"&amp;E449&amp;"-"&amp;M449&amp;"-"&amp;O449&amp;"-"&amp;P449&amp;"-"&amp;Q449</f>
        <v>TRIUMPH-112 N-100|526-SKIN-36-F</v>
      </c>
      <c r="W449" s="1" t="s">
        <v>586</v>
      </c>
    </row>
    <row r="450" customFormat="false" ht="15" hidden="true" customHeight="false" outlineLevel="0" collapsed="false">
      <c r="B450" s="31" t="n">
        <v>7613141155664</v>
      </c>
      <c r="C450" s="2" t="s">
        <v>580</v>
      </c>
      <c r="D450" s="2" t="s">
        <v>581</v>
      </c>
      <c r="E450" s="61" t="s">
        <v>747</v>
      </c>
      <c r="F450" s="3" t="s">
        <v>80</v>
      </c>
      <c r="G450" s="26" t="s">
        <v>689</v>
      </c>
      <c r="H450" s="3" t="s">
        <v>70</v>
      </c>
      <c r="I450" s="3" t="s">
        <v>43</v>
      </c>
      <c r="K450" s="27" t="s">
        <v>745</v>
      </c>
      <c r="L450" s="52"/>
      <c r="M450" s="25" t="s">
        <v>745</v>
      </c>
      <c r="N450" s="29" t="s">
        <v>721</v>
      </c>
      <c r="O450" s="29" t="s">
        <v>465</v>
      </c>
      <c r="P450" s="2" t="n">
        <v>34</v>
      </c>
      <c r="Q450" s="29" t="s">
        <v>97</v>
      </c>
      <c r="R450" s="86" t="n">
        <v>1221.06</v>
      </c>
      <c r="S450" s="86" t="n">
        <v>1899</v>
      </c>
      <c r="T450" s="30" t="n">
        <v>0</v>
      </c>
      <c r="U450" s="1" t="str">
        <f aca="false">D450&amp;"-"&amp;E450&amp;"-"&amp;M450&amp;"-"&amp;O450&amp;"-"&amp;P450&amp;"-"&amp;Q450</f>
        <v>TRIUMPH-112 N-100|526-SKIN-34-D</v>
      </c>
      <c r="W450" s="1" t="s">
        <v>586</v>
      </c>
    </row>
    <row r="451" customFormat="false" ht="15" hidden="true" customHeight="false" outlineLevel="0" collapsed="false">
      <c r="B451" s="31" t="n">
        <v>7613142619189</v>
      </c>
      <c r="C451" s="2" t="s">
        <v>580</v>
      </c>
      <c r="D451" s="2" t="s">
        <v>581</v>
      </c>
      <c r="E451" s="61" t="s">
        <v>747</v>
      </c>
      <c r="F451" s="3" t="s">
        <v>80</v>
      </c>
      <c r="G451" s="26" t="s">
        <v>689</v>
      </c>
      <c r="H451" s="3" t="s">
        <v>70</v>
      </c>
      <c r="I451" s="3" t="s">
        <v>43</v>
      </c>
      <c r="K451" s="27" t="s">
        <v>745</v>
      </c>
      <c r="L451" s="52"/>
      <c r="M451" s="25" t="s">
        <v>745</v>
      </c>
      <c r="N451" s="86" t="s">
        <v>722</v>
      </c>
      <c r="O451" s="29" t="s">
        <v>594</v>
      </c>
      <c r="P451" s="2" t="n">
        <v>38</v>
      </c>
      <c r="Q451" s="29" t="s">
        <v>97</v>
      </c>
      <c r="R451" s="86" t="n">
        <v>1221.06</v>
      </c>
      <c r="S451" s="86" t="n">
        <v>1899</v>
      </c>
      <c r="T451" s="30" t="n">
        <v>1</v>
      </c>
      <c r="U451" s="1" t="str">
        <f aca="false">D451&amp;"-"&amp;E451&amp;"-"&amp;M451&amp;"-"&amp;O451&amp;"-"&amp;P451&amp;"-"&amp;Q451</f>
        <v>TRIUMPH-112 N-100|526-PINK-38-D</v>
      </c>
      <c r="W451" s="1" t="s">
        <v>586</v>
      </c>
    </row>
    <row r="452" customFormat="false" ht="15" hidden="true" customHeight="false" outlineLevel="0" collapsed="false">
      <c r="B452" s="31" t="n">
        <v>7613113513294</v>
      </c>
      <c r="C452" s="2" t="s">
        <v>580</v>
      </c>
      <c r="D452" s="2" t="s">
        <v>581</v>
      </c>
      <c r="E452" s="61" t="s">
        <v>747</v>
      </c>
      <c r="F452" s="3" t="s">
        <v>80</v>
      </c>
      <c r="G452" s="26" t="s">
        <v>689</v>
      </c>
      <c r="H452" s="3" t="s">
        <v>70</v>
      </c>
      <c r="I452" s="3" t="s">
        <v>43</v>
      </c>
      <c r="K452" s="27" t="s">
        <v>745</v>
      </c>
      <c r="L452" s="52"/>
      <c r="M452" s="25" t="s">
        <v>745</v>
      </c>
      <c r="N452" s="61" t="s">
        <v>617</v>
      </c>
      <c r="O452" s="29" t="s">
        <v>77</v>
      </c>
      <c r="P452" s="2" t="n">
        <v>38</v>
      </c>
      <c r="Q452" s="29" t="s">
        <v>97</v>
      </c>
      <c r="R452" s="86" t="n">
        <v>1221.06</v>
      </c>
      <c r="S452" s="86" t="n">
        <v>1899</v>
      </c>
      <c r="T452" s="30" t="n">
        <v>1</v>
      </c>
      <c r="U452" s="1" t="str">
        <f aca="false">D452&amp;"-"&amp;E452&amp;"-"&amp;M452&amp;"-"&amp;O452&amp;"-"&amp;P452&amp;"-"&amp;Q452</f>
        <v>TRIUMPH-112 N-100|526-BLACK-38-D</v>
      </c>
      <c r="W452" s="1" t="s">
        <v>586</v>
      </c>
    </row>
    <row r="453" customFormat="false" ht="15" hidden="true" customHeight="false" outlineLevel="0" collapsed="false">
      <c r="B453" s="31" t="n">
        <v>7613113899268</v>
      </c>
      <c r="C453" s="2" t="s">
        <v>580</v>
      </c>
      <c r="D453" s="2" t="s">
        <v>581</v>
      </c>
      <c r="E453" s="61" t="s">
        <v>750</v>
      </c>
      <c r="F453" s="3" t="s">
        <v>80</v>
      </c>
      <c r="G453" s="26" t="s">
        <v>689</v>
      </c>
      <c r="H453" s="3" t="s">
        <v>70</v>
      </c>
      <c r="I453" s="3" t="s">
        <v>43</v>
      </c>
      <c r="K453" s="27" t="s">
        <v>745</v>
      </c>
      <c r="L453" s="52"/>
      <c r="M453" s="25" t="s">
        <v>745</v>
      </c>
      <c r="N453" s="61" t="s">
        <v>748</v>
      </c>
      <c r="O453" s="29" t="s">
        <v>89</v>
      </c>
      <c r="P453" s="2" t="n">
        <v>38</v>
      </c>
      <c r="Q453" s="29" t="s">
        <v>97</v>
      </c>
      <c r="R453" s="86" t="n">
        <v>1221.06</v>
      </c>
      <c r="S453" s="86" t="n">
        <v>1899</v>
      </c>
      <c r="T453" s="30" t="n">
        <v>1</v>
      </c>
      <c r="U453" s="1" t="str">
        <f aca="false">D453&amp;"-"&amp;E453&amp;"-"&amp;M453&amp;"-"&amp;O453&amp;"-"&amp;P453&amp;"-"&amp;Q453</f>
        <v>TRIUMPH-113 N-100|526-BLUE-38-D</v>
      </c>
    </row>
    <row r="454" customFormat="false" ht="15" hidden="true" customHeight="false" outlineLevel="0" collapsed="false">
      <c r="B454" s="31" t="n">
        <v>7613113034850</v>
      </c>
      <c r="C454" s="2" t="s">
        <v>580</v>
      </c>
      <c r="D454" s="2" t="s">
        <v>581</v>
      </c>
      <c r="E454" s="61" t="s">
        <v>747</v>
      </c>
      <c r="F454" s="3" t="s">
        <v>80</v>
      </c>
      <c r="G454" s="26" t="s">
        <v>689</v>
      </c>
      <c r="H454" s="3" t="s">
        <v>70</v>
      </c>
      <c r="I454" s="3" t="s">
        <v>43</v>
      </c>
      <c r="K454" s="27" t="s">
        <v>745</v>
      </c>
      <c r="L454" s="52"/>
      <c r="M454" s="25" t="s">
        <v>745</v>
      </c>
      <c r="N454" s="86" t="s">
        <v>749</v>
      </c>
      <c r="O454" s="29" t="s">
        <v>465</v>
      </c>
      <c r="P454" s="2" t="n">
        <v>38</v>
      </c>
      <c r="Q454" s="29" t="s">
        <v>97</v>
      </c>
      <c r="R454" s="86" t="n">
        <v>1221.06</v>
      </c>
      <c r="S454" s="86" t="n">
        <v>1899</v>
      </c>
      <c r="T454" s="30" t="n">
        <v>1</v>
      </c>
      <c r="U454" s="1" t="str">
        <f aca="false">D454&amp;"-"&amp;E454&amp;"-"&amp;M454&amp;"-"&amp;O454&amp;"-"&amp;P454&amp;"-"&amp;Q454</f>
        <v>TRIUMPH-112 N-100|526-SKIN-38-D</v>
      </c>
      <c r="W454" s="1" t="s">
        <v>586</v>
      </c>
    </row>
    <row r="455" customFormat="false" ht="15" hidden="true" customHeight="false" outlineLevel="0" collapsed="false">
      <c r="B455" s="31" t="n">
        <v>7613113034928</v>
      </c>
      <c r="C455" s="2" t="s">
        <v>580</v>
      </c>
      <c r="D455" s="2" t="s">
        <v>581</v>
      </c>
      <c r="E455" s="61" t="s">
        <v>747</v>
      </c>
      <c r="F455" s="3" t="s">
        <v>80</v>
      </c>
      <c r="G455" s="26" t="s">
        <v>689</v>
      </c>
      <c r="H455" s="3" t="s">
        <v>70</v>
      </c>
      <c r="I455" s="3" t="s">
        <v>43</v>
      </c>
      <c r="K455" s="27" t="s">
        <v>745</v>
      </c>
      <c r="L455" s="52"/>
      <c r="M455" s="25" t="s">
        <v>745</v>
      </c>
      <c r="N455" s="86" t="s">
        <v>749</v>
      </c>
      <c r="O455" s="29" t="s">
        <v>465</v>
      </c>
      <c r="P455" s="2" t="n">
        <v>38</v>
      </c>
      <c r="Q455" s="29" t="s">
        <v>66</v>
      </c>
      <c r="R455" s="86" t="n">
        <v>1221.06</v>
      </c>
      <c r="S455" s="86" t="n">
        <v>1899</v>
      </c>
      <c r="T455" s="30" t="n">
        <v>1</v>
      </c>
      <c r="U455" s="1" t="str">
        <f aca="false">D455&amp;"-"&amp;E455&amp;"-"&amp;M455&amp;"-"&amp;O455&amp;"-"&amp;P455&amp;"-"&amp;Q455</f>
        <v>TRIUMPH-112 N-100|526-SKIN-38-E</v>
      </c>
      <c r="W455" s="1" t="s">
        <v>586</v>
      </c>
    </row>
    <row r="456" customFormat="false" ht="15" hidden="true" customHeight="false" outlineLevel="0" collapsed="false">
      <c r="B456" s="31" t="n">
        <v>7613141155725</v>
      </c>
      <c r="C456" s="2" t="s">
        <v>580</v>
      </c>
      <c r="D456" s="2" t="s">
        <v>581</v>
      </c>
      <c r="E456" s="61" t="s">
        <v>747</v>
      </c>
      <c r="F456" s="3" t="s">
        <v>80</v>
      </c>
      <c r="G456" s="26" t="s">
        <v>689</v>
      </c>
      <c r="H456" s="3" t="s">
        <v>70</v>
      </c>
      <c r="I456" s="3" t="s">
        <v>43</v>
      </c>
      <c r="K456" s="27" t="s">
        <v>745</v>
      </c>
      <c r="L456" s="52"/>
      <c r="M456" s="25" t="s">
        <v>745</v>
      </c>
      <c r="N456" s="86" t="s">
        <v>721</v>
      </c>
      <c r="O456" s="29" t="s">
        <v>465</v>
      </c>
      <c r="P456" s="2" t="n">
        <v>38</v>
      </c>
      <c r="Q456" s="29" t="s">
        <v>66</v>
      </c>
      <c r="R456" s="86" t="n">
        <v>1221.06</v>
      </c>
      <c r="S456" s="86" t="n">
        <v>1899</v>
      </c>
      <c r="T456" s="30" t="n">
        <v>0</v>
      </c>
      <c r="U456" s="1" t="str">
        <f aca="false">D456&amp;"-"&amp;E456&amp;"-"&amp;M456&amp;"-"&amp;O456&amp;"-"&amp;P456&amp;"-"&amp;Q456</f>
        <v>TRIUMPH-112 N-100|526-SKIN-38-E</v>
      </c>
      <c r="W456" s="1" t="s">
        <v>586</v>
      </c>
    </row>
    <row r="457" customFormat="false" ht="15" hidden="true" customHeight="false" outlineLevel="0" collapsed="false">
      <c r="B457" s="31" t="n">
        <v>7613113513331</v>
      </c>
      <c r="C457" s="2" t="s">
        <v>580</v>
      </c>
      <c r="D457" s="2" t="s">
        <v>581</v>
      </c>
      <c r="E457" s="61" t="s">
        <v>747</v>
      </c>
      <c r="F457" s="3" t="s">
        <v>80</v>
      </c>
      <c r="G457" s="26" t="s">
        <v>689</v>
      </c>
      <c r="H457" s="3" t="s">
        <v>70</v>
      </c>
      <c r="I457" s="3" t="s">
        <v>43</v>
      </c>
      <c r="K457" s="27" t="s">
        <v>745</v>
      </c>
      <c r="L457" s="52"/>
      <c r="M457" s="25" t="s">
        <v>745</v>
      </c>
      <c r="N457" s="61" t="s">
        <v>617</v>
      </c>
      <c r="O457" s="29" t="s">
        <v>77</v>
      </c>
      <c r="P457" s="2" t="n">
        <v>38</v>
      </c>
      <c r="Q457" s="29" t="s">
        <v>66</v>
      </c>
      <c r="R457" s="86" t="n">
        <v>1221.06</v>
      </c>
      <c r="S457" s="86" t="n">
        <v>1899</v>
      </c>
      <c r="T457" s="30" t="n">
        <v>2</v>
      </c>
      <c r="U457" s="1" t="str">
        <f aca="false">D457&amp;"-"&amp;E457&amp;"-"&amp;M457&amp;"-"&amp;O457&amp;"-"&amp;P457&amp;"-"&amp;Q457</f>
        <v>TRIUMPH-112 N-100|526-BLACK-38-E</v>
      </c>
      <c r="W457" s="1" t="s">
        <v>586</v>
      </c>
    </row>
    <row r="458" customFormat="false" ht="15" hidden="true" customHeight="false" outlineLevel="0" collapsed="false">
      <c r="B458" s="31" t="n">
        <v>7613113899312</v>
      </c>
      <c r="C458" s="2" t="s">
        <v>580</v>
      </c>
      <c r="D458" s="2" t="s">
        <v>581</v>
      </c>
      <c r="E458" s="61" t="s">
        <v>747</v>
      </c>
      <c r="F458" s="3" t="s">
        <v>80</v>
      </c>
      <c r="G458" s="26" t="s">
        <v>689</v>
      </c>
      <c r="H458" s="3" t="s">
        <v>70</v>
      </c>
      <c r="I458" s="3" t="s">
        <v>43</v>
      </c>
      <c r="K458" s="27" t="s">
        <v>745</v>
      </c>
      <c r="L458" s="52"/>
      <c r="M458" s="25" t="s">
        <v>745</v>
      </c>
      <c r="N458" s="86" t="s">
        <v>748</v>
      </c>
      <c r="O458" s="29" t="s">
        <v>89</v>
      </c>
      <c r="P458" s="2" t="n">
        <v>38</v>
      </c>
      <c r="Q458" s="29" t="s">
        <v>66</v>
      </c>
      <c r="R458" s="86" t="n">
        <v>1221.06</v>
      </c>
      <c r="S458" s="86" t="n">
        <v>1899</v>
      </c>
      <c r="T458" s="30" t="n">
        <v>1</v>
      </c>
      <c r="U458" s="1" t="str">
        <f aca="false">D458&amp;"-"&amp;E458&amp;"-"&amp;M458&amp;"-"&amp;O458&amp;"-"&amp;P458&amp;"-"&amp;Q458</f>
        <v>TRIUMPH-112 N-100|526-BLUE-38-E</v>
      </c>
      <c r="W458" s="1" t="s">
        <v>586</v>
      </c>
    </row>
    <row r="459" customFormat="false" ht="15" hidden="true" customHeight="false" outlineLevel="0" collapsed="false">
      <c r="B459" s="31" t="n">
        <v>7613113513379</v>
      </c>
      <c r="C459" s="2" t="s">
        <v>580</v>
      </c>
      <c r="D459" s="2" t="s">
        <v>581</v>
      </c>
      <c r="E459" s="61" t="s">
        <v>747</v>
      </c>
      <c r="F459" s="3" t="s">
        <v>80</v>
      </c>
      <c r="G459" s="26" t="s">
        <v>689</v>
      </c>
      <c r="H459" s="3" t="s">
        <v>70</v>
      </c>
      <c r="I459" s="3" t="s">
        <v>43</v>
      </c>
      <c r="K459" s="27" t="s">
        <v>745</v>
      </c>
      <c r="L459" s="52"/>
      <c r="M459" s="25" t="s">
        <v>745</v>
      </c>
      <c r="N459" s="61" t="s">
        <v>617</v>
      </c>
      <c r="O459" s="29" t="s">
        <v>77</v>
      </c>
      <c r="P459" s="2" t="n">
        <v>38</v>
      </c>
      <c r="Q459" s="29" t="s">
        <v>50</v>
      </c>
      <c r="R459" s="86" t="n">
        <v>1221.06</v>
      </c>
      <c r="S459" s="86" t="n">
        <v>1899</v>
      </c>
      <c r="T459" s="30" t="n">
        <v>1</v>
      </c>
      <c r="U459" s="1" t="str">
        <f aca="false">D459&amp;"-"&amp;E459&amp;"-"&amp;M459&amp;"-"&amp;O459&amp;"-"&amp;P459&amp;"-"&amp;Q459</f>
        <v>TRIUMPH-112 N-100|526-BLACK-38-F</v>
      </c>
      <c r="W459" s="1" t="s">
        <v>586</v>
      </c>
    </row>
    <row r="460" customFormat="false" ht="15" hidden="true" customHeight="false" outlineLevel="0" collapsed="false">
      <c r="B460" s="31" t="n">
        <v>7613113034997</v>
      </c>
      <c r="C460" s="2" t="s">
        <v>580</v>
      </c>
      <c r="D460" s="2" t="s">
        <v>581</v>
      </c>
      <c r="E460" s="61" t="s">
        <v>747</v>
      </c>
      <c r="F460" s="3" t="s">
        <v>80</v>
      </c>
      <c r="G460" s="26" t="s">
        <v>689</v>
      </c>
      <c r="H460" s="3" t="s">
        <v>70</v>
      </c>
      <c r="I460" s="3" t="s">
        <v>43</v>
      </c>
      <c r="K460" s="27" t="s">
        <v>745</v>
      </c>
      <c r="L460" s="52"/>
      <c r="M460" s="25" t="s">
        <v>745</v>
      </c>
      <c r="N460" s="86" t="s">
        <v>749</v>
      </c>
      <c r="O460" s="29" t="s">
        <v>465</v>
      </c>
      <c r="P460" s="2" t="n">
        <v>38</v>
      </c>
      <c r="Q460" s="29" t="s">
        <v>50</v>
      </c>
      <c r="R460" s="86" t="n">
        <v>1221.06</v>
      </c>
      <c r="S460" s="86" t="n">
        <v>1899</v>
      </c>
      <c r="T460" s="30" t="n">
        <v>1</v>
      </c>
      <c r="U460" s="1" t="str">
        <f aca="false">D460&amp;"-"&amp;E460&amp;"-"&amp;M460&amp;"-"&amp;O460&amp;"-"&amp;P460&amp;"-"&amp;Q460</f>
        <v>TRIUMPH-112 N-100|526-SKIN-38-F</v>
      </c>
      <c r="W460" s="1" t="s">
        <v>586</v>
      </c>
    </row>
    <row r="461" customFormat="false" ht="15" hidden="true" customHeight="false" outlineLevel="0" collapsed="false">
      <c r="B461" s="31" t="n">
        <v>7613113899367</v>
      </c>
      <c r="C461" s="2" t="s">
        <v>580</v>
      </c>
      <c r="D461" s="2" t="s">
        <v>581</v>
      </c>
      <c r="E461" s="61" t="s">
        <v>747</v>
      </c>
      <c r="F461" s="3" t="s">
        <v>80</v>
      </c>
      <c r="G461" s="26" t="s">
        <v>689</v>
      </c>
      <c r="H461" s="3" t="s">
        <v>70</v>
      </c>
      <c r="I461" s="3" t="s">
        <v>43</v>
      </c>
      <c r="K461" s="27" t="s">
        <v>745</v>
      </c>
      <c r="L461" s="52"/>
      <c r="M461" s="25" t="s">
        <v>745</v>
      </c>
      <c r="N461" s="86" t="s">
        <v>748</v>
      </c>
      <c r="O461" s="29" t="s">
        <v>89</v>
      </c>
      <c r="P461" s="2" t="n">
        <v>38</v>
      </c>
      <c r="Q461" s="29" t="s">
        <v>50</v>
      </c>
      <c r="R461" s="86" t="n">
        <v>1221.06</v>
      </c>
      <c r="S461" s="86" t="n">
        <v>1899</v>
      </c>
      <c r="T461" s="30" t="n">
        <v>1</v>
      </c>
      <c r="U461" s="1" t="str">
        <f aca="false">D461&amp;"-"&amp;E461&amp;"-"&amp;M461&amp;"-"&amp;O461&amp;"-"&amp;P461&amp;"-"&amp;Q461</f>
        <v>TRIUMPH-112 N-100|526-BLUE-38-F</v>
      </c>
      <c r="W461" s="1" t="s">
        <v>586</v>
      </c>
    </row>
    <row r="462" customFormat="false" ht="15" hidden="true" customHeight="false" outlineLevel="0" collapsed="false">
      <c r="B462" s="31" t="n">
        <v>7613113034874</v>
      </c>
      <c r="C462" s="2" t="s">
        <v>580</v>
      </c>
      <c r="D462" s="2" t="s">
        <v>581</v>
      </c>
      <c r="E462" s="61" t="s">
        <v>747</v>
      </c>
      <c r="F462" s="3" t="s">
        <v>80</v>
      </c>
      <c r="G462" s="26" t="s">
        <v>689</v>
      </c>
      <c r="H462" s="3" t="s">
        <v>70</v>
      </c>
      <c r="I462" s="3" t="s">
        <v>43</v>
      </c>
      <c r="K462" s="27" t="s">
        <v>745</v>
      </c>
      <c r="L462" s="52"/>
      <c r="M462" s="25" t="s">
        <v>745</v>
      </c>
      <c r="N462" s="86" t="s">
        <v>749</v>
      </c>
      <c r="O462" s="29" t="s">
        <v>465</v>
      </c>
      <c r="P462" s="2" t="n">
        <v>40</v>
      </c>
      <c r="Q462" s="29" t="s">
        <v>97</v>
      </c>
      <c r="R462" s="86" t="n">
        <v>1221.06</v>
      </c>
      <c r="S462" s="86" t="n">
        <v>1899</v>
      </c>
      <c r="T462" s="30" t="n">
        <v>1</v>
      </c>
      <c r="U462" s="1" t="str">
        <f aca="false">D462&amp;"-"&amp;E462&amp;"-"&amp;M462&amp;"-"&amp;O462&amp;"-"&amp;P462&amp;"-"&amp;Q462</f>
        <v>TRIUMPH-112 N-100|526-SKIN-40-D</v>
      </c>
      <c r="W462" s="1" t="s">
        <v>586</v>
      </c>
    </row>
    <row r="463" customFormat="false" ht="15" hidden="true" customHeight="false" outlineLevel="0" collapsed="false">
      <c r="B463" s="31" t="n">
        <v>7613113513300</v>
      </c>
      <c r="C463" s="2" t="s">
        <v>580</v>
      </c>
      <c r="D463" s="2" t="s">
        <v>581</v>
      </c>
      <c r="E463" s="61" t="s">
        <v>747</v>
      </c>
      <c r="F463" s="3" t="s">
        <v>80</v>
      </c>
      <c r="G463" s="26" t="s">
        <v>689</v>
      </c>
      <c r="H463" s="3" t="s">
        <v>70</v>
      </c>
      <c r="I463" s="3" t="s">
        <v>43</v>
      </c>
      <c r="K463" s="27" t="s">
        <v>745</v>
      </c>
      <c r="L463" s="52"/>
      <c r="M463" s="25" t="s">
        <v>745</v>
      </c>
      <c r="N463" s="61" t="s">
        <v>617</v>
      </c>
      <c r="O463" s="29" t="s">
        <v>77</v>
      </c>
      <c r="P463" s="2" t="n">
        <v>40</v>
      </c>
      <c r="Q463" s="29" t="s">
        <v>97</v>
      </c>
      <c r="R463" s="86" t="n">
        <v>1221.06</v>
      </c>
      <c r="S463" s="86" t="n">
        <v>1899</v>
      </c>
      <c r="T463" s="30" t="n">
        <v>1</v>
      </c>
      <c r="U463" s="1" t="str">
        <f aca="false">D463&amp;"-"&amp;E463&amp;"-"&amp;M463&amp;"-"&amp;O463&amp;"-"&amp;P463&amp;"-"&amp;Q463</f>
        <v>TRIUMPH-112 N-100|526-BLACK-40-D</v>
      </c>
      <c r="W463" s="1" t="s">
        <v>586</v>
      </c>
    </row>
    <row r="464" customFormat="false" ht="15" hidden="true" customHeight="false" outlineLevel="0" collapsed="false">
      <c r="B464" s="31" t="n">
        <v>7613113513348</v>
      </c>
      <c r="C464" s="2" t="s">
        <v>580</v>
      </c>
      <c r="D464" s="2" t="s">
        <v>581</v>
      </c>
      <c r="E464" s="61" t="s">
        <v>747</v>
      </c>
      <c r="F464" s="3" t="s">
        <v>80</v>
      </c>
      <c r="G464" s="26" t="s">
        <v>689</v>
      </c>
      <c r="H464" s="3" t="s">
        <v>70</v>
      </c>
      <c r="I464" s="3" t="s">
        <v>43</v>
      </c>
      <c r="K464" s="27" t="s">
        <v>745</v>
      </c>
      <c r="L464" s="52"/>
      <c r="M464" s="25" t="s">
        <v>745</v>
      </c>
      <c r="N464" s="61" t="s">
        <v>617</v>
      </c>
      <c r="O464" s="29" t="s">
        <v>77</v>
      </c>
      <c r="P464" s="2" t="n">
        <v>40</v>
      </c>
      <c r="Q464" s="29" t="s">
        <v>66</v>
      </c>
      <c r="R464" s="86" t="n">
        <v>1221.06</v>
      </c>
      <c r="S464" s="86" t="n">
        <v>1899</v>
      </c>
      <c r="T464" s="30" t="n">
        <v>1</v>
      </c>
      <c r="U464" s="1" t="str">
        <f aca="false">D464&amp;"-"&amp;E464&amp;"-"&amp;M464&amp;"-"&amp;O464&amp;"-"&amp;P464&amp;"-"&amp;Q464</f>
        <v>TRIUMPH-112 N-100|526-BLACK-40-E</v>
      </c>
      <c r="W464" s="1" t="s">
        <v>586</v>
      </c>
    </row>
    <row r="465" customFormat="false" ht="15" hidden="true" customHeight="false" outlineLevel="0" collapsed="false">
      <c r="B465" s="31" t="n">
        <v>7613141155732</v>
      </c>
      <c r="C465" s="2" t="s">
        <v>580</v>
      </c>
      <c r="D465" s="2" t="s">
        <v>581</v>
      </c>
      <c r="E465" s="61" t="s">
        <v>747</v>
      </c>
      <c r="F465" s="3" t="s">
        <v>80</v>
      </c>
      <c r="G465" s="26" t="s">
        <v>689</v>
      </c>
      <c r="H465" s="3" t="s">
        <v>70</v>
      </c>
      <c r="I465" s="3" t="s">
        <v>43</v>
      </c>
      <c r="K465" s="27" t="s">
        <v>745</v>
      </c>
      <c r="L465" s="52"/>
      <c r="M465" s="25" t="s">
        <v>745</v>
      </c>
      <c r="N465" s="86" t="s">
        <v>721</v>
      </c>
      <c r="O465" s="29" t="s">
        <v>465</v>
      </c>
      <c r="P465" s="2" t="n">
        <v>40</v>
      </c>
      <c r="Q465" s="29" t="s">
        <v>66</v>
      </c>
      <c r="R465" s="86" t="n">
        <v>1221.06</v>
      </c>
      <c r="S465" s="86" t="n">
        <v>1899</v>
      </c>
      <c r="T465" s="30" t="n">
        <v>0</v>
      </c>
      <c r="U465" s="1" t="str">
        <f aca="false">D465&amp;"-"&amp;E465&amp;"-"&amp;M465&amp;"-"&amp;O465&amp;"-"&amp;P465&amp;"-"&amp;Q465</f>
        <v>TRIUMPH-112 N-100|526-SKIN-40-E</v>
      </c>
      <c r="W465" s="1" t="s">
        <v>586</v>
      </c>
    </row>
    <row r="466" customFormat="false" ht="15" hidden="true" customHeight="false" outlineLevel="0" collapsed="false">
      <c r="B466" s="31" t="n">
        <v>7613113034935</v>
      </c>
      <c r="C466" s="2" t="s">
        <v>580</v>
      </c>
      <c r="D466" s="2" t="s">
        <v>581</v>
      </c>
      <c r="E466" s="61" t="s">
        <v>747</v>
      </c>
      <c r="F466" s="3" t="s">
        <v>80</v>
      </c>
      <c r="G466" s="26" t="s">
        <v>689</v>
      </c>
      <c r="H466" s="3" t="s">
        <v>70</v>
      </c>
      <c r="I466" s="3" t="s">
        <v>43</v>
      </c>
      <c r="K466" s="27" t="s">
        <v>745</v>
      </c>
      <c r="L466" s="52"/>
      <c r="M466" s="25" t="s">
        <v>745</v>
      </c>
      <c r="N466" s="86" t="s">
        <v>749</v>
      </c>
      <c r="O466" s="29" t="s">
        <v>465</v>
      </c>
      <c r="P466" s="2" t="n">
        <v>40</v>
      </c>
      <c r="Q466" s="29" t="s">
        <v>66</v>
      </c>
      <c r="R466" s="86" t="n">
        <v>1221.06</v>
      </c>
      <c r="S466" s="86" t="n">
        <v>1899</v>
      </c>
      <c r="T466" s="30" t="n">
        <v>1</v>
      </c>
      <c r="U466" s="1" t="str">
        <f aca="false">D466&amp;"-"&amp;E466&amp;"-"&amp;M466&amp;"-"&amp;O466&amp;"-"&amp;P466&amp;"-"&amp;Q466</f>
        <v>TRIUMPH-112 N-100|526-SKIN-40-E</v>
      </c>
      <c r="W466" s="1" t="s">
        <v>586</v>
      </c>
    </row>
    <row r="467" customFormat="false" ht="15" hidden="true" customHeight="false" outlineLevel="0" collapsed="false">
      <c r="B467" s="31" t="n">
        <v>7613113899329</v>
      </c>
      <c r="C467" s="2" t="s">
        <v>580</v>
      </c>
      <c r="D467" s="2" t="s">
        <v>581</v>
      </c>
      <c r="E467" s="61" t="s">
        <v>747</v>
      </c>
      <c r="F467" s="3" t="s">
        <v>80</v>
      </c>
      <c r="G467" s="26" t="s">
        <v>689</v>
      </c>
      <c r="H467" s="3" t="s">
        <v>70</v>
      </c>
      <c r="I467" s="3" t="s">
        <v>43</v>
      </c>
      <c r="K467" s="27" t="s">
        <v>745</v>
      </c>
      <c r="L467" s="52"/>
      <c r="M467" s="25" t="s">
        <v>745</v>
      </c>
      <c r="N467" s="86" t="s">
        <v>748</v>
      </c>
      <c r="O467" s="86" t="s">
        <v>89</v>
      </c>
      <c r="P467" s="2" t="n">
        <v>40</v>
      </c>
      <c r="Q467" s="29" t="s">
        <v>66</v>
      </c>
      <c r="R467" s="86" t="n">
        <v>1221.06</v>
      </c>
      <c r="S467" s="86" t="n">
        <v>1899</v>
      </c>
      <c r="T467" s="30" t="n">
        <v>1</v>
      </c>
      <c r="U467" s="1" t="str">
        <f aca="false">D467&amp;"-"&amp;E467&amp;"-"&amp;M467&amp;"-"&amp;O467&amp;"-"&amp;P467&amp;"-"&amp;Q467</f>
        <v>TRIUMPH-112 N-100|526-BLUE-40-E</v>
      </c>
      <c r="W467" s="1" t="s">
        <v>586</v>
      </c>
    </row>
    <row r="468" customFormat="false" ht="15" hidden="true" customHeight="false" outlineLevel="0" collapsed="false">
      <c r="B468" s="31" t="n">
        <v>7613141155770</v>
      </c>
      <c r="C468" s="2" t="s">
        <v>580</v>
      </c>
      <c r="D468" s="2" t="s">
        <v>581</v>
      </c>
      <c r="E468" s="61" t="s">
        <v>747</v>
      </c>
      <c r="F468" s="3" t="s">
        <v>80</v>
      </c>
      <c r="G468" s="26" t="s">
        <v>689</v>
      </c>
      <c r="H468" s="3" t="s">
        <v>70</v>
      </c>
      <c r="I468" s="3" t="s">
        <v>43</v>
      </c>
      <c r="K468" s="27" t="s">
        <v>745</v>
      </c>
      <c r="L468" s="52"/>
      <c r="M468" s="25" t="s">
        <v>745</v>
      </c>
      <c r="N468" s="61" t="s">
        <v>617</v>
      </c>
      <c r="O468" s="29" t="s">
        <v>77</v>
      </c>
      <c r="P468" s="2" t="n">
        <v>40</v>
      </c>
      <c r="Q468" s="29" t="s">
        <v>50</v>
      </c>
      <c r="R468" s="86" t="n">
        <v>1221.06</v>
      </c>
      <c r="S468" s="86" t="n">
        <v>1899</v>
      </c>
      <c r="T468" s="30" t="n">
        <v>1</v>
      </c>
      <c r="U468" s="1" t="str">
        <f aca="false">D468&amp;"-"&amp;E468&amp;"-"&amp;M468&amp;"-"&amp;O468&amp;"-"&amp;P468&amp;"-"&amp;Q468</f>
        <v>TRIUMPH-112 N-100|526-BLACK-40-F</v>
      </c>
      <c r="W468" s="1" t="s">
        <v>586</v>
      </c>
    </row>
    <row r="469" customFormat="false" ht="15" hidden="true" customHeight="false" outlineLevel="0" collapsed="false">
      <c r="B469" s="31" t="n">
        <v>7613113513386</v>
      </c>
      <c r="C469" s="2" t="s">
        <v>580</v>
      </c>
      <c r="D469" s="2" t="s">
        <v>581</v>
      </c>
      <c r="E469" s="61" t="s">
        <v>747</v>
      </c>
      <c r="F469" s="3" t="s">
        <v>80</v>
      </c>
      <c r="G469" s="26" t="s">
        <v>689</v>
      </c>
      <c r="H469" s="3" t="s">
        <v>70</v>
      </c>
      <c r="I469" s="3" t="s">
        <v>43</v>
      </c>
      <c r="K469" s="27" t="s">
        <v>745</v>
      </c>
      <c r="L469" s="52"/>
      <c r="M469" s="25" t="s">
        <v>745</v>
      </c>
      <c r="N469" s="86" t="s">
        <v>721</v>
      </c>
      <c r="O469" s="29" t="s">
        <v>465</v>
      </c>
      <c r="P469" s="2" t="n">
        <v>40</v>
      </c>
      <c r="Q469" s="29" t="s">
        <v>50</v>
      </c>
      <c r="R469" s="86" t="n">
        <v>1221.06</v>
      </c>
      <c r="S469" s="86" t="n">
        <v>1899</v>
      </c>
      <c r="T469" s="30" t="n">
        <v>1</v>
      </c>
      <c r="U469" s="1" t="str">
        <f aca="false">D469&amp;"-"&amp;E469&amp;"-"&amp;M469&amp;"-"&amp;O469&amp;"-"&amp;P469&amp;"-"&amp;Q469</f>
        <v>TRIUMPH-112 N-100|526-SKIN-40-F</v>
      </c>
      <c r="W469" s="1" t="s">
        <v>586</v>
      </c>
    </row>
    <row r="470" customFormat="false" ht="15" hidden="true" customHeight="false" outlineLevel="0" collapsed="false">
      <c r="B470" s="31" t="n">
        <v>7611358665815</v>
      </c>
      <c r="C470" s="2" t="s">
        <v>580</v>
      </c>
      <c r="D470" s="2" t="s">
        <v>581</v>
      </c>
      <c r="E470" s="29" t="s">
        <v>751</v>
      </c>
      <c r="F470" s="3" t="s">
        <v>80</v>
      </c>
      <c r="G470" s="14" t="s">
        <v>41</v>
      </c>
      <c r="H470" s="3" t="s">
        <v>70</v>
      </c>
      <c r="I470" s="3" t="s">
        <v>43</v>
      </c>
      <c r="K470" s="19" t="s">
        <v>752</v>
      </c>
      <c r="L470" s="52"/>
      <c r="M470" s="17" t="s">
        <v>752</v>
      </c>
      <c r="N470" s="86" t="s">
        <v>753</v>
      </c>
      <c r="O470" s="29" t="s">
        <v>607</v>
      </c>
      <c r="P470" s="2" t="n">
        <v>34</v>
      </c>
      <c r="Q470" s="29" t="s">
        <v>97</v>
      </c>
      <c r="R470" s="2" t="n">
        <v>1606.86</v>
      </c>
      <c r="S470" s="2" t="n">
        <v>2499</v>
      </c>
      <c r="T470" s="30" t="n">
        <v>1</v>
      </c>
      <c r="U470" s="1" t="str">
        <f aca="false">D470&amp;"-"&amp;E470&amp;"-"&amp;M470&amp;"-"&amp;O470&amp;"-"&amp;P470&amp;"-"&amp;Q470</f>
        <v>TRIUMPH-AZALEA W-151|452-MAROON-34-D</v>
      </c>
      <c r="W470" s="1" t="s">
        <v>586</v>
      </c>
    </row>
    <row r="471" customFormat="false" ht="15" hidden="true" customHeight="false" outlineLevel="0" collapsed="false">
      <c r="B471" s="31" t="n">
        <v>7611358666706</v>
      </c>
      <c r="C471" s="2" t="s">
        <v>580</v>
      </c>
      <c r="D471" s="2" t="s">
        <v>581</v>
      </c>
      <c r="E471" s="29" t="s">
        <v>751</v>
      </c>
      <c r="F471" s="3" t="s">
        <v>80</v>
      </c>
      <c r="G471" s="14" t="s">
        <v>41</v>
      </c>
      <c r="H471" s="3" t="s">
        <v>70</v>
      </c>
      <c r="I471" s="3" t="s">
        <v>43</v>
      </c>
      <c r="K471" s="19" t="s">
        <v>752</v>
      </c>
      <c r="L471" s="52"/>
      <c r="M471" s="17" t="s">
        <v>752</v>
      </c>
      <c r="N471" s="86" t="s">
        <v>754</v>
      </c>
      <c r="O471" s="29" t="s">
        <v>755</v>
      </c>
      <c r="P471" s="2" t="n">
        <v>34</v>
      </c>
      <c r="Q471" s="29" t="s">
        <v>97</v>
      </c>
      <c r="R471" s="2" t="n">
        <v>1606.86</v>
      </c>
      <c r="S471" s="2" t="n">
        <v>2499</v>
      </c>
      <c r="T471" s="30" t="n">
        <v>1</v>
      </c>
      <c r="U471" s="1" t="str">
        <f aca="false">D471&amp;"-"&amp;E471&amp;"-"&amp;M471&amp;"-"&amp;O471&amp;"-"&amp;P471&amp;"-"&amp;Q471</f>
        <v>TRIUMPH-AZALEA W-151|452-GREY-34-D</v>
      </c>
      <c r="W471" s="1" t="s">
        <v>586</v>
      </c>
    </row>
    <row r="472" customFormat="false" ht="15" hidden="true" customHeight="false" outlineLevel="0" collapsed="false">
      <c r="B472" s="31" t="n">
        <v>7611358665853</v>
      </c>
      <c r="C472" s="2" t="s">
        <v>580</v>
      </c>
      <c r="D472" s="2" t="s">
        <v>581</v>
      </c>
      <c r="E472" s="29" t="s">
        <v>751</v>
      </c>
      <c r="F472" s="3" t="s">
        <v>80</v>
      </c>
      <c r="G472" s="14" t="s">
        <v>41</v>
      </c>
      <c r="H472" s="3" t="s">
        <v>70</v>
      </c>
      <c r="I472" s="3" t="s">
        <v>43</v>
      </c>
      <c r="K472" s="19" t="s">
        <v>752</v>
      </c>
      <c r="L472" s="52"/>
      <c r="M472" s="17" t="s">
        <v>752</v>
      </c>
      <c r="N472" s="86" t="s">
        <v>753</v>
      </c>
      <c r="O472" s="29" t="s">
        <v>607</v>
      </c>
      <c r="P472" s="2" t="n">
        <v>34</v>
      </c>
      <c r="Q472" s="29" t="s">
        <v>66</v>
      </c>
      <c r="R472" s="2" t="n">
        <v>1606.86</v>
      </c>
      <c r="S472" s="2" t="n">
        <v>2499</v>
      </c>
      <c r="T472" s="30" t="n">
        <v>1</v>
      </c>
      <c r="U472" s="1" t="str">
        <f aca="false">D472&amp;"-"&amp;E472&amp;"-"&amp;M472&amp;"-"&amp;O472&amp;"-"&amp;P472&amp;"-"&amp;Q472</f>
        <v>TRIUMPH-AZALEA W-151|452-MAROON-34-E</v>
      </c>
      <c r="W472" s="1" t="s">
        <v>586</v>
      </c>
    </row>
    <row r="473" customFormat="false" ht="15" hidden="true" customHeight="false" outlineLevel="0" collapsed="false">
      <c r="B473" s="31" t="n">
        <v>7611358666744</v>
      </c>
      <c r="C473" s="2" t="s">
        <v>580</v>
      </c>
      <c r="D473" s="2" t="s">
        <v>581</v>
      </c>
      <c r="E473" s="29" t="s">
        <v>751</v>
      </c>
      <c r="F473" s="3" t="s">
        <v>80</v>
      </c>
      <c r="G473" s="14" t="s">
        <v>41</v>
      </c>
      <c r="H473" s="3" t="s">
        <v>70</v>
      </c>
      <c r="I473" s="3" t="s">
        <v>43</v>
      </c>
      <c r="K473" s="19" t="s">
        <v>752</v>
      </c>
      <c r="L473" s="52"/>
      <c r="M473" s="17" t="s">
        <v>752</v>
      </c>
      <c r="N473" s="86" t="s">
        <v>754</v>
      </c>
      <c r="O473" s="29" t="s">
        <v>755</v>
      </c>
      <c r="P473" s="2" t="n">
        <v>34</v>
      </c>
      <c r="Q473" s="29" t="s">
        <v>66</v>
      </c>
      <c r="R473" s="2" t="n">
        <v>1606.86</v>
      </c>
      <c r="S473" s="2" t="n">
        <v>2499</v>
      </c>
      <c r="T473" s="30" t="n">
        <v>1</v>
      </c>
      <c r="U473" s="1" t="str">
        <f aca="false">D473&amp;"-"&amp;E473&amp;"-"&amp;M473&amp;"-"&amp;O473&amp;"-"&amp;P473&amp;"-"&amp;Q473</f>
        <v>TRIUMPH-AZALEA W-151|452-GREY-34-E</v>
      </c>
      <c r="W473" s="1" t="s">
        <v>586</v>
      </c>
    </row>
    <row r="474" customFormat="false" ht="15" hidden="true" customHeight="false" outlineLevel="0" collapsed="false">
      <c r="B474" s="31" t="n">
        <v>7611358665891</v>
      </c>
      <c r="C474" s="2" t="s">
        <v>580</v>
      </c>
      <c r="D474" s="2" t="s">
        <v>581</v>
      </c>
      <c r="E474" s="29" t="s">
        <v>751</v>
      </c>
      <c r="F474" s="3" t="s">
        <v>80</v>
      </c>
      <c r="G474" s="14" t="s">
        <v>41</v>
      </c>
      <c r="H474" s="3" t="s">
        <v>70</v>
      </c>
      <c r="I474" s="3" t="s">
        <v>43</v>
      </c>
      <c r="K474" s="19" t="s">
        <v>752</v>
      </c>
      <c r="L474" s="52"/>
      <c r="M474" s="17" t="s">
        <v>752</v>
      </c>
      <c r="N474" s="86" t="s">
        <v>753</v>
      </c>
      <c r="O474" s="29" t="s">
        <v>607</v>
      </c>
      <c r="P474" s="2" t="n">
        <v>34</v>
      </c>
      <c r="Q474" s="29" t="s">
        <v>50</v>
      </c>
      <c r="R474" s="2" t="n">
        <v>1606.86</v>
      </c>
      <c r="S474" s="2" t="n">
        <v>2499</v>
      </c>
      <c r="T474" s="30" t="n">
        <v>0</v>
      </c>
      <c r="U474" s="1" t="str">
        <f aca="false">D474&amp;"-"&amp;E474&amp;"-"&amp;M474&amp;"-"&amp;O474&amp;"-"&amp;P474&amp;"-"&amp;Q474</f>
        <v>TRIUMPH-AZALEA W-151|452-MAROON-34-F</v>
      </c>
      <c r="W474" s="1" t="s">
        <v>586</v>
      </c>
    </row>
    <row r="475" customFormat="false" ht="15" hidden="true" customHeight="false" outlineLevel="0" collapsed="false">
      <c r="B475" s="31" t="n">
        <v>7611358666782</v>
      </c>
      <c r="C475" s="2" t="s">
        <v>580</v>
      </c>
      <c r="D475" s="2" t="s">
        <v>581</v>
      </c>
      <c r="E475" s="29" t="s">
        <v>751</v>
      </c>
      <c r="F475" s="3" t="s">
        <v>80</v>
      </c>
      <c r="G475" s="14" t="s">
        <v>41</v>
      </c>
      <c r="H475" s="3" t="s">
        <v>70</v>
      </c>
      <c r="I475" s="3" t="s">
        <v>43</v>
      </c>
      <c r="K475" s="19" t="s">
        <v>752</v>
      </c>
      <c r="L475" s="52"/>
      <c r="M475" s="17" t="s">
        <v>752</v>
      </c>
      <c r="N475" s="86" t="s">
        <v>754</v>
      </c>
      <c r="O475" s="29" t="s">
        <v>755</v>
      </c>
      <c r="P475" s="2" t="n">
        <v>34</v>
      </c>
      <c r="Q475" s="29" t="s">
        <v>50</v>
      </c>
      <c r="R475" s="2" t="n">
        <v>1606.86</v>
      </c>
      <c r="S475" s="2" t="n">
        <v>2499</v>
      </c>
      <c r="T475" s="30" t="n">
        <v>2</v>
      </c>
      <c r="U475" s="1" t="str">
        <f aca="false">D475&amp;"-"&amp;E475&amp;"-"&amp;M475&amp;"-"&amp;O475&amp;"-"&amp;P475&amp;"-"&amp;Q475</f>
        <v>TRIUMPH-AZALEA W-151|452-GREY-34-F</v>
      </c>
      <c r="W475" s="1" t="s">
        <v>586</v>
      </c>
    </row>
    <row r="476" customFormat="false" ht="15" hidden="true" customHeight="false" outlineLevel="0" collapsed="false">
      <c r="B476" s="31" t="n">
        <v>7611358665822</v>
      </c>
      <c r="C476" s="2" t="s">
        <v>580</v>
      </c>
      <c r="D476" s="2" t="s">
        <v>581</v>
      </c>
      <c r="E476" s="29" t="s">
        <v>751</v>
      </c>
      <c r="F476" s="3" t="s">
        <v>80</v>
      </c>
      <c r="G476" s="14" t="s">
        <v>41</v>
      </c>
      <c r="H476" s="3" t="s">
        <v>70</v>
      </c>
      <c r="I476" s="3" t="s">
        <v>43</v>
      </c>
      <c r="K476" s="19" t="s">
        <v>752</v>
      </c>
      <c r="L476" s="52"/>
      <c r="M476" s="17" t="s">
        <v>752</v>
      </c>
      <c r="N476" s="86" t="s">
        <v>753</v>
      </c>
      <c r="O476" s="29" t="s">
        <v>607</v>
      </c>
      <c r="P476" s="2" t="n">
        <v>36</v>
      </c>
      <c r="Q476" s="29" t="s">
        <v>97</v>
      </c>
      <c r="R476" s="2" t="n">
        <v>1606.86</v>
      </c>
      <c r="S476" s="2" t="n">
        <v>2499</v>
      </c>
      <c r="T476" s="30" t="n">
        <v>1</v>
      </c>
      <c r="U476" s="1" t="str">
        <f aca="false">D476&amp;"-"&amp;E476&amp;"-"&amp;M476&amp;"-"&amp;O476&amp;"-"&amp;P476&amp;"-"&amp;Q476</f>
        <v>TRIUMPH-AZALEA W-151|452-MAROON-36-D</v>
      </c>
      <c r="W476" s="1" t="s">
        <v>586</v>
      </c>
    </row>
    <row r="477" customFormat="false" ht="15" hidden="true" customHeight="false" outlineLevel="0" collapsed="false">
      <c r="B477" s="31" t="n">
        <v>7611358666713</v>
      </c>
      <c r="C477" s="2" t="s">
        <v>580</v>
      </c>
      <c r="D477" s="2" t="s">
        <v>581</v>
      </c>
      <c r="E477" s="29" t="s">
        <v>751</v>
      </c>
      <c r="F477" s="3" t="s">
        <v>80</v>
      </c>
      <c r="G477" s="14" t="s">
        <v>41</v>
      </c>
      <c r="H477" s="3" t="s">
        <v>70</v>
      </c>
      <c r="I477" s="3" t="s">
        <v>43</v>
      </c>
      <c r="K477" s="19" t="s">
        <v>752</v>
      </c>
      <c r="L477" s="52"/>
      <c r="M477" s="17" t="s">
        <v>752</v>
      </c>
      <c r="N477" s="86" t="s">
        <v>754</v>
      </c>
      <c r="O477" s="29" t="s">
        <v>755</v>
      </c>
      <c r="P477" s="2" t="n">
        <v>36</v>
      </c>
      <c r="Q477" s="29" t="s">
        <v>97</v>
      </c>
      <c r="R477" s="2" t="n">
        <v>1606.86</v>
      </c>
      <c r="S477" s="2" t="n">
        <v>2499</v>
      </c>
      <c r="T477" s="30" t="n">
        <v>1</v>
      </c>
      <c r="U477" s="1" t="str">
        <f aca="false">D477&amp;"-"&amp;E477&amp;"-"&amp;M477&amp;"-"&amp;O477&amp;"-"&amp;P477&amp;"-"&amp;Q477</f>
        <v>TRIUMPH-AZALEA W-151|452-GREY-36-D</v>
      </c>
      <c r="W477" s="1" t="s">
        <v>586</v>
      </c>
    </row>
    <row r="478" customFormat="false" ht="15" hidden="true" customHeight="false" outlineLevel="0" collapsed="false">
      <c r="B478" s="31" t="n">
        <v>7611358666751</v>
      </c>
      <c r="C478" s="2" t="s">
        <v>580</v>
      </c>
      <c r="D478" s="2" t="s">
        <v>581</v>
      </c>
      <c r="E478" s="29" t="s">
        <v>751</v>
      </c>
      <c r="F478" s="3" t="s">
        <v>80</v>
      </c>
      <c r="G478" s="14" t="s">
        <v>41</v>
      </c>
      <c r="H478" s="3" t="s">
        <v>70</v>
      </c>
      <c r="I478" s="3" t="s">
        <v>43</v>
      </c>
      <c r="K478" s="19" t="s">
        <v>752</v>
      </c>
      <c r="L478" s="52"/>
      <c r="M478" s="17" t="s">
        <v>752</v>
      </c>
      <c r="N478" s="86" t="s">
        <v>754</v>
      </c>
      <c r="O478" s="29" t="s">
        <v>755</v>
      </c>
      <c r="P478" s="2" t="n">
        <v>36</v>
      </c>
      <c r="Q478" s="29" t="s">
        <v>66</v>
      </c>
      <c r="R478" s="2" t="n">
        <v>1606.86</v>
      </c>
      <c r="S478" s="2" t="n">
        <v>2499</v>
      </c>
      <c r="T478" s="30" t="n">
        <v>0</v>
      </c>
      <c r="U478" s="1" t="str">
        <f aca="false">D478&amp;"-"&amp;E478&amp;"-"&amp;M478&amp;"-"&amp;O478&amp;"-"&amp;P478&amp;"-"&amp;Q478</f>
        <v>TRIUMPH-AZALEA W-151|452-GREY-36-E</v>
      </c>
      <c r="W478" s="1" t="s">
        <v>586</v>
      </c>
    </row>
    <row r="479" customFormat="false" ht="15" hidden="true" customHeight="false" outlineLevel="0" collapsed="false">
      <c r="B479" s="31" t="n">
        <v>7611358666720</v>
      </c>
      <c r="C479" s="2" t="s">
        <v>580</v>
      </c>
      <c r="D479" s="2" t="s">
        <v>581</v>
      </c>
      <c r="E479" s="29" t="s">
        <v>751</v>
      </c>
      <c r="F479" s="3" t="s">
        <v>80</v>
      </c>
      <c r="G479" s="14" t="s">
        <v>41</v>
      </c>
      <c r="H479" s="3" t="s">
        <v>70</v>
      </c>
      <c r="I479" s="3" t="s">
        <v>43</v>
      </c>
      <c r="K479" s="19" t="s">
        <v>752</v>
      </c>
      <c r="L479" s="52"/>
      <c r="M479" s="17" t="s">
        <v>752</v>
      </c>
      <c r="N479" s="29" t="s">
        <v>754</v>
      </c>
      <c r="O479" s="29" t="s">
        <v>755</v>
      </c>
      <c r="P479" s="2" t="n">
        <v>38</v>
      </c>
      <c r="Q479" s="29" t="s">
        <v>97</v>
      </c>
      <c r="R479" s="2" t="n">
        <v>1606.86</v>
      </c>
      <c r="S479" s="2" t="n">
        <v>2499</v>
      </c>
      <c r="T479" s="30" t="n">
        <v>3</v>
      </c>
      <c r="U479" s="1" t="str">
        <f aca="false">D479&amp;"-"&amp;E479&amp;"-"&amp;M479&amp;"-"&amp;O479&amp;"-"&amp;P479&amp;"-"&amp;Q479</f>
        <v>TRIUMPH-AZALEA W-151|452-GREY-38-D</v>
      </c>
      <c r="W479" s="1" t="s">
        <v>586</v>
      </c>
    </row>
    <row r="480" customFormat="false" ht="15" hidden="true" customHeight="false" outlineLevel="0" collapsed="false">
      <c r="B480" s="31" t="n">
        <v>7611358665839</v>
      </c>
      <c r="C480" s="2" t="s">
        <v>580</v>
      </c>
      <c r="D480" s="2" t="s">
        <v>581</v>
      </c>
      <c r="E480" s="29" t="s">
        <v>751</v>
      </c>
      <c r="F480" s="3" t="s">
        <v>80</v>
      </c>
      <c r="G480" s="14" t="s">
        <v>41</v>
      </c>
      <c r="H480" s="3" t="s">
        <v>70</v>
      </c>
      <c r="I480" s="3" t="s">
        <v>43</v>
      </c>
      <c r="K480" s="19" t="s">
        <v>752</v>
      </c>
      <c r="L480" s="52"/>
      <c r="M480" s="17" t="s">
        <v>752</v>
      </c>
      <c r="N480" s="86" t="s">
        <v>753</v>
      </c>
      <c r="O480" s="29" t="s">
        <v>607</v>
      </c>
      <c r="P480" s="2" t="n">
        <v>38</v>
      </c>
      <c r="Q480" s="29" t="s">
        <v>97</v>
      </c>
      <c r="R480" s="2" t="n">
        <v>1606.86</v>
      </c>
      <c r="S480" s="2" t="n">
        <v>2499</v>
      </c>
      <c r="T480" s="30" t="n">
        <v>1</v>
      </c>
      <c r="U480" s="1" t="str">
        <f aca="false">D480&amp;"-"&amp;E480&amp;"-"&amp;M480&amp;"-"&amp;O480&amp;"-"&amp;P480&amp;"-"&amp;Q480</f>
        <v>TRIUMPH-AZALEA W-151|452-MAROON-38-D</v>
      </c>
      <c r="W480" s="1" t="s">
        <v>586</v>
      </c>
    </row>
    <row r="481" customFormat="false" ht="15" hidden="true" customHeight="false" outlineLevel="0" collapsed="false">
      <c r="B481" s="31" t="n">
        <v>7611358666218</v>
      </c>
      <c r="C481" s="2" t="s">
        <v>580</v>
      </c>
      <c r="D481" s="2" t="s">
        <v>581</v>
      </c>
      <c r="E481" s="29" t="s">
        <v>751</v>
      </c>
      <c r="F481" s="3" t="s">
        <v>80</v>
      </c>
      <c r="G481" s="14" t="s">
        <v>41</v>
      </c>
      <c r="H481" s="3" t="s">
        <v>70</v>
      </c>
      <c r="I481" s="3" t="s">
        <v>43</v>
      </c>
      <c r="K481" s="19" t="s">
        <v>752</v>
      </c>
      <c r="L481" s="52"/>
      <c r="M481" s="17" t="s">
        <v>752</v>
      </c>
      <c r="N481" s="86" t="s">
        <v>753</v>
      </c>
      <c r="O481" s="29" t="s">
        <v>607</v>
      </c>
      <c r="P481" s="2" t="n">
        <v>38</v>
      </c>
      <c r="Q481" s="29" t="s">
        <v>50</v>
      </c>
      <c r="R481" s="2" t="n">
        <v>1606.86</v>
      </c>
      <c r="S481" s="2" t="n">
        <v>2499</v>
      </c>
      <c r="T481" s="30" t="n">
        <v>1</v>
      </c>
      <c r="U481" s="1" t="str">
        <f aca="false">D481&amp;"-"&amp;E481&amp;"-"&amp;M481&amp;"-"&amp;O481&amp;"-"&amp;P481&amp;"-"&amp;Q481</f>
        <v>TRIUMPH-AZALEA W-151|452-MAROON-38-F</v>
      </c>
      <c r="W481" s="1" t="s">
        <v>586</v>
      </c>
    </row>
    <row r="482" customFormat="false" ht="15" hidden="true" customHeight="false" outlineLevel="0" collapsed="false">
      <c r="B482" s="31" t="n">
        <v>7611358665846</v>
      </c>
      <c r="C482" s="2" t="s">
        <v>580</v>
      </c>
      <c r="D482" s="2" t="s">
        <v>581</v>
      </c>
      <c r="E482" s="29" t="s">
        <v>751</v>
      </c>
      <c r="F482" s="3" t="s">
        <v>80</v>
      </c>
      <c r="G482" s="14" t="s">
        <v>41</v>
      </c>
      <c r="H482" s="3" t="s">
        <v>70</v>
      </c>
      <c r="I482" s="3" t="s">
        <v>43</v>
      </c>
      <c r="K482" s="19" t="s">
        <v>752</v>
      </c>
      <c r="L482" s="52"/>
      <c r="M482" s="17" t="s">
        <v>752</v>
      </c>
      <c r="N482" s="86" t="s">
        <v>753</v>
      </c>
      <c r="O482" s="29" t="s">
        <v>607</v>
      </c>
      <c r="P482" s="2" t="n">
        <v>40</v>
      </c>
      <c r="Q482" s="29" t="s">
        <v>97</v>
      </c>
      <c r="R482" s="2" t="n">
        <v>1606.86</v>
      </c>
      <c r="S482" s="2" t="n">
        <v>2499</v>
      </c>
      <c r="T482" s="30" t="n">
        <v>1</v>
      </c>
      <c r="U482" s="1" t="str">
        <f aca="false">D482&amp;"-"&amp;E482&amp;"-"&amp;M482&amp;"-"&amp;O482&amp;"-"&amp;P482&amp;"-"&amp;Q482</f>
        <v>TRIUMPH-AZALEA W-151|452-MAROON-40-D</v>
      </c>
      <c r="W482" s="1" t="s">
        <v>586</v>
      </c>
    </row>
    <row r="483" customFormat="false" ht="15" hidden="true" customHeight="false" outlineLevel="0" collapsed="false">
      <c r="B483" s="31" t="n">
        <v>7611358665884</v>
      </c>
      <c r="C483" s="2" t="s">
        <v>580</v>
      </c>
      <c r="D483" s="2" t="s">
        <v>581</v>
      </c>
      <c r="E483" s="29" t="s">
        <v>751</v>
      </c>
      <c r="F483" s="3" t="s">
        <v>80</v>
      </c>
      <c r="G483" s="14" t="s">
        <v>41</v>
      </c>
      <c r="H483" s="3" t="s">
        <v>70</v>
      </c>
      <c r="I483" s="3" t="s">
        <v>43</v>
      </c>
      <c r="K483" s="19" t="s">
        <v>752</v>
      </c>
      <c r="L483" s="52"/>
      <c r="M483" s="17" t="s">
        <v>752</v>
      </c>
      <c r="N483" s="86" t="s">
        <v>753</v>
      </c>
      <c r="O483" s="29" t="s">
        <v>607</v>
      </c>
      <c r="P483" s="2" t="n">
        <v>40</v>
      </c>
      <c r="Q483" s="29" t="s">
        <v>66</v>
      </c>
      <c r="R483" s="2" t="n">
        <v>1606.86</v>
      </c>
      <c r="S483" s="2" t="n">
        <v>2499</v>
      </c>
      <c r="T483" s="30" t="n">
        <v>1</v>
      </c>
      <c r="U483" s="1" t="str">
        <f aca="false">D483&amp;"-"&amp;E483&amp;"-"&amp;M483&amp;"-"&amp;O483&amp;"-"&amp;P483&amp;"-"&amp;Q483</f>
        <v>TRIUMPH-AZALEA W-151|452-MAROON-40-E</v>
      </c>
      <c r="W483" s="1" t="s">
        <v>586</v>
      </c>
    </row>
    <row r="484" customFormat="false" ht="15" hidden="true" customHeight="false" outlineLevel="0" collapsed="false">
      <c r="B484" s="31" t="n">
        <v>7611358666775</v>
      </c>
      <c r="C484" s="2" t="s">
        <v>580</v>
      </c>
      <c r="D484" s="2" t="s">
        <v>581</v>
      </c>
      <c r="E484" s="29" t="s">
        <v>751</v>
      </c>
      <c r="F484" s="3" t="s">
        <v>80</v>
      </c>
      <c r="G484" s="14" t="s">
        <v>41</v>
      </c>
      <c r="H484" s="3" t="s">
        <v>70</v>
      </c>
      <c r="I484" s="3" t="s">
        <v>43</v>
      </c>
      <c r="K484" s="19" t="s">
        <v>752</v>
      </c>
      <c r="L484" s="52"/>
      <c r="M484" s="17" t="s">
        <v>752</v>
      </c>
      <c r="N484" s="29" t="s">
        <v>754</v>
      </c>
      <c r="O484" s="29" t="s">
        <v>755</v>
      </c>
      <c r="P484" s="2" t="n">
        <v>40</v>
      </c>
      <c r="Q484" s="29" t="s">
        <v>66</v>
      </c>
      <c r="R484" s="2" t="n">
        <v>1606.86</v>
      </c>
      <c r="S484" s="2" t="n">
        <v>2499</v>
      </c>
      <c r="T484" s="30" t="n">
        <v>1</v>
      </c>
      <c r="U484" s="1" t="str">
        <f aca="false">D484&amp;"-"&amp;E484&amp;"-"&amp;M484&amp;"-"&amp;O484&amp;"-"&amp;P484&amp;"-"&amp;Q484</f>
        <v>TRIUMPH-AZALEA W-151|452-GREY-40-E</v>
      </c>
      <c r="W484" s="1" t="s">
        <v>586</v>
      </c>
    </row>
    <row r="485" customFormat="false" ht="15" hidden="true" customHeight="false" outlineLevel="0" collapsed="false">
      <c r="B485" s="31" t="n">
        <v>7611358666812</v>
      </c>
      <c r="C485" s="2" t="s">
        <v>580</v>
      </c>
      <c r="D485" s="2" t="s">
        <v>581</v>
      </c>
      <c r="E485" s="29" t="s">
        <v>751</v>
      </c>
      <c r="F485" s="3" t="s">
        <v>80</v>
      </c>
      <c r="G485" s="14" t="s">
        <v>41</v>
      </c>
      <c r="H485" s="3" t="s">
        <v>70</v>
      </c>
      <c r="I485" s="3" t="s">
        <v>43</v>
      </c>
      <c r="K485" s="19" t="s">
        <v>752</v>
      </c>
      <c r="L485" s="52"/>
      <c r="M485" s="17" t="s">
        <v>752</v>
      </c>
      <c r="N485" s="29" t="s">
        <v>754</v>
      </c>
      <c r="O485" s="29" t="s">
        <v>755</v>
      </c>
      <c r="P485" s="2" t="n">
        <v>40</v>
      </c>
      <c r="Q485" s="29" t="s">
        <v>50</v>
      </c>
      <c r="R485" s="2" t="n">
        <v>1606.86</v>
      </c>
      <c r="S485" s="2" t="n">
        <v>2499</v>
      </c>
      <c r="T485" s="30" t="n">
        <v>1</v>
      </c>
      <c r="U485" s="1" t="str">
        <f aca="false">D485&amp;"-"&amp;E485&amp;"-"&amp;M485&amp;"-"&amp;O485&amp;"-"&amp;P485&amp;"-"&amp;Q485</f>
        <v>TRIUMPH-AZALEA W-151|452-GREY-40-F</v>
      </c>
      <c r="W485" s="1" t="s">
        <v>586</v>
      </c>
    </row>
    <row r="486" customFormat="false" ht="15" hidden="true" customHeight="false" outlineLevel="0" collapsed="false">
      <c r="B486" s="31" t="n">
        <v>7611358666225</v>
      </c>
      <c r="C486" s="2" t="s">
        <v>580</v>
      </c>
      <c r="D486" s="2" t="s">
        <v>581</v>
      </c>
      <c r="E486" s="29" t="s">
        <v>751</v>
      </c>
      <c r="F486" s="3" t="s">
        <v>80</v>
      </c>
      <c r="G486" s="14" t="s">
        <v>41</v>
      </c>
      <c r="H486" s="3" t="s">
        <v>70</v>
      </c>
      <c r="I486" s="3" t="s">
        <v>43</v>
      </c>
      <c r="K486" s="19" t="s">
        <v>752</v>
      </c>
      <c r="L486" s="52"/>
      <c r="M486" s="17" t="s">
        <v>752</v>
      </c>
      <c r="N486" s="86" t="s">
        <v>753</v>
      </c>
      <c r="O486" s="29" t="s">
        <v>607</v>
      </c>
      <c r="P486" s="2" t="n">
        <v>40</v>
      </c>
      <c r="Q486" s="29" t="s">
        <v>50</v>
      </c>
      <c r="R486" s="2" t="n">
        <v>1606.86</v>
      </c>
      <c r="S486" s="2" t="n">
        <v>2499</v>
      </c>
      <c r="T486" s="30" t="n">
        <v>0</v>
      </c>
      <c r="U486" s="1" t="str">
        <f aca="false">D486&amp;"-"&amp;E486&amp;"-"&amp;M486&amp;"-"&amp;O486&amp;"-"&amp;P486&amp;"-"&amp;Q486</f>
        <v>TRIUMPH-AZALEA W-151|452-MAROON-40-F</v>
      </c>
      <c r="W486" s="1" t="s">
        <v>586</v>
      </c>
    </row>
    <row r="487" customFormat="false" ht="15" hidden="true" customHeight="false" outlineLevel="0" collapsed="false">
      <c r="B487" s="31" t="n">
        <v>7611358665761</v>
      </c>
      <c r="C487" s="2" t="s">
        <v>580</v>
      </c>
      <c r="D487" s="2" t="s">
        <v>581</v>
      </c>
      <c r="E487" s="29" t="s">
        <v>751</v>
      </c>
      <c r="F487" s="3" t="s">
        <v>80</v>
      </c>
      <c r="G487" s="14" t="s">
        <v>689</v>
      </c>
      <c r="H487" s="3" t="s">
        <v>70</v>
      </c>
      <c r="I487" s="3" t="s">
        <v>43</v>
      </c>
      <c r="K487" s="19" t="s">
        <v>756</v>
      </c>
      <c r="L487" s="52"/>
      <c r="M487" s="17" t="s">
        <v>756</v>
      </c>
      <c r="N487" s="86" t="s">
        <v>754</v>
      </c>
      <c r="O487" s="29" t="s">
        <v>755</v>
      </c>
      <c r="P487" s="2" t="n">
        <v>36</v>
      </c>
      <c r="Q487" s="29" t="s">
        <v>50</v>
      </c>
      <c r="R487" s="2" t="n">
        <v>1542.56</v>
      </c>
      <c r="S487" s="2" t="n">
        <v>2399</v>
      </c>
      <c r="T487" s="30" t="n">
        <v>0</v>
      </c>
      <c r="U487" s="1" t="str">
        <f aca="false">D487&amp;"-"&amp;E487&amp;"-"&amp;M487&amp;"-"&amp;O487&amp;"-"&amp;P487&amp;"-"&amp;Q487</f>
        <v>TRIUMPH-AZALEA W-100|576-GREY-36-F</v>
      </c>
      <c r="W487" s="1" t="s">
        <v>586</v>
      </c>
    </row>
    <row r="488" customFormat="false" ht="15" hidden="true" customHeight="false" outlineLevel="0" collapsed="false">
      <c r="B488" s="31" t="n">
        <v>7610875914581</v>
      </c>
      <c r="C488" s="2" t="s">
        <v>580</v>
      </c>
      <c r="D488" s="2" t="s">
        <v>581</v>
      </c>
      <c r="E488" s="29" t="s">
        <v>757</v>
      </c>
      <c r="F488" s="3" t="s">
        <v>80</v>
      </c>
      <c r="G488" s="14" t="s">
        <v>41</v>
      </c>
      <c r="H488" s="3" t="s">
        <v>70</v>
      </c>
      <c r="I488" s="3" t="s">
        <v>43</v>
      </c>
      <c r="K488" s="19" t="s">
        <v>758</v>
      </c>
      <c r="L488" s="52"/>
      <c r="M488" s="17" t="s">
        <v>758</v>
      </c>
      <c r="N488" s="86" t="s">
        <v>62</v>
      </c>
      <c r="O488" s="29" t="s">
        <v>755</v>
      </c>
      <c r="P488" s="2" t="n">
        <v>34</v>
      </c>
      <c r="Q488" s="29" t="s">
        <v>97</v>
      </c>
      <c r="R488" s="2" t="n">
        <v>1542.56</v>
      </c>
      <c r="S488" s="2" t="n">
        <v>2399</v>
      </c>
      <c r="T488" s="30" t="n">
        <v>2</v>
      </c>
      <c r="U488" s="1" t="str">
        <f aca="false">D488&amp;"-"&amp;E488&amp;"-"&amp;M488&amp;"-"&amp;O488&amp;"-"&amp;P488&amp;"-"&amp;Q488</f>
        <v>TRIUMPH-GORGEOUS W-151|501-GREY-34-D</v>
      </c>
    </row>
    <row r="489" customFormat="false" ht="15" hidden="true" customHeight="false" outlineLevel="0" collapsed="false">
      <c r="B489" s="31" t="n">
        <v>7613142599528</v>
      </c>
      <c r="C489" s="2" t="s">
        <v>580</v>
      </c>
      <c r="D489" s="2" t="s">
        <v>581</v>
      </c>
      <c r="E489" s="29" t="s">
        <v>757</v>
      </c>
      <c r="F489" s="3" t="s">
        <v>80</v>
      </c>
      <c r="G489" s="14" t="s">
        <v>41</v>
      </c>
      <c r="H489" s="3" t="s">
        <v>70</v>
      </c>
      <c r="I489" s="3" t="s">
        <v>43</v>
      </c>
      <c r="K489" s="19" t="s">
        <v>758</v>
      </c>
      <c r="L489" s="52"/>
      <c r="M489" s="17" t="s">
        <v>758</v>
      </c>
      <c r="N489" s="86" t="s">
        <v>759</v>
      </c>
      <c r="O489" s="29" t="s">
        <v>607</v>
      </c>
      <c r="P489" s="2" t="n">
        <v>34</v>
      </c>
      <c r="Q489" s="29" t="s">
        <v>97</v>
      </c>
      <c r="R489" s="2" t="n">
        <v>1542.56</v>
      </c>
      <c r="S489" s="2" t="n">
        <v>2399</v>
      </c>
      <c r="T489" s="30" t="n">
        <v>1</v>
      </c>
      <c r="U489" s="1" t="str">
        <f aca="false">D489&amp;"-"&amp;E489&amp;"-"&amp;M489&amp;"-"&amp;O489&amp;"-"&amp;P489&amp;"-"&amp;Q489</f>
        <v>TRIUMPH-GORGEOUS W-151|501-MAROON-34-D</v>
      </c>
    </row>
    <row r="490" customFormat="false" ht="15" hidden="true" customHeight="false" outlineLevel="0" collapsed="false">
      <c r="B490" s="31" t="n">
        <v>7610875914628</v>
      </c>
      <c r="C490" s="2" t="s">
        <v>580</v>
      </c>
      <c r="D490" s="2" t="s">
        <v>581</v>
      </c>
      <c r="E490" s="29" t="s">
        <v>757</v>
      </c>
      <c r="F490" s="3" t="s">
        <v>80</v>
      </c>
      <c r="G490" s="14" t="s">
        <v>41</v>
      </c>
      <c r="H490" s="3" t="s">
        <v>70</v>
      </c>
      <c r="I490" s="3" t="s">
        <v>43</v>
      </c>
      <c r="K490" s="19" t="s">
        <v>758</v>
      </c>
      <c r="L490" s="52"/>
      <c r="M490" s="17" t="s">
        <v>758</v>
      </c>
      <c r="N490" s="86" t="s">
        <v>759</v>
      </c>
      <c r="O490" s="29" t="s">
        <v>607</v>
      </c>
      <c r="P490" s="2" t="n">
        <v>34</v>
      </c>
      <c r="Q490" s="29" t="s">
        <v>66</v>
      </c>
      <c r="R490" s="2" t="n">
        <v>1542.56</v>
      </c>
      <c r="S490" s="2" t="n">
        <v>2399</v>
      </c>
      <c r="T490" s="30" t="n">
        <v>3</v>
      </c>
      <c r="U490" s="1" t="str">
        <f aca="false">D490&amp;"-"&amp;E490&amp;"-"&amp;M490&amp;"-"&amp;O490&amp;"-"&amp;P490&amp;"-"&amp;Q490</f>
        <v>TRIUMPH-GORGEOUS W-151|501-MAROON-34-E</v>
      </c>
    </row>
    <row r="491" customFormat="false" ht="15" hidden="true" customHeight="false" outlineLevel="0" collapsed="false">
      <c r="B491" s="31" t="n">
        <v>7613142599566</v>
      </c>
      <c r="C491" s="2" t="s">
        <v>580</v>
      </c>
      <c r="D491" s="2" t="s">
        <v>581</v>
      </c>
      <c r="E491" s="29" t="s">
        <v>757</v>
      </c>
      <c r="F491" s="3" t="s">
        <v>80</v>
      </c>
      <c r="G491" s="14" t="s">
        <v>41</v>
      </c>
      <c r="H491" s="3" t="s">
        <v>70</v>
      </c>
      <c r="I491" s="3" t="s">
        <v>43</v>
      </c>
      <c r="K491" s="19" t="s">
        <v>758</v>
      </c>
      <c r="L491" s="52"/>
      <c r="M491" s="17" t="s">
        <v>758</v>
      </c>
      <c r="N491" s="86" t="s">
        <v>62</v>
      </c>
      <c r="O491" s="29" t="s">
        <v>755</v>
      </c>
      <c r="P491" s="2" t="n">
        <v>34</v>
      </c>
      <c r="Q491" s="29" t="s">
        <v>66</v>
      </c>
      <c r="R491" s="2" t="n">
        <v>1542.56</v>
      </c>
      <c r="S491" s="2" t="n">
        <v>2399</v>
      </c>
      <c r="T491" s="30" t="n">
        <v>1</v>
      </c>
      <c r="U491" s="1" t="str">
        <f aca="false">D491&amp;"-"&amp;E491&amp;"-"&amp;M491&amp;"-"&amp;O491&amp;"-"&amp;P491&amp;"-"&amp;Q491</f>
        <v>TRIUMPH-GORGEOUS W-151|501-GREY-34-E</v>
      </c>
    </row>
    <row r="492" customFormat="false" ht="15" hidden="true" customHeight="false" outlineLevel="0" collapsed="false">
      <c r="B492" s="31" t="n">
        <v>7610875914703</v>
      </c>
      <c r="C492" s="2" t="s">
        <v>580</v>
      </c>
      <c r="D492" s="2" t="s">
        <v>581</v>
      </c>
      <c r="E492" s="29" t="s">
        <v>757</v>
      </c>
      <c r="F492" s="3" t="s">
        <v>80</v>
      </c>
      <c r="G492" s="14" t="s">
        <v>41</v>
      </c>
      <c r="H492" s="3" t="s">
        <v>70</v>
      </c>
      <c r="I492" s="3" t="s">
        <v>43</v>
      </c>
      <c r="K492" s="19" t="s">
        <v>758</v>
      </c>
      <c r="L492" s="52"/>
      <c r="M492" s="17" t="s">
        <v>758</v>
      </c>
      <c r="N492" s="86" t="s">
        <v>62</v>
      </c>
      <c r="O492" s="29" t="s">
        <v>755</v>
      </c>
      <c r="P492" s="86" t="n">
        <v>34</v>
      </c>
      <c r="Q492" s="29" t="s">
        <v>105</v>
      </c>
      <c r="R492" s="2" t="n">
        <v>1542.56</v>
      </c>
      <c r="S492" s="2" t="n">
        <v>2399</v>
      </c>
      <c r="T492" s="30" t="n">
        <v>0</v>
      </c>
      <c r="U492" s="1" t="str">
        <f aca="false">D492&amp;"-"&amp;E492&amp;"-"&amp;M492&amp;"-"&amp;O492&amp;"-"&amp;P492&amp;"-"&amp;Q492</f>
        <v>TRIUMPH-GORGEOUS W-151|501-GREY-34-G</v>
      </c>
    </row>
    <row r="493" customFormat="false" ht="15" hidden="true" customHeight="false" outlineLevel="0" collapsed="false">
      <c r="B493" s="31" t="n">
        <v>7610875914598</v>
      </c>
      <c r="C493" s="2" t="s">
        <v>580</v>
      </c>
      <c r="D493" s="2" t="s">
        <v>581</v>
      </c>
      <c r="E493" s="29" t="s">
        <v>757</v>
      </c>
      <c r="F493" s="3" t="s">
        <v>80</v>
      </c>
      <c r="G493" s="14" t="s">
        <v>41</v>
      </c>
      <c r="H493" s="3" t="s">
        <v>70</v>
      </c>
      <c r="I493" s="3" t="s">
        <v>43</v>
      </c>
      <c r="K493" s="19" t="s">
        <v>758</v>
      </c>
      <c r="L493" s="52"/>
      <c r="M493" s="17" t="s">
        <v>758</v>
      </c>
      <c r="N493" s="86" t="s">
        <v>62</v>
      </c>
      <c r="O493" s="29" t="s">
        <v>755</v>
      </c>
      <c r="P493" s="86" t="n">
        <v>36</v>
      </c>
      <c r="Q493" s="29" t="s">
        <v>97</v>
      </c>
      <c r="R493" s="2" t="n">
        <v>1542.56</v>
      </c>
      <c r="S493" s="2" t="n">
        <v>2399</v>
      </c>
      <c r="T493" s="30" t="n">
        <v>0</v>
      </c>
      <c r="U493" s="1" t="str">
        <f aca="false">D493&amp;"-"&amp;E493&amp;"-"&amp;M493&amp;"-"&amp;O493&amp;"-"&amp;P493&amp;"-"&amp;Q493</f>
        <v>TRIUMPH-GORGEOUS W-151|501-GREY-36-D</v>
      </c>
    </row>
    <row r="494" customFormat="false" ht="15" hidden="true" customHeight="false" outlineLevel="0" collapsed="false">
      <c r="B494" s="31" t="n">
        <v>7613142599535</v>
      </c>
      <c r="C494" s="2" t="s">
        <v>580</v>
      </c>
      <c r="D494" s="2" t="s">
        <v>581</v>
      </c>
      <c r="E494" s="29" t="s">
        <v>757</v>
      </c>
      <c r="F494" s="3" t="s">
        <v>80</v>
      </c>
      <c r="G494" s="14" t="s">
        <v>41</v>
      </c>
      <c r="H494" s="3" t="s">
        <v>70</v>
      </c>
      <c r="I494" s="3" t="s">
        <v>43</v>
      </c>
      <c r="K494" s="19" t="s">
        <v>758</v>
      </c>
      <c r="L494" s="52"/>
      <c r="M494" s="17" t="s">
        <v>758</v>
      </c>
      <c r="N494" s="86" t="s">
        <v>759</v>
      </c>
      <c r="O494" s="29" t="s">
        <v>607</v>
      </c>
      <c r="P494" s="86" t="n">
        <v>36</v>
      </c>
      <c r="Q494" s="29" t="s">
        <v>97</v>
      </c>
      <c r="R494" s="2" t="n">
        <v>1542.56</v>
      </c>
      <c r="S494" s="2" t="n">
        <v>2399</v>
      </c>
      <c r="T494" s="30" t="n">
        <v>1</v>
      </c>
      <c r="U494" s="1" t="str">
        <f aca="false">D494&amp;"-"&amp;E494&amp;"-"&amp;M494&amp;"-"&amp;O494&amp;"-"&amp;P494&amp;"-"&amp;Q494</f>
        <v>TRIUMPH-GORGEOUS W-151|501-MAROON-36-D</v>
      </c>
    </row>
    <row r="495" customFormat="false" ht="15" hidden="true" customHeight="false" outlineLevel="0" collapsed="false">
      <c r="B495" s="31" t="n">
        <v>7613142599573</v>
      </c>
      <c r="C495" s="2" t="s">
        <v>580</v>
      </c>
      <c r="D495" s="2" t="s">
        <v>581</v>
      </c>
      <c r="E495" s="29" t="s">
        <v>757</v>
      </c>
      <c r="F495" s="3" t="s">
        <v>80</v>
      </c>
      <c r="G495" s="14" t="s">
        <v>41</v>
      </c>
      <c r="H495" s="3" t="s">
        <v>70</v>
      </c>
      <c r="I495" s="3" t="s">
        <v>43</v>
      </c>
      <c r="K495" s="19" t="s">
        <v>758</v>
      </c>
      <c r="L495" s="52"/>
      <c r="M495" s="17" t="s">
        <v>758</v>
      </c>
      <c r="N495" s="86" t="s">
        <v>759</v>
      </c>
      <c r="O495" s="29" t="s">
        <v>607</v>
      </c>
      <c r="P495" s="86" t="n">
        <v>36</v>
      </c>
      <c r="Q495" s="29" t="s">
        <v>66</v>
      </c>
      <c r="R495" s="2" t="n">
        <v>1542.56</v>
      </c>
      <c r="S495" s="2" t="n">
        <v>2399</v>
      </c>
      <c r="T495" s="30" t="n">
        <v>1</v>
      </c>
      <c r="U495" s="1" t="str">
        <f aca="false">D495&amp;"-"&amp;E495&amp;"-"&amp;M495&amp;"-"&amp;O495&amp;"-"&amp;P495&amp;"-"&amp;Q495</f>
        <v>TRIUMPH-GORGEOUS W-151|501-MAROON-36-E</v>
      </c>
    </row>
    <row r="496" customFormat="false" ht="15" hidden="true" customHeight="false" outlineLevel="0" collapsed="false">
      <c r="B496" s="31" t="n">
        <v>7610875914604</v>
      </c>
      <c r="C496" s="2" t="s">
        <v>580</v>
      </c>
      <c r="D496" s="2" t="s">
        <v>581</v>
      </c>
      <c r="E496" s="29" t="s">
        <v>757</v>
      </c>
      <c r="F496" s="3" t="s">
        <v>80</v>
      </c>
      <c r="G496" s="14" t="s">
        <v>41</v>
      </c>
      <c r="H496" s="3" t="s">
        <v>70</v>
      </c>
      <c r="I496" s="3" t="s">
        <v>43</v>
      </c>
      <c r="K496" s="19" t="s">
        <v>758</v>
      </c>
      <c r="L496" s="52"/>
      <c r="M496" s="17" t="s">
        <v>758</v>
      </c>
      <c r="N496" s="86" t="s">
        <v>62</v>
      </c>
      <c r="O496" s="29" t="s">
        <v>755</v>
      </c>
      <c r="P496" s="86" t="n">
        <v>38</v>
      </c>
      <c r="Q496" s="29" t="s">
        <v>97</v>
      </c>
      <c r="R496" s="2" t="n">
        <v>1542.56</v>
      </c>
      <c r="S496" s="2" t="n">
        <v>2399</v>
      </c>
      <c r="T496" s="30" t="n">
        <v>2</v>
      </c>
      <c r="U496" s="1" t="str">
        <f aca="false">D496&amp;"-"&amp;E496&amp;"-"&amp;M496&amp;"-"&amp;O496&amp;"-"&amp;P496&amp;"-"&amp;Q496</f>
        <v>TRIUMPH-GORGEOUS W-151|501-GREY-38-D</v>
      </c>
    </row>
    <row r="497" customFormat="false" ht="15" hidden="true" customHeight="false" outlineLevel="0" collapsed="false">
      <c r="B497" s="31" t="n">
        <v>7613142599542</v>
      </c>
      <c r="C497" s="2" t="s">
        <v>580</v>
      </c>
      <c r="D497" s="2" t="s">
        <v>581</v>
      </c>
      <c r="E497" s="29" t="s">
        <v>757</v>
      </c>
      <c r="F497" s="3" t="s">
        <v>80</v>
      </c>
      <c r="G497" s="14" t="s">
        <v>41</v>
      </c>
      <c r="H497" s="3" t="s">
        <v>70</v>
      </c>
      <c r="I497" s="3" t="s">
        <v>43</v>
      </c>
      <c r="K497" s="19" t="s">
        <v>758</v>
      </c>
      <c r="L497" s="52"/>
      <c r="M497" s="17" t="s">
        <v>758</v>
      </c>
      <c r="N497" s="86" t="s">
        <v>759</v>
      </c>
      <c r="O497" s="29" t="s">
        <v>607</v>
      </c>
      <c r="P497" s="86" t="n">
        <v>38</v>
      </c>
      <c r="Q497" s="29" t="s">
        <v>97</v>
      </c>
      <c r="R497" s="2" t="n">
        <v>1542.56</v>
      </c>
      <c r="S497" s="2" t="n">
        <v>2399</v>
      </c>
      <c r="T497" s="30" t="n">
        <v>2</v>
      </c>
      <c r="U497" s="1" t="str">
        <f aca="false">D497&amp;"-"&amp;E497&amp;"-"&amp;M497&amp;"-"&amp;O497&amp;"-"&amp;P497&amp;"-"&amp;Q497</f>
        <v>TRIUMPH-GORGEOUS W-151|501-MAROON-38-D</v>
      </c>
    </row>
    <row r="498" customFormat="false" ht="15" hidden="true" customHeight="false" outlineLevel="0" collapsed="false">
      <c r="B498" s="31" t="n">
        <v>7613142599627</v>
      </c>
      <c r="C498" s="2" t="s">
        <v>580</v>
      </c>
      <c r="D498" s="2" t="s">
        <v>581</v>
      </c>
      <c r="E498" s="29" t="s">
        <v>757</v>
      </c>
      <c r="F498" s="3" t="s">
        <v>80</v>
      </c>
      <c r="G498" s="14" t="s">
        <v>41</v>
      </c>
      <c r="H498" s="3" t="s">
        <v>70</v>
      </c>
      <c r="I498" s="3" t="s">
        <v>43</v>
      </c>
      <c r="K498" s="19" t="s">
        <v>758</v>
      </c>
      <c r="L498" s="52"/>
      <c r="M498" s="17" t="s">
        <v>758</v>
      </c>
      <c r="N498" s="86" t="s">
        <v>759</v>
      </c>
      <c r="O498" s="29" t="s">
        <v>607</v>
      </c>
      <c r="P498" s="86" t="n">
        <v>38</v>
      </c>
      <c r="Q498" s="29" t="s">
        <v>50</v>
      </c>
      <c r="R498" s="2" t="n">
        <v>1542.56</v>
      </c>
      <c r="S498" s="2" t="n">
        <v>2399</v>
      </c>
      <c r="T498" s="30" t="n">
        <v>2</v>
      </c>
      <c r="U498" s="1" t="str">
        <f aca="false">D498&amp;"-"&amp;E498&amp;"-"&amp;M498&amp;"-"&amp;O498&amp;"-"&amp;P498&amp;"-"&amp;Q498</f>
        <v>TRIUMPH-GORGEOUS W-151|501-MAROON-38-F</v>
      </c>
    </row>
    <row r="499" customFormat="false" ht="15" hidden="true" customHeight="false" outlineLevel="0" collapsed="false">
      <c r="B499" s="31" t="n">
        <v>7613142599665</v>
      </c>
      <c r="C499" s="2" t="s">
        <v>580</v>
      </c>
      <c r="D499" s="2" t="s">
        <v>581</v>
      </c>
      <c r="E499" s="29" t="s">
        <v>757</v>
      </c>
      <c r="F499" s="3" t="s">
        <v>80</v>
      </c>
      <c r="G499" s="14" t="s">
        <v>41</v>
      </c>
      <c r="H499" s="3" t="s">
        <v>70</v>
      </c>
      <c r="I499" s="3" t="s">
        <v>43</v>
      </c>
      <c r="K499" s="19" t="s">
        <v>758</v>
      </c>
      <c r="L499" s="52"/>
      <c r="M499" s="17" t="s">
        <v>758</v>
      </c>
      <c r="N499" s="86" t="s">
        <v>759</v>
      </c>
      <c r="O499" s="29" t="s">
        <v>607</v>
      </c>
      <c r="P499" s="86" t="n">
        <v>38</v>
      </c>
      <c r="Q499" s="29" t="s">
        <v>105</v>
      </c>
      <c r="R499" s="2" t="n">
        <v>1542.56</v>
      </c>
      <c r="S499" s="2" t="n">
        <v>2399</v>
      </c>
      <c r="T499" s="30" t="n">
        <v>1</v>
      </c>
      <c r="U499" s="1" t="str">
        <f aca="false">D499&amp;"-"&amp;E499&amp;"-"&amp;M499&amp;"-"&amp;O499&amp;"-"&amp;P499&amp;"-"&amp;Q499</f>
        <v>TRIUMPH-GORGEOUS W-151|501-MAROON-38-G</v>
      </c>
    </row>
    <row r="500" customFormat="false" ht="15" hidden="true" customHeight="false" outlineLevel="0" collapsed="false">
      <c r="B500" s="31" t="n">
        <v>7613142599634</v>
      </c>
      <c r="C500" s="2" t="s">
        <v>580</v>
      </c>
      <c r="D500" s="2" t="s">
        <v>581</v>
      </c>
      <c r="E500" s="29" t="s">
        <v>757</v>
      </c>
      <c r="F500" s="3" t="s">
        <v>80</v>
      </c>
      <c r="G500" s="14" t="s">
        <v>41</v>
      </c>
      <c r="H500" s="3" t="s">
        <v>70</v>
      </c>
      <c r="I500" s="3" t="s">
        <v>43</v>
      </c>
      <c r="K500" s="19" t="s">
        <v>758</v>
      </c>
      <c r="L500" s="52"/>
      <c r="M500" s="17" t="s">
        <v>758</v>
      </c>
      <c r="N500" s="86" t="s">
        <v>759</v>
      </c>
      <c r="O500" s="29" t="s">
        <v>607</v>
      </c>
      <c r="P500" s="86" t="n">
        <v>40</v>
      </c>
      <c r="Q500" s="29" t="s">
        <v>50</v>
      </c>
      <c r="R500" s="2" t="n">
        <v>1542.56</v>
      </c>
      <c r="S500" s="2" t="n">
        <v>2399</v>
      </c>
      <c r="T500" s="30" t="n">
        <v>1</v>
      </c>
      <c r="U500" s="1" t="str">
        <f aca="false">D500&amp;"-"&amp;E500&amp;"-"&amp;M500&amp;"-"&amp;O500&amp;"-"&amp;P500&amp;"-"&amp;Q500</f>
        <v>TRIUMPH-GORGEOUS W-151|501-MAROON-40-F</v>
      </c>
    </row>
    <row r="501" customFormat="false" ht="15" hidden="true" customHeight="false" outlineLevel="0" collapsed="false">
      <c r="B501" s="31" t="n">
        <v>7610875914734</v>
      </c>
      <c r="C501" s="2" t="s">
        <v>580</v>
      </c>
      <c r="D501" s="2" t="s">
        <v>581</v>
      </c>
      <c r="E501" s="29" t="s">
        <v>757</v>
      </c>
      <c r="F501" s="3" t="s">
        <v>80</v>
      </c>
      <c r="G501" s="14" t="s">
        <v>41</v>
      </c>
      <c r="H501" s="3" t="s">
        <v>70</v>
      </c>
      <c r="I501" s="3" t="s">
        <v>43</v>
      </c>
      <c r="K501" s="19" t="s">
        <v>758</v>
      </c>
      <c r="L501" s="52"/>
      <c r="M501" s="17" t="s">
        <v>758</v>
      </c>
      <c r="N501" s="86" t="s">
        <v>62</v>
      </c>
      <c r="O501" s="29" t="s">
        <v>755</v>
      </c>
      <c r="P501" s="86" t="n">
        <v>40</v>
      </c>
      <c r="Q501" s="29" t="s">
        <v>105</v>
      </c>
      <c r="R501" s="2" t="n">
        <v>1542.56</v>
      </c>
      <c r="S501" s="2" t="n">
        <v>2399</v>
      </c>
      <c r="T501" s="30" t="n">
        <v>2</v>
      </c>
      <c r="U501" s="1" t="str">
        <f aca="false">D501&amp;"-"&amp;E501&amp;"-"&amp;M501&amp;"-"&amp;O501&amp;"-"&amp;P501&amp;"-"&amp;Q501</f>
        <v>TRIUMPH-GORGEOUS W-151|501-GREY-40-G</v>
      </c>
    </row>
    <row r="502" customFormat="false" ht="15" hidden="true" customHeight="false" outlineLevel="0" collapsed="false">
      <c r="B502" s="31" t="n">
        <v>7613142599672</v>
      </c>
      <c r="C502" s="2" t="s">
        <v>580</v>
      </c>
      <c r="D502" s="2" t="s">
        <v>581</v>
      </c>
      <c r="E502" s="29" t="s">
        <v>757</v>
      </c>
      <c r="F502" s="3" t="s">
        <v>80</v>
      </c>
      <c r="G502" s="14" t="s">
        <v>41</v>
      </c>
      <c r="H502" s="3" t="s">
        <v>70</v>
      </c>
      <c r="I502" s="3" t="s">
        <v>43</v>
      </c>
      <c r="K502" s="19" t="s">
        <v>758</v>
      </c>
      <c r="L502" s="52"/>
      <c r="M502" s="17" t="s">
        <v>758</v>
      </c>
      <c r="N502" s="86" t="s">
        <v>759</v>
      </c>
      <c r="O502" s="25" t="s">
        <v>89</v>
      </c>
      <c r="P502" s="86" t="n">
        <v>40</v>
      </c>
      <c r="Q502" s="29" t="s">
        <v>105</v>
      </c>
      <c r="R502" s="2" t="n">
        <v>1542.56</v>
      </c>
      <c r="S502" s="2" t="n">
        <v>2399</v>
      </c>
      <c r="T502" s="30" t="n">
        <v>1</v>
      </c>
      <c r="U502" s="1" t="str">
        <f aca="false">D502&amp;"-"&amp;E502&amp;"-"&amp;M502&amp;"-"&amp;O502&amp;"-"&amp;P502&amp;"-"&amp;Q502</f>
        <v>TRIUMPH-GORGEOUS W-151|501-BLUE-40-G</v>
      </c>
    </row>
    <row r="503" customFormat="false" ht="15" hidden="true" customHeight="false" outlineLevel="0" collapsed="false">
      <c r="B503" s="25" t="s">
        <v>760</v>
      </c>
      <c r="C503" s="2" t="s">
        <v>580</v>
      </c>
      <c r="D503" s="2" t="s">
        <v>581</v>
      </c>
      <c r="E503" s="25" t="s">
        <v>761</v>
      </c>
      <c r="F503" s="3" t="s">
        <v>80</v>
      </c>
      <c r="G503" s="14" t="s">
        <v>41</v>
      </c>
      <c r="H503" s="3" t="s">
        <v>70</v>
      </c>
      <c r="I503" s="3" t="s">
        <v>43</v>
      </c>
      <c r="K503" s="27" t="s">
        <v>762</v>
      </c>
      <c r="L503" s="52"/>
      <c r="M503" s="25" t="s">
        <v>762</v>
      </c>
      <c r="N503" s="25" t="s">
        <v>763</v>
      </c>
      <c r="O503" s="25" t="s">
        <v>89</v>
      </c>
      <c r="P503" s="25" t="s">
        <v>134</v>
      </c>
      <c r="Q503" s="25" t="s">
        <v>97</v>
      </c>
      <c r="R503" s="2" t="n">
        <v>1092.46</v>
      </c>
      <c r="S503" s="2" t="n">
        <v>1699</v>
      </c>
      <c r="T503" s="30" t="n">
        <v>2</v>
      </c>
      <c r="U503" s="1" t="str">
        <f aca="false">D503&amp;"-"&amp;E503&amp;"-"&amp;M503&amp;"-"&amp;O503&amp;"-"&amp;P503&amp;"-"&amp;Q503</f>
        <v>TRIUMPH-121 W-151I265-BLUE-34-D</v>
      </c>
      <c r="W503" s="1" t="s">
        <v>586</v>
      </c>
    </row>
    <row r="504" customFormat="false" ht="15" hidden="true" customHeight="false" outlineLevel="0" collapsed="false">
      <c r="B504" s="61" t="s">
        <v>764</v>
      </c>
      <c r="C504" s="2" t="s">
        <v>580</v>
      </c>
      <c r="D504" s="2" t="s">
        <v>581</v>
      </c>
      <c r="E504" s="25" t="s">
        <v>761</v>
      </c>
      <c r="F504" s="3" t="s">
        <v>80</v>
      </c>
      <c r="G504" s="14" t="s">
        <v>41</v>
      </c>
      <c r="H504" s="3" t="s">
        <v>70</v>
      </c>
      <c r="I504" s="3" t="s">
        <v>43</v>
      </c>
      <c r="K504" s="27" t="s">
        <v>762</v>
      </c>
      <c r="L504" s="52"/>
      <c r="M504" s="25" t="s">
        <v>762</v>
      </c>
      <c r="N504" s="25" t="s">
        <v>765</v>
      </c>
      <c r="O504" s="25" t="s">
        <v>594</v>
      </c>
      <c r="P504" s="61" t="s">
        <v>134</v>
      </c>
      <c r="Q504" s="61" t="s">
        <v>97</v>
      </c>
      <c r="R504" s="2" t="n">
        <v>1092.46</v>
      </c>
      <c r="S504" s="2" t="n">
        <v>1699</v>
      </c>
      <c r="T504" s="30" t="n">
        <v>1</v>
      </c>
      <c r="U504" s="1" t="str">
        <f aca="false">D504&amp;"-"&amp;E504&amp;"-"&amp;M504&amp;"-"&amp;O504&amp;"-"&amp;P504&amp;"-"&amp;Q504</f>
        <v>TRIUMPH-121 W-151I265-PINK-34-D</v>
      </c>
      <c r="W504" s="1" t="s">
        <v>586</v>
      </c>
    </row>
    <row r="505" customFormat="false" ht="15" hidden="true" customHeight="false" outlineLevel="0" collapsed="false">
      <c r="B505" s="61" t="s">
        <v>766</v>
      </c>
      <c r="C505" s="2" t="s">
        <v>580</v>
      </c>
      <c r="D505" s="2" t="s">
        <v>581</v>
      </c>
      <c r="E505" s="25" t="s">
        <v>761</v>
      </c>
      <c r="F505" s="3" t="s">
        <v>80</v>
      </c>
      <c r="G505" s="14" t="s">
        <v>41</v>
      </c>
      <c r="H505" s="3" t="s">
        <v>70</v>
      </c>
      <c r="I505" s="3" t="s">
        <v>43</v>
      </c>
      <c r="K505" s="27" t="s">
        <v>762</v>
      </c>
      <c r="L505" s="52"/>
      <c r="M505" s="25" t="s">
        <v>762</v>
      </c>
      <c r="N505" s="25" t="s">
        <v>759</v>
      </c>
      <c r="O505" s="25" t="s">
        <v>607</v>
      </c>
      <c r="P505" s="61" t="s">
        <v>134</v>
      </c>
      <c r="Q505" s="61" t="s">
        <v>66</v>
      </c>
      <c r="R505" s="2" t="n">
        <v>1092.46</v>
      </c>
      <c r="S505" s="2" t="n">
        <v>1699</v>
      </c>
      <c r="T505" s="30" t="n">
        <v>1</v>
      </c>
      <c r="U505" s="1" t="str">
        <f aca="false">D505&amp;"-"&amp;E505&amp;"-"&amp;M505&amp;"-"&amp;O505&amp;"-"&amp;P505&amp;"-"&amp;Q505</f>
        <v>TRIUMPH-121 W-151I265-MAROON-34-E</v>
      </c>
      <c r="W505" s="1" t="s">
        <v>586</v>
      </c>
    </row>
    <row r="506" customFormat="false" ht="15" hidden="true" customHeight="false" outlineLevel="0" collapsed="false">
      <c r="B506" s="61" t="s">
        <v>767</v>
      </c>
      <c r="C506" s="2" t="s">
        <v>580</v>
      </c>
      <c r="D506" s="2" t="s">
        <v>581</v>
      </c>
      <c r="E506" s="25" t="s">
        <v>761</v>
      </c>
      <c r="F506" s="3" t="s">
        <v>80</v>
      </c>
      <c r="G506" s="14" t="s">
        <v>41</v>
      </c>
      <c r="H506" s="3" t="s">
        <v>70</v>
      </c>
      <c r="I506" s="3" t="s">
        <v>43</v>
      </c>
      <c r="K506" s="27" t="s">
        <v>762</v>
      </c>
      <c r="L506" s="52"/>
      <c r="M506" s="25" t="s">
        <v>762</v>
      </c>
      <c r="N506" s="25" t="s">
        <v>763</v>
      </c>
      <c r="O506" s="25" t="s">
        <v>89</v>
      </c>
      <c r="P506" s="61" t="s">
        <v>134</v>
      </c>
      <c r="Q506" s="61" t="s">
        <v>66</v>
      </c>
      <c r="R506" s="2" t="n">
        <v>1092.46</v>
      </c>
      <c r="S506" s="2" t="n">
        <v>1699</v>
      </c>
      <c r="T506" s="30" t="n">
        <v>2</v>
      </c>
      <c r="U506" s="1" t="str">
        <f aca="false">D506&amp;"-"&amp;E506&amp;"-"&amp;M506&amp;"-"&amp;O506&amp;"-"&amp;P506&amp;"-"&amp;Q506</f>
        <v>TRIUMPH-121 W-151I265-BLUE-34-E</v>
      </c>
      <c r="W506" s="1" t="s">
        <v>586</v>
      </c>
    </row>
    <row r="507" customFormat="false" ht="15" hidden="true" customHeight="false" outlineLevel="0" collapsed="false">
      <c r="B507" s="61" t="s">
        <v>768</v>
      </c>
      <c r="C507" s="2" t="s">
        <v>580</v>
      </c>
      <c r="D507" s="2" t="s">
        <v>581</v>
      </c>
      <c r="E507" s="25" t="s">
        <v>761</v>
      </c>
      <c r="F507" s="3" t="s">
        <v>80</v>
      </c>
      <c r="G507" s="14" t="s">
        <v>41</v>
      </c>
      <c r="H507" s="3" t="s">
        <v>70</v>
      </c>
      <c r="I507" s="3" t="s">
        <v>43</v>
      </c>
      <c r="K507" s="27" t="s">
        <v>762</v>
      </c>
      <c r="L507" s="52"/>
      <c r="M507" s="25" t="s">
        <v>762</v>
      </c>
      <c r="N507" s="25" t="s">
        <v>763</v>
      </c>
      <c r="O507" s="25" t="s">
        <v>89</v>
      </c>
      <c r="P507" s="61" t="s">
        <v>134</v>
      </c>
      <c r="Q507" s="61" t="s">
        <v>50</v>
      </c>
      <c r="R507" s="2" t="n">
        <v>1092.46</v>
      </c>
      <c r="S507" s="2" t="n">
        <v>1699</v>
      </c>
      <c r="T507" s="30" t="n">
        <v>1</v>
      </c>
      <c r="U507" s="1" t="str">
        <f aca="false">D507&amp;"-"&amp;E507&amp;"-"&amp;M507&amp;"-"&amp;O507&amp;"-"&amp;P507&amp;"-"&amp;Q507</f>
        <v>TRIUMPH-121 W-151I265-BLUE-34-F</v>
      </c>
      <c r="W507" s="1" t="s">
        <v>586</v>
      </c>
    </row>
    <row r="508" customFormat="false" ht="15" hidden="true" customHeight="false" outlineLevel="0" collapsed="false">
      <c r="B508" s="61" t="s">
        <v>769</v>
      </c>
      <c r="C508" s="2" t="s">
        <v>580</v>
      </c>
      <c r="D508" s="2" t="s">
        <v>581</v>
      </c>
      <c r="E508" s="25" t="s">
        <v>761</v>
      </c>
      <c r="F508" s="3" t="s">
        <v>80</v>
      </c>
      <c r="G508" s="14" t="s">
        <v>41</v>
      </c>
      <c r="H508" s="3" t="s">
        <v>70</v>
      </c>
      <c r="I508" s="3" t="s">
        <v>43</v>
      </c>
      <c r="K508" s="27" t="s">
        <v>762</v>
      </c>
      <c r="L508" s="52"/>
      <c r="M508" s="25" t="s">
        <v>762</v>
      </c>
      <c r="N508" s="25" t="s">
        <v>765</v>
      </c>
      <c r="O508" s="25" t="s">
        <v>594</v>
      </c>
      <c r="P508" s="61" t="s">
        <v>65</v>
      </c>
      <c r="Q508" s="61" t="s">
        <v>97</v>
      </c>
      <c r="R508" s="2" t="n">
        <v>1092.46</v>
      </c>
      <c r="S508" s="2" t="n">
        <v>1699</v>
      </c>
      <c r="T508" s="30" t="n">
        <v>1</v>
      </c>
      <c r="U508" s="1" t="str">
        <f aca="false">D508&amp;"-"&amp;E508&amp;"-"&amp;M508&amp;"-"&amp;O508&amp;"-"&amp;P508&amp;"-"&amp;Q508</f>
        <v>TRIUMPH-121 W-151I265-PINK-36-D</v>
      </c>
      <c r="W508" s="1" t="s">
        <v>586</v>
      </c>
    </row>
    <row r="509" customFormat="false" ht="15" hidden="true" customHeight="false" outlineLevel="0" collapsed="false">
      <c r="B509" s="61" t="s">
        <v>770</v>
      </c>
      <c r="C509" s="2" t="s">
        <v>580</v>
      </c>
      <c r="D509" s="2" t="s">
        <v>581</v>
      </c>
      <c r="E509" s="25" t="s">
        <v>761</v>
      </c>
      <c r="F509" s="3" t="s">
        <v>80</v>
      </c>
      <c r="G509" s="14" t="s">
        <v>41</v>
      </c>
      <c r="H509" s="3" t="s">
        <v>70</v>
      </c>
      <c r="I509" s="3" t="s">
        <v>43</v>
      </c>
      <c r="K509" s="27" t="s">
        <v>762</v>
      </c>
      <c r="L509" s="52"/>
      <c r="M509" s="25" t="s">
        <v>762</v>
      </c>
      <c r="N509" s="25" t="s">
        <v>763</v>
      </c>
      <c r="O509" s="25" t="s">
        <v>89</v>
      </c>
      <c r="P509" s="61" t="s">
        <v>65</v>
      </c>
      <c r="Q509" s="61" t="s">
        <v>97</v>
      </c>
      <c r="R509" s="2" t="n">
        <v>1092.46</v>
      </c>
      <c r="S509" s="2" t="n">
        <v>1699</v>
      </c>
      <c r="T509" s="30" t="n">
        <v>1</v>
      </c>
      <c r="U509" s="1" t="str">
        <f aca="false">D509&amp;"-"&amp;E509&amp;"-"&amp;M509&amp;"-"&amp;O509&amp;"-"&amp;P509&amp;"-"&amp;Q509</f>
        <v>TRIUMPH-121 W-151I265-BLUE-36-D</v>
      </c>
      <c r="W509" s="1" t="s">
        <v>586</v>
      </c>
    </row>
    <row r="510" customFormat="false" ht="15" hidden="true" customHeight="false" outlineLevel="0" collapsed="false">
      <c r="B510" s="25" t="s">
        <v>771</v>
      </c>
      <c r="C510" s="2" t="s">
        <v>580</v>
      </c>
      <c r="D510" s="2" t="s">
        <v>581</v>
      </c>
      <c r="E510" s="25" t="s">
        <v>761</v>
      </c>
      <c r="F510" s="3" t="s">
        <v>80</v>
      </c>
      <c r="G510" s="14" t="s">
        <v>41</v>
      </c>
      <c r="H510" s="3" t="s">
        <v>70</v>
      </c>
      <c r="I510" s="3" t="s">
        <v>43</v>
      </c>
      <c r="K510" s="27" t="s">
        <v>762</v>
      </c>
      <c r="L510" s="52"/>
      <c r="M510" s="25" t="s">
        <v>762</v>
      </c>
      <c r="N510" s="25" t="s">
        <v>763</v>
      </c>
      <c r="O510" s="25" t="s">
        <v>89</v>
      </c>
      <c r="P510" s="25" t="s">
        <v>154</v>
      </c>
      <c r="Q510" s="25" t="s">
        <v>97</v>
      </c>
      <c r="R510" s="2" t="n">
        <v>1092.46</v>
      </c>
      <c r="S510" s="2" t="n">
        <v>1699</v>
      </c>
      <c r="T510" s="30" t="n">
        <v>1</v>
      </c>
      <c r="U510" s="1" t="str">
        <f aca="false">D510&amp;"-"&amp;E510&amp;"-"&amp;M510&amp;"-"&amp;O510&amp;"-"&amp;P510&amp;"-"&amp;Q510</f>
        <v>TRIUMPH-121 W-151I265-BLUE-38-D</v>
      </c>
      <c r="W510" s="1" t="s">
        <v>586</v>
      </c>
    </row>
    <row r="511" customFormat="false" ht="15" hidden="true" customHeight="false" outlineLevel="0" collapsed="false">
      <c r="B511" s="25" t="s">
        <v>772</v>
      </c>
      <c r="C511" s="2" t="s">
        <v>580</v>
      </c>
      <c r="D511" s="2" t="s">
        <v>581</v>
      </c>
      <c r="E511" s="25" t="s">
        <v>761</v>
      </c>
      <c r="F511" s="3" t="s">
        <v>80</v>
      </c>
      <c r="G511" s="14" t="s">
        <v>41</v>
      </c>
      <c r="H511" s="3" t="s">
        <v>70</v>
      </c>
      <c r="I511" s="3" t="s">
        <v>43</v>
      </c>
      <c r="K511" s="27" t="s">
        <v>762</v>
      </c>
      <c r="L511" s="52"/>
      <c r="M511" s="25" t="s">
        <v>762</v>
      </c>
      <c r="N511" s="25" t="s">
        <v>759</v>
      </c>
      <c r="O511" s="25" t="s">
        <v>607</v>
      </c>
      <c r="P511" s="25" t="s">
        <v>154</v>
      </c>
      <c r="Q511" s="25" t="s">
        <v>97</v>
      </c>
      <c r="R511" s="2" t="n">
        <v>1092.46</v>
      </c>
      <c r="S511" s="2" t="n">
        <v>1699</v>
      </c>
      <c r="T511" s="30" t="n">
        <v>2</v>
      </c>
      <c r="U511" s="1" t="str">
        <f aca="false">D511&amp;"-"&amp;E511&amp;"-"&amp;M511&amp;"-"&amp;O511&amp;"-"&amp;P511&amp;"-"&amp;Q511</f>
        <v>TRIUMPH-121 W-151I265-MAROON-38-D</v>
      </c>
      <c r="W511" s="1" t="s">
        <v>586</v>
      </c>
    </row>
    <row r="512" customFormat="false" ht="15" hidden="true" customHeight="false" outlineLevel="0" collapsed="false">
      <c r="B512" s="61" t="s">
        <v>773</v>
      </c>
      <c r="C512" s="2" t="s">
        <v>580</v>
      </c>
      <c r="D512" s="2" t="s">
        <v>581</v>
      </c>
      <c r="E512" s="25" t="s">
        <v>761</v>
      </c>
      <c r="F512" s="3" t="s">
        <v>80</v>
      </c>
      <c r="G512" s="14" t="s">
        <v>41</v>
      </c>
      <c r="H512" s="3" t="s">
        <v>70</v>
      </c>
      <c r="I512" s="3" t="s">
        <v>43</v>
      </c>
      <c r="K512" s="27" t="s">
        <v>762</v>
      </c>
      <c r="L512" s="52"/>
      <c r="M512" s="25" t="s">
        <v>762</v>
      </c>
      <c r="N512" s="25" t="s">
        <v>765</v>
      </c>
      <c r="O512" s="25" t="s">
        <v>594</v>
      </c>
      <c r="P512" s="61" t="s">
        <v>154</v>
      </c>
      <c r="Q512" s="61" t="s">
        <v>97</v>
      </c>
      <c r="R512" s="2" t="n">
        <v>1092.46</v>
      </c>
      <c r="S512" s="2" t="n">
        <v>1699</v>
      </c>
      <c r="T512" s="30" t="n">
        <v>2</v>
      </c>
      <c r="U512" s="1" t="str">
        <f aca="false">D512&amp;"-"&amp;E512&amp;"-"&amp;M512&amp;"-"&amp;O512&amp;"-"&amp;P512&amp;"-"&amp;Q512</f>
        <v>TRIUMPH-121 W-151I265-PINK-38-D</v>
      </c>
      <c r="W512" s="1" t="s">
        <v>586</v>
      </c>
    </row>
    <row r="513" customFormat="false" ht="15" hidden="true" customHeight="false" outlineLevel="0" collapsed="false">
      <c r="B513" s="61" t="s">
        <v>774</v>
      </c>
      <c r="C513" s="2" t="s">
        <v>580</v>
      </c>
      <c r="D513" s="2" t="s">
        <v>581</v>
      </c>
      <c r="E513" s="25" t="s">
        <v>761</v>
      </c>
      <c r="F513" s="3" t="s">
        <v>80</v>
      </c>
      <c r="G513" s="14" t="s">
        <v>41</v>
      </c>
      <c r="H513" s="3" t="s">
        <v>70</v>
      </c>
      <c r="I513" s="3" t="s">
        <v>43</v>
      </c>
      <c r="K513" s="27" t="s">
        <v>762</v>
      </c>
      <c r="L513" s="52"/>
      <c r="M513" s="25" t="s">
        <v>762</v>
      </c>
      <c r="N513" s="25" t="s">
        <v>759</v>
      </c>
      <c r="O513" s="25" t="s">
        <v>607</v>
      </c>
      <c r="P513" s="61" t="s">
        <v>154</v>
      </c>
      <c r="Q513" s="61" t="s">
        <v>66</v>
      </c>
      <c r="R513" s="2" t="n">
        <v>1092.46</v>
      </c>
      <c r="S513" s="2" t="n">
        <v>1699</v>
      </c>
      <c r="T513" s="30" t="n">
        <v>1</v>
      </c>
      <c r="U513" s="1" t="str">
        <f aca="false">D513&amp;"-"&amp;E513&amp;"-"&amp;M513&amp;"-"&amp;O513&amp;"-"&amp;P513&amp;"-"&amp;Q513</f>
        <v>TRIUMPH-121 W-151I265-MAROON-38-E</v>
      </c>
      <c r="W513" s="1" t="s">
        <v>586</v>
      </c>
    </row>
    <row r="514" customFormat="false" ht="15" hidden="true" customHeight="false" outlineLevel="0" collapsed="false">
      <c r="B514" s="61" t="s">
        <v>775</v>
      </c>
      <c r="C514" s="2" t="s">
        <v>580</v>
      </c>
      <c r="D514" s="2" t="s">
        <v>581</v>
      </c>
      <c r="E514" s="25" t="s">
        <v>761</v>
      </c>
      <c r="F514" s="3" t="s">
        <v>80</v>
      </c>
      <c r="G514" s="14" t="s">
        <v>41</v>
      </c>
      <c r="H514" s="3" t="s">
        <v>70</v>
      </c>
      <c r="I514" s="3" t="s">
        <v>43</v>
      </c>
      <c r="K514" s="27" t="s">
        <v>762</v>
      </c>
      <c r="L514" s="52"/>
      <c r="M514" s="25" t="s">
        <v>762</v>
      </c>
      <c r="N514" s="25" t="s">
        <v>759</v>
      </c>
      <c r="O514" s="25" t="s">
        <v>607</v>
      </c>
      <c r="P514" s="61" t="s">
        <v>417</v>
      </c>
      <c r="Q514" s="61" t="s">
        <v>595</v>
      </c>
      <c r="R514" s="2" t="n">
        <v>1092.46</v>
      </c>
      <c r="S514" s="2" t="n">
        <v>1699</v>
      </c>
      <c r="T514" s="30" t="n">
        <v>1</v>
      </c>
      <c r="U514" s="1" t="str">
        <f aca="false">D514&amp;"-"&amp;E514&amp;"-"&amp;M514&amp;"-"&amp;O514&amp;"-"&amp;P514&amp;"-"&amp;Q514</f>
        <v>TRIUMPH-121 W-151I265-MAROON-40-C</v>
      </c>
      <c r="W514" s="1" t="s">
        <v>586</v>
      </c>
    </row>
    <row r="515" customFormat="false" ht="15" hidden="true" customHeight="false" outlineLevel="0" collapsed="false">
      <c r="B515" s="61" t="s">
        <v>776</v>
      </c>
      <c r="C515" s="2" t="s">
        <v>580</v>
      </c>
      <c r="D515" s="2" t="s">
        <v>581</v>
      </c>
      <c r="E515" s="25" t="s">
        <v>761</v>
      </c>
      <c r="F515" s="3" t="s">
        <v>80</v>
      </c>
      <c r="G515" s="14" t="s">
        <v>41</v>
      </c>
      <c r="H515" s="3" t="s">
        <v>70</v>
      </c>
      <c r="I515" s="3" t="s">
        <v>43</v>
      </c>
      <c r="K515" s="27" t="s">
        <v>762</v>
      </c>
      <c r="L515" s="52"/>
      <c r="M515" s="25" t="s">
        <v>762</v>
      </c>
      <c r="N515" s="25" t="s">
        <v>765</v>
      </c>
      <c r="O515" s="25" t="s">
        <v>594</v>
      </c>
      <c r="P515" s="61" t="s">
        <v>417</v>
      </c>
      <c r="Q515" s="61" t="s">
        <v>595</v>
      </c>
      <c r="R515" s="2" t="n">
        <v>1092.46</v>
      </c>
      <c r="S515" s="2" t="n">
        <v>1699</v>
      </c>
      <c r="T515" s="30" t="n">
        <v>1</v>
      </c>
      <c r="U515" s="1" t="str">
        <f aca="false">D515&amp;"-"&amp;E515&amp;"-"&amp;M515&amp;"-"&amp;O515&amp;"-"&amp;P515&amp;"-"&amp;Q515</f>
        <v>TRIUMPH-121 W-151I265-PINK-40-C</v>
      </c>
      <c r="W515" s="1" t="s">
        <v>586</v>
      </c>
    </row>
    <row r="516" customFormat="false" ht="15" hidden="true" customHeight="false" outlineLevel="0" collapsed="false">
      <c r="B516" s="61" t="s">
        <v>777</v>
      </c>
      <c r="C516" s="2" t="s">
        <v>580</v>
      </c>
      <c r="D516" s="2" t="s">
        <v>581</v>
      </c>
      <c r="E516" s="25" t="s">
        <v>761</v>
      </c>
      <c r="F516" s="3" t="s">
        <v>80</v>
      </c>
      <c r="G516" s="14" t="s">
        <v>41</v>
      </c>
      <c r="H516" s="3" t="s">
        <v>70</v>
      </c>
      <c r="I516" s="3" t="s">
        <v>43</v>
      </c>
      <c r="K516" s="27" t="s">
        <v>762</v>
      </c>
      <c r="L516" s="52"/>
      <c r="M516" s="25" t="s">
        <v>762</v>
      </c>
      <c r="N516" s="25" t="s">
        <v>763</v>
      </c>
      <c r="O516" s="25" t="s">
        <v>89</v>
      </c>
      <c r="P516" s="61" t="s">
        <v>417</v>
      </c>
      <c r="Q516" s="61" t="s">
        <v>97</v>
      </c>
      <c r="R516" s="2" t="n">
        <v>1092.46</v>
      </c>
      <c r="S516" s="2" t="n">
        <v>1699</v>
      </c>
      <c r="T516" s="30" t="n">
        <v>1</v>
      </c>
      <c r="U516" s="1" t="str">
        <f aca="false">D516&amp;"-"&amp;E516&amp;"-"&amp;M516&amp;"-"&amp;O516&amp;"-"&amp;P516&amp;"-"&amp;Q516</f>
        <v>TRIUMPH-121 W-151I265-BLUE-40-D</v>
      </c>
      <c r="W516" s="1" t="s">
        <v>586</v>
      </c>
    </row>
    <row r="517" customFormat="false" ht="15" hidden="true" customHeight="false" outlineLevel="0" collapsed="false">
      <c r="B517" s="25" t="s">
        <v>778</v>
      </c>
      <c r="C517" s="2" t="s">
        <v>580</v>
      </c>
      <c r="D517" s="2" t="s">
        <v>581</v>
      </c>
      <c r="E517" s="25" t="s">
        <v>761</v>
      </c>
      <c r="F517" s="3" t="s">
        <v>80</v>
      </c>
      <c r="G517" s="14" t="s">
        <v>41</v>
      </c>
      <c r="H517" s="3" t="s">
        <v>70</v>
      </c>
      <c r="I517" s="3" t="s">
        <v>43</v>
      </c>
      <c r="K517" s="27" t="s">
        <v>762</v>
      </c>
      <c r="L517" s="52"/>
      <c r="M517" s="25" t="s">
        <v>762</v>
      </c>
      <c r="N517" s="25" t="s">
        <v>765</v>
      </c>
      <c r="O517" s="25" t="s">
        <v>89</v>
      </c>
      <c r="P517" s="25" t="s">
        <v>417</v>
      </c>
      <c r="Q517" s="25" t="s">
        <v>97</v>
      </c>
      <c r="R517" s="2" t="n">
        <v>1092.46</v>
      </c>
      <c r="S517" s="2" t="n">
        <v>1699</v>
      </c>
      <c r="T517" s="30" t="n">
        <v>1</v>
      </c>
      <c r="U517" s="1" t="str">
        <f aca="false">D517&amp;"-"&amp;E517&amp;"-"&amp;M517&amp;"-"&amp;O517&amp;"-"&amp;P517&amp;"-"&amp;Q517</f>
        <v>TRIUMPH-121 W-151I265-BLUE-40-D</v>
      </c>
      <c r="W517" s="1" t="s">
        <v>586</v>
      </c>
    </row>
    <row r="518" customFormat="false" ht="15" hidden="true" customHeight="false" outlineLevel="0" collapsed="false">
      <c r="B518" s="25" t="s">
        <v>779</v>
      </c>
      <c r="C518" s="2" t="s">
        <v>580</v>
      </c>
      <c r="D518" s="2" t="s">
        <v>581</v>
      </c>
      <c r="E518" s="25" t="s">
        <v>761</v>
      </c>
      <c r="F518" s="3" t="s">
        <v>80</v>
      </c>
      <c r="G518" s="14" t="s">
        <v>41</v>
      </c>
      <c r="H518" s="3" t="s">
        <v>70</v>
      </c>
      <c r="I518" s="3" t="s">
        <v>43</v>
      </c>
      <c r="K518" s="27" t="s">
        <v>762</v>
      </c>
      <c r="L518" s="52"/>
      <c r="M518" s="25" t="s">
        <v>762</v>
      </c>
      <c r="N518" s="25" t="s">
        <v>763</v>
      </c>
      <c r="O518" s="25" t="s">
        <v>89</v>
      </c>
      <c r="P518" s="25" t="s">
        <v>417</v>
      </c>
      <c r="Q518" s="25" t="s">
        <v>66</v>
      </c>
      <c r="R518" s="2" t="n">
        <v>1092.46</v>
      </c>
      <c r="S518" s="2" t="n">
        <v>1699</v>
      </c>
      <c r="T518" s="30" t="n">
        <v>2</v>
      </c>
      <c r="U518" s="1" t="str">
        <f aca="false">D518&amp;"-"&amp;E518&amp;"-"&amp;M518&amp;"-"&amp;O518&amp;"-"&amp;P518&amp;"-"&amp;Q518</f>
        <v>TRIUMPH-121 W-151I265-BLUE-40-E</v>
      </c>
      <c r="W518" s="1" t="s">
        <v>586</v>
      </c>
    </row>
    <row r="519" customFormat="false" ht="15" hidden="true" customHeight="false" outlineLevel="0" collapsed="false">
      <c r="B519" s="25" t="s">
        <v>780</v>
      </c>
      <c r="C519" s="2" t="s">
        <v>580</v>
      </c>
      <c r="D519" s="2" t="s">
        <v>581</v>
      </c>
      <c r="E519" s="25" t="s">
        <v>761</v>
      </c>
      <c r="F519" s="3" t="s">
        <v>80</v>
      </c>
      <c r="G519" s="14" t="s">
        <v>41</v>
      </c>
      <c r="H519" s="3" t="s">
        <v>70</v>
      </c>
      <c r="I519" s="3" t="s">
        <v>43</v>
      </c>
      <c r="K519" s="27" t="s">
        <v>762</v>
      </c>
      <c r="L519" s="52"/>
      <c r="M519" s="25" t="s">
        <v>762</v>
      </c>
      <c r="N519" s="25" t="s">
        <v>763</v>
      </c>
      <c r="O519" s="25" t="s">
        <v>89</v>
      </c>
      <c r="P519" s="25" t="s">
        <v>417</v>
      </c>
      <c r="Q519" s="25" t="s">
        <v>50</v>
      </c>
      <c r="R519" s="2" t="n">
        <v>1092.46</v>
      </c>
      <c r="S519" s="2" t="n">
        <v>1699</v>
      </c>
      <c r="T519" s="30" t="n">
        <v>1</v>
      </c>
      <c r="U519" s="1" t="str">
        <f aca="false">D519&amp;"-"&amp;E519&amp;"-"&amp;M519&amp;"-"&amp;O519&amp;"-"&amp;P519&amp;"-"&amp;Q519</f>
        <v>TRIUMPH-121 W-151I265-BLUE-40-F</v>
      </c>
      <c r="W519" s="1" t="s">
        <v>586</v>
      </c>
    </row>
    <row r="520" customFormat="false" ht="15" hidden="true" customHeight="false" outlineLevel="0" collapsed="false">
      <c r="B520" s="25" t="s">
        <v>781</v>
      </c>
      <c r="C520" s="2" t="s">
        <v>580</v>
      </c>
      <c r="D520" s="2" t="s">
        <v>581</v>
      </c>
      <c r="E520" s="25" t="s">
        <v>761</v>
      </c>
      <c r="F520" s="3" t="s">
        <v>80</v>
      </c>
      <c r="G520" s="14" t="s">
        <v>41</v>
      </c>
      <c r="H520" s="3" t="s">
        <v>70</v>
      </c>
      <c r="I520" s="3" t="s">
        <v>43</v>
      </c>
      <c r="K520" s="27" t="s">
        <v>762</v>
      </c>
      <c r="L520" s="52"/>
      <c r="M520" s="25" t="s">
        <v>762</v>
      </c>
      <c r="N520" s="25" t="s">
        <v>763</v>
      </c>
      <c r="O520" s="25" t="s">
        <v>89</v>
      </c>
      <c r="P520" s="25" t="s">
        <v>417</v>
      </c>
      <c r="Q520" s="25" t="s">
        <v>50</v>
      </c>
      <c r="R520" s="2" t="n">
        <v>1092.46</v>
      </c>
      <c r="S520" s="2" t="n">
        <v>1699</v>
      </c>
      <c r="T520" s="30" t="n">
        <v>1</v>
      </c>
      <c r="U520" s="1" t="str">
        <f aca="false">D520&amp;"-"&amp;E520&amp;"-"&amp;M520&amp;"-"&amp;O520&amp;"-"&amp;P520&amp;"-"&amp;Q520</f>
        <v>TRIUMPH-121 W-151I265-BLUE-40-F</v>
      </c>
      <c r="W520" s="1" t="s">
        <v>586</v>
      </c>
    </row>
    <row r="521" customFormat="false" ht="15" hidden="true" customHeight="false" outlineLevel="0" collapsed="false">
      <c r="B521" s="25" t="s">
        <v>782</v>
      </c>
      <c r="C521" s="2" t="s">
        <v>580</v>
      </c>
      <c r="D521" s="2" t="s">
        <v>581</v>
      </c>
      <c r="E521" s="25" t="s">
        <v>783</v>
      </c>
      <c r="F521" s="3" t="s">
        <v>40</v>
      </c>
      <c r="G521" s="3" t="s">
        <v>41</v>
      </c>
      <c r="H521" s="3" t="s">
        <v>42</v>
      </c>
      <c r="I521" s="3" t="s">
        <v>43</v>
      </c>
      <c r="K521" s="27" t="s">
        <v>784</v>
      </c>
      <c r="L521" s="52"/>
      <c r="M521" s="25" t="s">
        <v>784</v>
      </c>
      <c r="N521" s="25" t="s">
        <v>785</v>
      </c>
      <c r="O521" s="25" t="s">
        <v>619</v>
      </c>
      <c r="P521" s="2" t="n">
        <v>32</v>
      </c>
      <c r="Q521" s="25" t="s">
        <v>592</v>
      </c>
      <c r="R521" s="2" t="n">
        <v>1542.56</v>
      </c>
      <c r="S521" s="17" t="s">
        <v>786</v>
      </c>
      <c r="T521" s="30" t="n">
        <v>1</v>
      </c>
      <c r="U521" s="1" t="str">
        <f aca="false">D521&amp;"-"&amp;E521&amp;"-"&amp;M521&amp;"-"&amp;O521&amp;"-"&amp;P521&amp;"-"&amp;Q521</f>
        <v>TRIUMPH-Blossom Spotlight WP-123|555-GREEN-32-B</v>
      </c>
    </row>
    <row r="522" customFormat="false" ht="15" hidden="true" customHeight="false" outlineLevel="0" collapsed="false">
      <c r="B522" s="31" t="n">
        <v>7611358672868</v>
      </c>
      <c r="C522" s="2" t="s">
        <v>580</v>
      </c>
      <c r="D522" s="2" t="s">
        <v>581</v>
      </c>
      <c r="E522" s="25" t="s">
        <v>783</v>
      </c>
      <c r="F522" s="3" t="s">
        <v>40</v>
      </c>
      <c r="G522" s="3" t="s">
        <v>41</v>
      </c>
      <c r="H522" s="3" t="s">
        <v>42</v>
      </c>
      <c r="I522" s="3" t="s">
        <v>43</v>
      </c>
      <c r="K522" s="27" t="s">
        <v>784</v>
      </c>
      <c r="L522" s="52"/>
      <c r="M522" s="25" t="s">
        <v>784</v>
      </c>
      <c r="N522" s="25" t="s">
        <v>787</v>
      </c>
      <c r="O522" s="25" t="s">
        <v>594</v>
      </c>
      <c r="P522" s="2" t="n">
        <v>32</v>
      </c>
      <c r="Q522" s="2" t="s">
        <v>592</v>
      </c>
      <c r="R522" s="2" t="n">
        <v>1542.56</v>
      </c>
      <c r="S522" s="17" t="s">
        <v>786</v>
      </c>
      <c r="T522" s="30" t="n">
        <v>1</v>
      </c>
      <c r="U522" s="1" t="str">
        <f aca="false">D522&amp;"-"&amp;E522&amp;"-"&amp;M522&amp;"-"&amp;O522&amp;"-"&amp;P522&amp;"-"&amp;Q522</f>
        <v>TRIUMPH-Blossom Spotlight WP-123|555-PINK-32-B</v>
      </c>
    </row>
    <row r="523" customFormat="false" ht="15" hidden="true" customHeight="false" outlineLevel="0" collapsed="false">
      <c r="B523" s="25" t="s">
        <v>788</v>
      </c>
      <c r="C523" s="2" t="s">
        <v>580</v>
      </c>
      <c r="D523" s="2" t="s">
        <v>581</v>
      </c>
      <c r="E523" s="25" t="s">
        <v>783</v>
      </c>
      <c r="F523" s="3" t="s">
        <v>40</v>
      </c>
      <c r="G523" s="3" t="s">
        <v>41</v>
      </c>
      <c r="H523" s="3" t="s">
        <v>42</v>
      </c>
      <c r="I523" s="3" t="s">
        <v>43</v>
      </c>
      <c r="K523" s="27" t="s">
        <v>784</v>
      </c>
      <c r="L523" s="52"/>
      <c r="M523" s="25" t="s">
        <v>784</v>
      </c>
      <c r="N523" s="25" t="s">
        <v>785</v>
      </c>
      <c r="O523" s="25" t="s">
        <v>619</v>
      </c>
      <c r="P523" s="2" t="n">
        <v>32</v>
      </c>
      <c r="Q523" s="25" t="s">
        <v>595</v>
      </c>
      <c r="R523" s="2" t="n">
        <v>1542.56</v>
      </c>
      <c r="S523" s="17" t="s">
        <v>786</v>
      </c>
      <c r="T523" s="30" t="n">
        <v>1</v>
      </c>
      <c r="U523" s="1" t="str">
        <f aca="false">D523&amp;"-"&amp;E523&amp;"-"&amp;M523&amp;"-"&amp;O523&amp;"-"&amp;P523&amp;"-"&amp;Q523</f>
        <v>TRIUMPH-Blossom Spotlight WP-123|555-GREEN-32-C</v>
      </c>
    </row>
    <row r="524" customFormat="false" ht="15" hidden="true" customHeight="false" outlineLevel="0" collapsed="false">
      <c r="B524" s="25" t="s">
        <v>789</v>
      </c>
      <c r="C524" s="2" t="s">
        <v>580</v>
      </c>
      <c r="D524" s="2" t="s">
        <v>581</v>
      </c>
      <c r="E524" s="25" t="s">
        <v>783</v>
      </c>
      <c r="F524" s="3" t="s">
        <v>40</v>
      </c>
      <c r="G524" s="3" t="s">
        <v>41</v>
      </c>
      <c r="H524" s="3" t="s">
        <v>42</v>
      </c>
      <c r="I524" s="3" t="s">
        <v>43</v>
      </c>
      <c r="K524" s="27" t="s">
        <v>784</v>
      </c>
      <c r="L524" s="52"/>
      <c r="M524" s="25" t="s">
        <v>784</v>
      </c>
      <c r="N524" s="25" t="s">
        <v>787</v>
      </c>
      <c r="O524" s="25" t="s">
        <v>594</v>
      </c>
      <c r="P524" s="2" t="n">
        <v>32</v>
      </c>
      <c r="Q524" s="25" t="s">
        <v>595</v>
      </c>
      <c r="R524" s="2" t="n">
        <v>1542.56</v>
      </c>
      <c r="S524" s="17" t="s">
        <v>786</v>
      </c>
      <c r="T524" s="30" t="n">
        <v>1</v>
      </c>
      <c r="U524" s="1" t="str">
        <f aca="false">D524&amp;"-"&amp;E524&amp;"-"&amp;M524&amp;"-"&amp;O524&amp;"-"&amp;P524&amp;"-"&amp;Q524</f>
        <v>TRIUMPH-Blossom Spotlight WP-123|555-PINK-32-C</v>
      </c>
    </row>
    <row r="525" customFormat="false" ht="15" hidden="true" customHeight="false" outlineLevel="0" collapsed="false">
      <c r="B525" s="61" t="s">
        <v>790</v>
      </c>
      <c r="C525" s="2" t="s">
        <v>580</v>
      </c>
      <c r="D525" s="2" t="s">
        <v>581</v>
      </c>
      <c r="E525" s="25" t="s">
        <v>783</v>
      </c>
      <c r="F525" s="3" t="s">
        <v>40</v>
      </c>
      <c r="G525" s="3" t="s">
        <v>41</v>
      </c>
      <c r="H525" s="3" t="s">
        <v>42</v>
      </c>
      <c r="I525" s="3" t="s">
        <v>43</v>
      </c>
      <c r="K525" s="27" t="s">
        <v>784</v>
      </c>
      <c r="L525" s="52"/>
      <c r="M525" s="25" t="s">
        <v>784</v>
      </c>
      <c r="N525" s="25" t="s">
        <v>785</v>
      </c>
      <c r="O525" s="25" t="s">
        <v>619</v>
      </c>
      <c r="P525" s="2" t="n">
        <v>32</v>
      </c>
      <c r="Q525" s="25" t="s">
        <v>97</v>
      </c>
      <c r="R525" s="2" t="n">
        <v>1542.56</v>
      </c>
      <c r="S525" s="17" t="s">
        <v>786</v>
      </c>
      <c r="T525" s="30" t="n">
        <v>1</v>
      </c>
      <c r="U525" s="1" t="str">
        <f aca="false">D525&amp;"-"&amp;E525&amp;"-"&amp;M525&amp;"-"&amp;O525&amp;"-"&amp;P525&amp;"-"&amp;Q525</f>
        <v>TRIUMPH-Blossom Spotlight WP-123|555-GREEN-32-D</v>
      </c>
    </row>
    <row r="526" customFormat="false" ht="15" hidden="true" customHeight="false" outlineLevel="0" collapsed="false">
      <c r="B526" s="25" t="s">
        <v>791</v>
      </c>
      <c r="C526" s="2" t="s">
        <v>580</v>
      </c>
      <c r="D526" s="2" t="s">
        <v>581</v>
      </c>
      <c r="E526" s="25" t="s">
        <v>783</v>
      </c>
      <c r="F526" s="3" t="s">
        <v>40</v>
      </c>
      <c r="G526" s="3" t="s">
        <v>41</v>
      </c>
      <c r="H526" s="3" t="s">
        <v>42</v>
      </c>
      <c r="I526" s="3" t="s">
        <v>43</v>
      </c>
      <c r="K526" s="27" t="s">
        <v>784</v>
      </c>
      <c r="L526" s="52"/>
      <c r="M526" s="25" t="s">
        <v>784</v>
      </c>
      <c r="N526" s="25" t="s">
        <v>787</v>
      </c>
      <c r="O526" s="25" t="s">
        <v>594</v>
      </c>
      <c r="P526" s="2" t="n">
        <v>34</v>
      </c>
      <c r="Q526" s="25" t="s">
        <v>592</v>
      </c>
      <c r="R526" s="2" t="n">
        <v>1542.56</v>
      </c>
      <c r="S526" s="17" t="s">
        <v>786</v>
      </c>
      <c r="T526" s="30" t="n">
        <v>1</v>
      </c>
      <c r="U526" s="1" t="str">
        <f aca="false">D526&amp;"-"&amp;E526&amp;"-"&amp;M526&amp;"-"&amp;O526&amp;"-"&amp;P526&amp;"-"&amp;Q526</f>
        <v>TRIUMPH-Blossom Spotlight WP-123|555-PINK-34-B</v>
      </c>
    </row>
    <row r="527" customFormat="false" ht="15" hidden="true" customHeight="false" outlineLevel="0" collapsed="false">
      <c r="B527" s="25" t="s">
        <v>792</v>
      </c>
      <c r="C527" s="2" t="s">
        <v>580</v>
      </c>
      <c r="D527" s="2" t="s">
        <v>581</v>
      </c>
      <c r="E527" s="25" t="s">
        <v>783</v>
      </c>
      <c r="F527" s="3" t="s">
        <v>40</v>
      </c>
      <c r="G527" s="3" t="s">
        <v>41</v>
      </c>
      <c r="H527" s="3" t="s">
        <v>42</v>
      </c>
      <c r="I527" s="3" t="s">
        <v>43</v>
      </c>
      <c r="K527" s="27" t="s">
        <v>784</v>
      </c>
      <c r="L527" s="52"/>
      <c r="M527" s="25" t="s">
        <v>784</v>
      </c>
      <c r="N527" s="25" t="s">
        <v>787</v>
      </c>
      <c r="O527" s="25" t="s">
        <v>594</v>
      </c>
      <c r="P527" s="2" t="n">
        <v>34</v>
      </c>
      <c r="Q527" s="25" t="s">
        <v>97</v>
      </c>
      <c r="R527" s="2" t="n">
        <v>1542.56</v>
      </c>
      <c r="S527" s="17" t="s">
        <v>786</v>
      </c>
      <c r="T527" s="30" t="n">
        <v>1</v>
      </c>
      <c r="U527" s="1" t="str">
        <f aca="false">D527&amp;"-"&amp;E527&amp;"-"&amp;M527&amp;"-"&amp;O527&amp;"-"&amp;P527&amp;"-"&amp;Q527</f>
        <v>TRIUMPH-Blossom Spotlight WP-123|555-PINK-34-D</v>
      </c>
    </row>
    <row r="528" customFormat="false" ht="15" hidden="true" customHeight="false" outlineLevel="0" collapsed="false">
      <c r="B528" s="61" t="s">
        <v>793</v>
      </c>
      <c r="C528" s="2" t="s">
        <v>580</v>
      </c>
      <c r="D528" s="2" t="s">
        <v>581</v>
      </c>
      <c r="E528" s="25" t="s">
        <v>783</v>
      </c>
      <c r="F528" s="3" t="s">
        <v>40</v>
      </c>
      <c r="G528" s="3" t="s">
        <v>41</v>
      </c>
      <c r="H528" s="3" t="s">
        <v>42</v>
      </c>
      <c r="I528" s="3" t="s">
        <v>43</v>
      </c>
      <c r="K528" s="27" t="s">
        <v>784</v>
      </c>
      <c r="L528" s="52"/>
      <c r="M528" s="25" t="s">
        <v>784</v>
      </c>
      <c r="N528" s="25" t="s">
        <v>787</v>
      </c>
      <c r="O528" s="25" t="s">
        <v>594</v>
      </c>
      <c r="P528" s="2" t="n">
        <v>36</v>
      </c>
      <c r="Q528" s="25" t="s">
        <v>592</v>
      </c>
      <c r="R528" s="2" t="n">
        <v>1542.56</v>
      </c>
      <c r="S528" s="17" t="s">
        <v>786</v>
      </c>
      <c r="T528" s="30" t="n">
        <v>1</v>
      </c>
      <c r="U528" s="1" t="str">
        <f aca="false">D528&amp;"-"&amp;E528&amp;"-"&amp;M528&amp;"-"&amp;O528&amp;"-"&amp;P528&amp;"-"&amp;Q528</f>
        <v>TRIUMPH-Blossom Spotlight WP-123|555-PINK-36-B</v>
      </c>
    </row>
    <row r="529" customFormat="false" ht="15" hidden="true" customHeight="false" outlineLevel="0" collapsed="false">
      <c r="B529" s="25" t="s">
        <v>794</v>
      </c>
      <c r="C529" s="2" t="s">
        <v>580</v>
      </c>
      <c r="D529" s="2" t="s">
        <v>581</v>
      </c>
      <c r="E529" s="25" t="s">
        <v>783</v>
      </c>
      <c r="F529" s="3" t="s">
        <v>40</v>
      </c>
      <c r="G529" s="3" t="s">
        <v>41</v>
      </c>
      <c r="H529" s="3" t="s">
        <v>42</v>
      </c>
      <c r="I529" s="3" t="s">
        <v>43</v>
      </c>
      <c r="K529" s="27" t="s">
        <v>784</v>
      </c>
      <c r="L529" s="52"/>
      <c r="M529" s="25" t="s">
        <v>784</v>
      </c>
      <c r="N529" s="25" t="s">
        <v>787</v>
      </c>
      <c r="O529" s="25" t="s">
        <v>594</v>
      </c>
      <c r="P529" s="2" t="n">
        <v>34</v>
      </c>
      <c r="Q529" s="25" t="s">
        <v>66</v>
      </c>
      <c r="R529" s="2" t="n">
        <v>1542.56</v>
      </c>
      <c r="S529" s="17" t="s">
        <v>786</v>
      </c>
      <c r="T529" s="30" t="n">
        <v>0</v>
      </c>
      <c r="U529" s="1" t="str">
        <f aca="false">D529&amp;"-"&amp;E529&amp;"-"&amp;M529&amp;"-"&amp;O529&amp;"-"&amp;P529&amp;"-"&amp;Q529</f>
        <v>TRIUMPH-Blossom Spotlight WP-123|555-PINK-34-E</v>
      </c>
    </row>
    <row r="530" customFormat="false" ht="15" hidden="true" customHeight="false" outlineLevel="0" collapsed="false">
      <c r="B530" s="25" t="s">
        <v>795</v>
      </c>
      <c r="C530" s="2" t="s">
        <v>580</v>
      </c>
      <c r="D530" s="2" t="s">
        <v>581</v>
      </c>
      <c r="E530" s="25" t="s">
        <v>783</v>
      </c>
      <c r="F530" s="3" t="s">
        <v>40</v>
      </c>
      <c r="G530" s="3" t="s">
        <v>41</v>
      </c>
      <c r="H530" s="3" t="s">
        <v>42</v>
      </c>
      <c r="I530" s="3" t="s">
        <v>43</v>
      </c>
      <c r="K530" s="27" t="s">
        <v>784</v>
      </c>
      <c r="L530" s="52"/>
      <c r="M530" s="25" t="s">
        <v>784</v>
      </c>
      <c r="N530" s="25" t="s">
        <v>785</v>
      </c>
      <c r="O530" s="25" t="s">
        <v>619</v>
      </c>
      <c r="P530" s="2" t="n">
        <v>36</v>
      </c>
      <c r="Q530" s="25" t="s">
        <v>97</v>
      </c>
      <c r="R530" s="2" t="n">
        <v>1542.56</v>
      </c>
      <c r="S530" s="17" t="s">
        <v>786</v>
      </c>
      <c r="T530" s="30" t="n">
        <v>1</v>
      </c>
      <c r="U530" s="1" t="str">
        <f aca="false">D530&amp;"-"&amp;E530&amp;"-"&amp;M530&amp;"-"&amp;O530&amp;"-"&amp;P530&amp;"-"&amp;Q530</f>
        <v>TRIUMPH-Blossom Spotlight WP-123|555-GREEN-36-D</v>
      </c>
    </row>
    <row r="531" customFormat="false" ht="15" hidden="true" customHeight="false" outlineLevel="0" collapsed="false">
      <c r="B531" s="61" t="s">
        <v>796</v>
      </c>
      <c r="C531" s="2" t="s">
        <v>580</v>
      </c>
      <c r="D531" s="2" t="s">
        <v>581</v>
      </c>
      <c r="E531" s="25" t="s">
        <v>783</v>
      </c>
      <c r="F531" s="3" t="s">
        <v>40</v>
      </c>
      <c r="G531" s="3" t="s">
        <v>41</v>
      </c>
      <c r="H531" s="3" t="s">
        <v>42</v>
      </c>
      <c r="I531" s="3" t="s">
        <v>43</v>
      </c>
      <c r="K531" s="27" t="s">
        <v>784</v>
      </c>
      <c r="L531" s="52"/>
      <c r="M531" s="25" t="s">
        <v>784</v>
      </c>
      <c r="N531" s="25" t="s">
        <v>787</v>
      </c>
      <c r="O531" s="25" t="s">
        <v>594</v>
      </c>
      <c r="P531" s="2" t="n">
        <v>36</v>
      </c>
      <c r="Q531" s="25" t="s">
        <v>66</v>
      </c>
      <c r="R531" s="2" t="n">
        <v>1542.56</v>
      </c>
      <c r="S531" s="17" t="s">
        <v>786</v>
      </c>
      <c r="T531" s="30" t="n">
        <v>0</v>
      </c>
      <c r="U531" s="1" t="str">
        <f aca="false">D531&amp;"-"&amp;E531&amp;"-"&amp;M531&amp;"-"&amp;O531&amp;"-"&amp;P531&amp;"-"&amp;Q531</f>
        <v>TRIUMPH-Blossom Spotlight WP-123|555-PINK-36-E</v>
      </c>
    </row>
    <row r="532" customFormat="false" ht="15" hidden="true" customHeight="false" outlineLevel="0" collapsed="false">
      <c r="B532" s="61" t="s">
        <v>797</v>
      </c>
      <c r="C532" s="2" t="s">
        <v>580</v>
      </c>
      <c r="D532" s="2" t="s">
        <v>581</v>
      </c>
      <c r="E532" s="25" t="s">
        <v>783</v>
      </c>
      <c r="F532" s="3" t="s">
        <v>40</v>
      </c>
      <c r="G532" s="3" t="s">
        <v>41</v>
      </c>
      <c r="H532" s="3" t="s">
        <v>42</v>
      </c>
      <c r="I532" s="3" t="s">
        <v>43</v>
      </c>
      <c r="K532" s="27" t="s">
        <v>784</v>
      </c>
      <c r="L532" s="52"/>
      <c r="M532" s="25" t="s">
        <v>784</v>
      </c>
      <c r="N532" s="25" t="s">
        <v>787</v>
      </c>
      <c r="O532" s="25" t="s">
        <v>594</v>
      </c>
      <c r="P532" s="2" t="n">
        <v>38</v>
      </c>
      <c r="Q532" s="25" t="s">
        <v>595</v>
      </c>
      <c r="R532" s="2" t="n">
        <v>1542.56</v>
      </c>
      <c r="S532" s="17" t="s">
        <v>786</v>
      </c>
      <c r="T532" s="30" t="n">
        <v>0</v>
      </c>
      <c r="U532" s="1" t="str">
        <f aca="false">D532&amp;"-"&amp;E532&amp;"-"&amp;M532&amp;"-"&amp;O532&amp;"-"&amp;P532&amp;"-"&amp;Q532</f>
        <v>TRIUMPH-Blossom Spotlight WP-123|555-PINK-38-C</v>
      </c>
    </row>
    <row r="533" customFormat="false" ht="15" hidden="true" customHeight="false" outlineLevel="0" collapsed="false">
      <c r="B533" s="25" t="s">
        <v>798</v>
      </c>
      <c r="C533" s="2" t="s">
        <v>580</v>
      </c>
      <c r="D533" s="2" t="s">
        <v>581</v>
      </c>
      <c r="E533" s="61" t="s">
        <v>799</v>
      </c>
      <c r="F533" s="3" t="s">
        <v>40</v>
      </c>
      <c r="G533" s="3" t="s">
        <v>41</v>
      </c>
      <c r="H533" s="3" t="s">
        <v>42</v>
      </c>
      <c r="I533" s="3" t="s">
        <v>43</v>
      </c>
      <c r="K533" s="19" t="s">
        <v>800</v>
      </c>
      <c r="L533" s="52"/>
      <c r="M533" s="17" t="s">
        <v>800</v>
      </c>
      <c r="N533" s="17" t="s">
        <v>801</v>
      </c>
      <c r="O533" s="17" t="s">
        <v>465</v>
      </c>
      <c r="P533" s="2" t="n">
        <v>32</v>
      </c>
      <c r="Q533" s="17" t="s">
        <v>592</v>
      </c>
      <c r="R533" s="2" t="n">
        <v>1221.06</v>
      </c>
      <c r="S533" s="17" t="s">
        <v>802</v>
      </c>
      <c r="T533" s="30" t="n">
        <v>1</v>
      </c>
      <c r="U533" s="1" t="str">
        <f aca="false">D533&amp;"-"&amp;E533&amp;"-"&amp;M533&amp;"-"&amp;O533&amp;"-"&amp;P533&amp;"-"&amp;Q533</f>
        <v>TRIUMPH-BANDEAU W-123|283-SKIN-32-B</v>
      </c>
      <c r="W533" s="1" t="s">
        <v>586</v>
      </c>
    </row>
    <row r="534" customFormat="false" ht="15" hidden="true" customHeight="false" outlineLevel="0" collapsed="false">
      <c r="B534" s="31" t="n">
        <v>7613108956297</v>
      </c>
      <c r="C534" s="2" t="s">
        <v>580</v>
      </c>
      <c r="D534" s="2" t="s">
        <v>581</v>
      </c>
      <c r="E534" s="61" t="s">
        <v>799</v>
      </c>
      <c r="F534" s="3" t="s">
        <v>40</v>
      </c>
      <c r="G534" s="3" t="s">
        <v>41</v>
      </c>
      <c r="H534" s="3" t="s">
        <v>42</v>
      </c>
      <c r="I534" s="3" t="s">
        <v>43</v>
      </c>
      <c r="K534" s="19" t="s">
        <v>800</v>
      </c>
      <c r="L534" s="52"/>
      <c r="M534" s="17" t="s">
        <v>800</v>
      </c>
      <c r="N534" s="2" t="n">
        <v>94</v>
      </c>
      <c r="O534" s="25" t="s">
        <v>594</v>
      </c>
      <c r="P534" s="2" t="n">
        <v>32</v>
      </c>
      <c r="Q534" s="25" t="s">
        <v>592</v>
      </c>
      <c r="R534" s="2" t="n">
        <v>1221.06</v>
      </c>
      <c r="S534" s="17" t="s">
        <v>802</v>
      </c>
      <c r="T534" s="30" t="n">
        <v>1</v>
      </c>
      <c r="U534" s="1" t="str">
        <f aca="false">D534&amp;"-"&amp;E534&amp;"-"&amp;M534&amp;"-"&amp;O534&amp;"-"&amp;P534&amp;"-"&amp;Q534</f>
        <v>TRIUMPH-BANDEAU W-123|283-PINK-32-B</v>
      </c>
      <c r="W534" s="1" t="s">
        <v>586</v>
      </c>
    </row>
    <row r="535" customFormat="false" ht="15" hidden="true" customHeight="false" outlineLevel="0" collapsed="false">
      <c r="B535" s="61" t="s">
        <v>803</v>
      </c>
      <c r="C535" s="2" t="s">
        <v>580</v>
      </c>
      <c r="D535" s="2" t="s">
        <v>581</v>
      </c>
      <c r="E535" s="61" t="s">
        <v>799</v>
      </c>
      <c r="F535" s="3" t="s">
        <v>40</v>
      </c>
      <c r="G535" s="3" t="s">
        <v>41</v>
      </c>
      <c r="H535" s="3" t="s">
        <v>42</v>
      </c>
      <c r="I535" s="3" t="s">
        <v>43</v>
      </c>
      <c r="K535" s="19" t="s">
        <v>800</v>
      </c>
      <c r="L535" s="52"/>
      <c r="M535" s="17" t="s">
        <v>800</v>
      </c>
      <c r="N535" s="17" t="s">
        <v>801</v>
      </c>
      <c r="O535" s="17" t="s">
        <v>465</v>
      </c>
      <c r="P535" s="61" t="s">
        <v>92</v>
      </c>
      <c r="Q535" s="61" t="s">
        <v>595</v>
      </c>
      <c r="R535" s="2" t="n">
        <v>1221.06</v>
      </c>
      <c r="S535" s="17" t="s">
        <v>802</v>
      </c>
      <c r="T535" s="30" t="n">
        <v>1</v>
      </c>
      <c r="U535" s="1" t="str">
        <f aca="false">D535&amp;"-"&amp;E535&amp;"-"&amp;M535&amp;"-"&amp;O535&amp;"-"&amp;P535&amp;"-"&amp;Q535</f>
        <v>TRIUMPH-BANDEAU W-123|283-SKIN-32-C</v>
      </c>
      <c r="W535" s="1" t="s">
        <v>586</v>
      </c>
    </row>
    <row r="536" customFormat="false" ht="15" hidden="true" customHeight="false" outlineLevel="0" collapsed="false">
      <c r="B536" s="25" t="s">
        <v>804</v>
      </c>
      <c r="C536" s="2" t="s">
        <v>580</v>
      </c>
      <c r="D536" s="2" t="s">
        <v>581</v>
      </c>
      <c r="E536" s="61" t="s">
        <v>799</v>
      </c>
      <c r="F536" s="3" t="s">
        <v>40</v>
      </c>
      <c r="G536" s="3" t="s">
        <v>41</v>
      </c>
      <c r="H536" s="3" t="s">
        <v>42</v>
      </c>
      <c r="I536" s="3" t="s">
        <v>43</v>
      </c>
      <c r="K536" s="19" t="s">
        <v>800</v>
      </c>
      <c r="L536" s="52"/>
      <c r="M536" s="17" t="s">
        <v>800</v>
      </c>
      <c r="N536" s="25" t="s">
        <v>805</v>
      </c>
      <c r="O536" s="17" t="s">
        <v>594</v>
      </c>
      <c r="P536" s="25" t="s">
        <v>92</v>
      </c>
      <c r="Q536" s="25" t="s">
        <v>595</v>
      </c>
      <c r="R536" s="2" t="n">
        <v>1221.06</v>
      </c>
      <c r="S536" s="17" t="s">
        <v>802</v>
      </c>
      <c r="T536" s="30" t="n">
        <v>1</v>
      </c>
      <c r="U536" s="1" t="str">
        <f aca="false">D536&amp;"-"&amp;E536&amp;"-"&amp;M536&amp;"-"&amp;O536&amp;"-"&amp;P536&amp;"-"&amp;Q536</f>
        <v>TRIUMPH-BANDEAU W-123|283-PINK-32-C</v>
      </c>
      <c r="W536" s="1" t="s">
        <v>586</v>
      </c>
    </row>
    <row r="537" customFormat="false" ht="15" hidden="true" customHeight="false" outlineLevel="0" collapsed="false">
      <c r="B537" s="25" t="s">
        <v>806</v>
      </c>
      <c r="C537" s="2" t="s">
        <v>580</v>
      </c>
      <c r="D537" s="2" t="s">
        <v>581</v>
      </c>
      <c r="E537" s="61" t="s">
        <v>799</v>
      </c>
      <c r="F537" s="3" t="s">
        <v>40</v>
      </c>
      <c r="G537" s="3" t="s">
        <v>41</v>
      </c>
      <c r="H537" s="3" t="s">
        <v>42</v>
      </c>
      <c r="I537" s="3" t="s">
        <v>43</v>
      </c>
      <c r="K537" s="19" t="s">
        <v>800</v>
      </c>
      <c r="L537" s="52"/>
      <c r="M537" s="17" t="s">
        <v>800</v>
      </c>
      <c r="N537" s="25" t="s">
        <v>805</v>
      </c>
      <c r="O537" s="17" t="s">
        <v>594</v>
      </c>
      <c r="P537" s="25" t="s">
        <v>92</v>
      </c>
      <c r="Q537" s="25" t="s">
        <v>97</v>
      </c>
      <c r="R537" s="2" t="n">
        <v>1221.06</v>
      </c>
      <c r="S537" s="17" t="s">
        <v>802</v>
      </c>
      <c r="T537" s="30" t="n">
        <v>1</v>
      </c>
      <c r="U537" s="1" t="str">
        <f aca="false">D537&amp;"-"&amp;E537&amp;"-"&amp;M537&amp;"-"&amp;O537&amp;"-"&amp;P537&amp;"-"&amp;Q537</f>
        <v>TRIUMPH-BANDEAU W-123|283-PINK-32-D</v>
      </c>
      <c r="W537" s="1" t="s">
        <v>586</v>
      </c>
    </row>
    <row r="538" customFormat="false" ht="15" hidden="true" customHeight="false" outlineLevel="0" collapsed="false">
      <c r="B538" s="25" t="s">
        <v>807</v>
      </c>
      <c r="C538" s="2" t="s">
        <v>580</v>
      </c>
      <c r="D538" s="2" t="s">
        <v>581</v>
      </c>
      <c r="E538" s="61" t="s">
        <v>799</v>
      </c>
      <c r="F538" s="3" t="s">
        <v>40</v>
      </c>
      <c r="G538" s="3" t="s">
        <v>41</v>
      </c>
      <c r="H538" s="3" t="s">
        <v>42</v>
      </c>
      <c r="I538" s="3" t="s">
        <v>43</v>
      </c>
      <c r="K538" s="19" t="s">
        <v>800</v>
      </c>
      <c r="L538" s="52"/>
      <c r="M538" s="17" t="s">
        <v>800</v>
      </c>
      <c r="N538" s="17" t="s">
        <v>808</v>
      </c>
      <c r="O538" s="17" t="s">
        <v>755</v>
      </c>
      <c r="P538" s="17" t="s">
        <v>92</v>
      </c>
      <c r="Q538" s="25" t="s">
        <v>97</v>
      </c>
      <c r="R538" s="2" t="n">
        <v>1221.06</v>
      </c>
      <c r="S538" s="17" t="s">
        <v>802</v>
      </c>
      <c r="T538" s="30" t="n">
        <v>1</v>
      </c>
      <c r="U538" s="1" t="str">
        <f aca="false">D538&amp;"-"&amp;E538&amp;"-"&amp;M538&amp;"-"&amp;O538&amp;"-"&amp;P538&amp;"-"&amp;Q538</f>
        <v>TRIUMPH-BANDEAU W-123|283-GREY-32-D</v>
      </c>
      <c r="W538" s="1" t="s">
        <v>586</v>
      </c>
    </row>
    <row r="539" customFormat="false" ht="15" hidden="true" customHeight="false" outlineLevel="0" collapsed="false">
      <c r="B539" s="31" t="n">
        <v>7611358663668</v>
      </c>
      <c r="C539" s="2" t="s">
        <v>580</v>
      </c>
      <c r="D539" s="2" t="s">
        <v>581</v>
      </c>
      <c r="E539" s="61" t="s">
        <v>799</v>
      </c>
      <c r="F539" s="3" t="s">
        <v>40</v>
      </c>
      <c r="G539" s="3" t="s">
        <v>41</v>
      </c>
      <c r="H539" s="3" t="s">
        <v>42</v>
      </c>
      <c r="I539" s="3" t="s">
        <v>43</v>
      </c>
      <c r="K539" s="19" t="s">
        <v>800</v>
      </c>
      <c r="L539" s="52"/>
      <c r="M539" s="17" t="s">
        <v>800</v>
      </c>
      <c r="N539" s="17" t="s">
        <v>801</v>
      </c>
      <c r="O539" s="17" t="s">
        <v>465</v>
      </c>
      <c r="P539" s="17" t="s">
        <v>92</v>
      </c>
      <c r="Q539" s="25" t="s">
        <v>97</v>
      </c>
      <c r="R539" s="2" t="n">
        <v>1221.06</v>
      </c>
      <c r="S539" s="17" t="s">
        <v>802</v>
      </c>
      <c r="T539" s="30" t="n">
        <v>1</v>
      </c>
      <c r="U539" s="1" t="str">
        <f aca="false">D539&amp;"-"&amp;E539&amp;"-"&amp;M539&amp;"-"&amp;O539&amp;"-"&amp;P539&amp;"-"&amp;Q539</f>
        <v>TRIUMPH-BANDEAU W-123|283-SKIN-32-D</v>
      </c>
      <c r="W539" s="1" t="s">
        <v>586</v>
      </c>
    </row>
    <row r="540" customFormat="false" ht="15" hidden="true" customHeight="false" outlineLevel="0" collapsed="false">
      <c r="B540" s="25" t="s">
        <v>809</v>
      </c>
      <c r="C540" s="2" t="s">
        <v>580</v>
      </c>
      <c r="D540" s="2" t="s">
        <v>581</v>
      </c>
      <c r="E540" s="61" t="s">
        <v>799</v>
      </c>
      <c r="F540" s="3" t="s">
        <v>40</v>
      </c>
      <c r="G540" s="3" t="s">
        <v>41</v>
      </c>
      <c r="H540" s="3" t="s">
        <v>42</v>
      </c>
      <c r="I540" s="3" t="s">
        <v>43</v>
      </c>
      <c r="K540" s="19" t="s">
        <v>800</v>
      </c>
      <c r="L540" s="52"/>
      <c r="M540" s="17" t="s">
        <v>800</v>
      </c>
      <c r="N540" s="25" t="s">
        <v>808</v>
      </c>
      <c r="O540" s="17" t="s">
        <v>755</v>
      </c>
      <c r="P540" s="25" t="s">
        <v>134</v>
      </c>
      <c r="Q540" s="2" t="s">
        <v>592</v>
      </c>
      <c r="R540" s="2" t="n">
        <v>1221.06</v>
      </c>
      <c r="S540" s="17" t="s">
        <v>802</v>
      </c>
      <c r="T540" s="30" t="n">
        <v>3</v>
      </c>
      <c r="U540" s="1" t="str">
        <f aca="false">D540&amp;"-"&amp;E540&amp;"-"&amp;M540&amp;"-"&amp;O540&amp;"-"&amp;P540&amp;"-"&amp;Q540</f>
        <v>TRIUMPH-BANDEAU W-123|283-GREY-34-B</v>
      </c>
      <c r="W540" s="1" t="s">
        <v>586</v>
      </c>
    </row>
    <row r="541" customFormat="false" ht="15" hidden="true" customHeight="false" outlineLevel="0" collapsed="false">
      <c r="B541" s="61" t="s">
        <v>810</v>
      </c>
      <c r="C541" s="2" t="s">
        <v>580</v>
      </c>
      <c r="D541" s="2" t="s">
        <v>581</v>
      </c>
      <c r="E541" s="61" t="s">
        <v>799</v>
      </c>
      <c r="F541" s="3" t="s">
        <v>40</v>
      </c>
      <c r="G541" s="3" t="s">
        <v>41</v>
      </c>
      <c r="H541" s="3" t="s">
        <v>42</v>
      </c>
      <c r="I541" s="3" t="s">
        <v>43</v>
      </c>
      <c r="K541" s="19" t="s">
        <v>800</v>
      </c>
      <c r="L541" s="52"/>
      <c r="M541" s="17" t="s">
        <v>800</v>
      </c>
      <c r="N541" s="61" t="s">
        <v>805</v>
      </c>
      <c r="O541" s="17" t="s">
        <v>594</v>
      </c>
      <c r="P541" s="25" t="s">
        <v>134</v>
      </c>
      <c r="Q541" s="2" t="s">
        <v>592</v>
      </c>
      <c r="R541" s="2" t="n">
        <v>1221.06</v>
      </c>
      <c r="S541" s="17" t="s">
        <v>802</v>
      </c>
      <c r="T541" s="30" t="n">
        <v>1</v>
      </c>
      <c r="U541" s="1" t="str">
        <f aca="false">D541&amp;"-"&amp;E541&amp;"-"&amp;M541&amp;"-"&amp;O541&amp;"-"&amp;P541&amp;"-"&amp;Q541</f>
        <v>TRIUMPH-BANDEAU W-123|283-PINK-34-B</v>
      </c>
      <c r="W541" s="1" t="s">
        <v>586</v>
      </c>
    </row>
    <row r="542" customFormat="false" ht="15" hidden="true" customHeight="false" outlineLevel="0" collapsed="false">
      <c r="B542" s="31" t="n">
        <v>7611358663606</v>
      </c>
      <c r="C542" s="2" t="s">
        <v>580</v>
      </c>
      <c r="D542" s="2" t="s">
        <v>581</v>
      </c>
      <c r="E542" s="61" t="s">
        <v>799</v>
      </c>
      <c r="F542" s="3" t="s">
        <v>40</v>
      </c>
      <c r="G542" s="3" t="s">
        <v>41</v>
      </c>
      <c r="H542" s="3" t="s">
        <v>42</v>
      </c>
      <c r="I542" s="3" t="s">
        <v>43</v>
      </c>
      <c r="K542" s="19" t="s">
        <v>800</v>
      </c>
      <c r="L542" s="52"/>
      <c r="M542" s="17" t="s">
        <v>800</v>
      </c>
      <c r="N542" s="17" t="s">
        <v>801</v>
      </c>
      <c r="O542" s="2" t="s">
        <v>465</v>
      </c>
      <c r="P542" s="25" t="s">
        <v>134</v>
      </c>
      <c r="Q542" s="2" t="s">
        <v>592</v>
      </c>
      <c r="R542" s="2" t="n">
        <v>1221.06</v>
      </c>
      <c r="S542" s="17" t="s">
        <v>802</v>
      </c>
      <c r="T542" s="30" t="n">
        <v>1</v>
      </c>
      <c r="U542" s="1" t="str">
        <f aca="false">D542&amp;"-"&amp;E542&amp;"-"&amp;M542&amp;"-"&amp;O542&amp;"-"&amp;P542&amp;"-"&amp;Q542</f>
        <v>TRIUMPH-BANDEAU W-123|283-SKIN-34-B</v>
      </c>
      <c r="W542" s="1" t="s">
        <v>586</v>
      </c>
    </row>
    <row r="543" customFormat="false" ht="15" hidden="true" customHeight="false" outlineLevel="0" collapsed="false">
      <c r="B543" s="25" t="s">
        <v>811</v>
      </c>
      <c r="C543" s="2" t="s">
        <v>580</v>
      </c>
      <c r="D543" s="2" t="s">
        <v>581</v>
      </c>
      <c r="E543" s="61" t="s">
        <v>799</v>
      </c>
      <c r="F543" s="3" t="s">
        <v>40</v>
      </c>
      <c r="G543" s="3" t="s">
        <v>41</v>
      </c>
      <c r="H543" s="3" t="s">
        <v>42</v>
      </c>
      <c r="I543" s="3" t="s">
        <v>43</v>
      </c>
      <c r="K543" s="19" t="s">
        <v>800</v>
      </c>
      <c r="L543" s="52"/>
      <c r="M543" s="17" t="s">
        <v>800</v>
      </c>
      <c r="N543" s="25" t="s">
        <v>801</v>
      </c>
      <c r="O543" s="17" t="s">
        <v>465</v>
      </c>
      <c r="P543" s="25" t="s">
        <v>134</v>
      </c>
      <c r="Q543" s="25" t="s">
        <v>595</v>
      </c>
      <c r="R543" s="2" t="n">
        <v>1221.06</v>
      </c>
      <c r="S543" s="17" t="s">
        <v>802</v>
      </c>
      <c r="T543" s="30" t="n">
        <v>1</v>
      </c>
      <c r="U543" s="1" t="str">
        <f aca="false">D543&amp;"-"&amp;E543&amp;"-"&amp;M543&amp;"-"&amp;O543&amp;"-"&amp;P543&amp;"-"&amp;Q543</f>
        <v>TRIUMPH-BANDEAU W-123|283-SKIN-34-C</v>
      </c>
      <c r="W543" s="1" t="s">
        <v>586</v>
      </c>
    </row>
    <row r="544" customFormat="false" ht="15" hidden="true" customHeight="false" outlineLevel="0" collapsed="false">
      <c r="B544" s="25" t="s">
        <v>812</v>
      </c>
      <c r="C544" s="2" t="s">
        <v>580</v>
      </c>
      <c r="D544" s="2" t="s">
        <v>581</v>
      </c>
      <c r="E544" s="61" t="s">
        <v>799</v>
      </c>
      <c r="F544" s="3" t="s">
        <v>40</v>
      </c>
      <c r="G544" s="3" t="s">
        <v>41</v>
      </c>
      <c r="H544" s="3" t="s">
        <v>42</v>
      </c>
      <c r="I544" s="3" t="s">
        <v>43</v>
      </c>
      <c r="K544" s="19" t="s">
        <v>800</v>
      </c>
      <c r="L544" s="52"/>
      <c r="M544" s="17" t="s">
        <v>800</v>
      </c>
      <c r="N544" s="17" t="s">
        <v>805</v>
      </c>
      <c r="O544" s="17" t="s">
        <v>594</v>
      </c>
      <c r="P544" s="25" t="s">
        <v>134</v>
      </c>
      <c r="Q544" s="25" t="s">
        <v>595</v>
      </c>
      <c r="R544" s="2" t="n">
        <v>1221.06</v>
      </c>
      <c r="S544" s="17" t="s">
        <v>802</v>
      </c>
      <c r="T544" s="30" t="n">
        <v>0</v>
      </c>
      <c r="U544" s="1" t="str">
        <f aca="false">D544&amp;"-"&amp;E544&amp;"-"&amp;M544&amp;"-"&amp;O544&amp;"-"&amp;P544&amp;"-"&amp;Q544</f>
        <v>TRIUMPH-BANDEAU W-123|283-PINK-34-C</v>
      </c>
      <c r="W544" s="1" t="s">
        <v>586</v>
      </c>
    </row>
    <row r="545" customFormat="false" ht="15" hidden="true" customHeight="false" outlineLevel="0" collapsed="false">
      <c r="B545" s="61" t="s">
        <v>813</v>
      </c>
      <c r="C545" s="2" t="s">
        <v>580</v>
      </c>
      <c r="D545" s="2" t="s">
        <v>581</v>
      </c>
      <c r="E545" s="61" t="s">
        <v>799</v>
      </c>
      <c r="F545" s="3" t="s">
        <v>40</v>
      </c>
      <c r="G545" s="3" t="s">
        <v>41</v>
      </c>
      <c r="H545" s="3" t="s">
        <v>42</v>
      </c>
      <c r="I545" s="3" t="s">
        <v>43</v>
      </c>
      <c r="K545" s="19" t="s">
        <v>800</v>
      </c>
      <c r="L545" s="52"/>
      <c r="M545" s="17" t="s">
        <v>800</v>
      </c>
      <c r="N545" s="29" t="s">
        <v>805</v>
      </c>
      <c r="O545" s="17" t="s">
        <v>594</v>
      </c>
      <c r="P545" s="61" t="s">
        <v>134</v>
      </c>
      <c r="Q545" s="61" t="s">
        <v>97</v>
      </c>
      <c r="R545" s="2" t="n">
        <v>1221.06</v>
      </c>
      <c r="S545" s="17" t="s">
        <v>802</v>
      </c>
      <c r="T545" s="30" t="n">
        <v>0</v>
      </c>
      <c r="U545" s="1" t="str">
        <f aca="false">D545&amp;"-"&amp;E545&amp;"-"&amp;M545&amp;"-"&amp;O545&amp;"-"&amp;P545&amp;"-"&amp;Q545</f>
        <v>TRIUMPH-BANDEAU W-123|283-PINK-34-D</v>
      </c>
      <c r="W545" s="1" t="s">
        <v>586</v>
      </c>
    </row>
    <row r="546" customFormat="false" ht="15" hidden="true" customHeight="false" outlineLevel="0" collapsed="false">
      <c r="B546" s="61" t="s">
        <v>814</v>
      </c>
      <c r="C546" s="2" t="s">
        <v>580</v>
      </c>
      <c r="D546" s="2" t="s">
        <v>581</v>
      </c>
      <c r="E546" s="61" t="s">
        <v>799</v>
      </c>
      <c r="F546" s="3" t="s">
        <v>40</v>
      </c>
      <c r="G546" s="3" t="s">
        <v>41</v>
      </c>
      <c r="H546" s="3" t="s">
        <v>42</v>
      </c>
      <c r="I546" s="3" t="s">
        <v>43</v>
      </c>
      <c r="K546" s="19" t="s">
        <v>800</v>
      </c>
      <c r="L546" s="52"/>
      <c r="M546" s="17" t="s">
        <v>800</v>
      </c>
      <c r="N546" s="29" t="s">
        <v>801</v>
      </c>
      <c r="O546" s="17" t="s">
        <v>465</v>
      </c>
      <c r="P546" s="61" t="s">
        <v>134</v>
      </c>
      <c r="Q546" s="61" t="s">
        <v>97</v>
      </c>
      <c r="R546" s="2" t="n">
        <v>1221.06</v>
      </c>
      <c r="S546" s="17" t="s">
        <v>802</v>
      </c>
      <c r="T546" s="30" t="n">
        <v>0</v>
      </c>
      <c r="U546" s="1" t="str">
        <f aca="false">D546&amp;"-"&amp;E546&amp;"-"&amp;M546&amp;"-"&amp;O546&amp;"-"&amp;P546&amp;"-"&amp;Q546</f>
        <v>TRIUMPH-BANDEAU W-123|283-SKIN-34-D</v>
      </c>
      <c r="W546" s="1" t="s">
        <v>586</v>
      </c>
    </row>
    <row r="547" customFormat="false" ht="15" hidden="true" customHeight="false" outlineLevel="0" collapsed="false">
      <c r="B547" s="25" t="s">
        <v>815</v>
      </c>
      <c r="C547" s="2" t="s">
        <v>580</v>
      </c>
      <c r="D547" s="2" t="s">
        <v>581</v>
      </c>
      <c r="E547" s="61" t="s">
        <v>799</v>
      </c>
      <c r="F547" s="3" t="s">
        <v>40</v>
      </c>
      <c r="G547" s="3" t="s">
        <v>41</v>
      </c>
      <c r="H547" s="3" t="s">
        <v>42</v>
      </c>
      <c r="I547" s="3" t="s">
        <v>43</v>
      </c>
      <c r="K547" s="19" t="s">
        <v>800</v>
      </c>
      <c r="L547" s="52"/>
      <c r="M547" s="17" t="s">
        <v>800</v>
      </c>
      <c r="N547" s="25" t="s">
        <v>801</v>
      </c>
      <c r="O547" s="17" t="s">
        <v>465</v>
      </c>
      <c r="P547" s="25" t="s">
        <v>65</v>
      </c>
      <c r="Q547" s="25" t="s">
        <v>595</v>
      </c>
      <c r="R547" s="2" t="n">
        <v>1221.06</v>
      </c>
      <c r="S547" s="17" t="s">
        <v>802</v>
      </c>
      <c r="T547" s="30" t="n">
        <v>1</v>
      </c>
      <c r="U547" s="1" t="str">
        <f aca="false">D547&amp;"-"&amp;E547&amp;"-"&amp;M547&amp;"-"&amp;O547&amp;"-"&amp;P547&amp;"-"&amp;Q547</f>
        <v>TRIUMPH-BANDEAU W-123|283-SKIN-36-C</v>
      </c>
      <c r="W547" s="1" t="s">
        <v>586</v>
      </c>
    </row>
    <row r="548" customFormat="false" ht="15" hidden="true" customHeight="false" outlineLevel="0" collapsed="false">
      <c r="B548" s="25" t="s">
        <v>816</v>
      </c>
      <c r="C548" s="2" t="s">
        <v>580</v>
      </c>
      <c r="D548" s="2" t="s">
        <v>581</v>
      </c>
      <c r="E548" s="61" t="s">
        <v>799</v>
      </c>
      <c r="F548" s="3" t="s">
        <v>40</v>
      </c>
      <c r="G548" s="3" t="s">
        <v>41</v>
      </c>
      <c r="H548" s="3" t="s">
        <v>42</v>
      </c>
      <c r="I548" s="3" t="s">
        <v>43</v>
      </c>
      <c r="K548" s="19" t="s">
        <v>800</v>
      </c>
      <c r="L548" s="52"/>
      <c r="M548" s="17" t="s">
        <v>800</v>
      </c>
      <c r="N548" s="25" t="s">
        <v>805</v>
      </c>
      <c r="O548" s="17" t="s">
        <v>594</v>
      </c>
      <c r="P548" s="25" t="s">
        <v>65</v>
      </c>
      <c r="Q548" s="25" t="s">
        <v>595</v>
      </c>
      <c r="R548" s="2" t="n">
        <v>1221.06</v>
      </c>
      <c r="S548" s="17" t="s">
        <v>802</v>
      </c>
      <c r="T548" s="30" t="n">
        <v>3</v>
      </c>
      <c r="U548" s="1" t="str">
        <f aca="false">D548&amp;"-"&amp;E548&amp;"-"&amp;M548&amp;"-"&amp;O548&amp;"-"&amp;P548&amp;"-"&amp;Q548</f>
        <v>TRIUMPH-BANDEAU W-123|283-PINK-36-C</v>
      </c>
      <c r="W548" s="1" t="s">
        <v>586</v>
      </c>
    </row>
    <row r="549" customFormat="false" ht="15" hidden="true" customHeight="false" outlineLevel="0" collapsed="false">
      <c r="B549" s="61" t="s">
        <v>817</v>
      </c>
      <c r="C549" s="2" t="s">
        <v>580</v>
      </c>
      <c r="D549" s="2" t="s">
        <v>581</v>
      </c>
      <c r="E549" s="61" t="s">
        <v>799</v>
      </c>
      <c r="F549" s="3" t="s">
        <v>40</v>
      </c>
      <c r="G549" s="3" t="s">
        <v>41</v>
      </c>
      <c r="H549" s="3" t="s">
        <v>42</v>
      </c>
      <c r="I549" s="3" t="s">
        <v>43</v>
      </c>
      <c r="K549" s="19" t="s">
        <v>800</v>
      </c>
      <c r="L549" s="52"/>
      <c r="M549" s="17" t="s">
        <v>800</v>
      </c>
      <c r="N549" s="61" t="s">
        <v>805</v>
      </c>
      <c r="O549" s="17" t="s">
        <v>594</v>
      </c>
      <c r="P549" s="61" t="s">
        <v>65</v>
      </c>
      <c r="Q549" s="61" t="s">
        <v>97</v>
      </c>
      <c r="R549" s="2" t="n">
        <v>1221.06</v>
      </c>
      <c r="S549" s="17" t="s">
        <v>802</v>
      </c>
      <c r="T549" s="30" t="n">
        <v>1</v>
      </c>
      <c r="U549" s="1" t="str">
        <f aca="false">D549&amp;"-"&amp;E549&amp;"-"&amp;M549&amp;"-"&amp;O549&amp;"-"&amp;P549&amp;"-"&amp;Q549</f>
        <v>TRIUMPH-BANDEAU W-123|283-PINK-36-D</v>
      </c>
      <c r="W549" s="1" t="s">
        <v>586</v>
      </c>
    </row>
    <row r="550" customFormat="false" ht="15" hidden="true" customHeight="false" outlineLevel="0" collapsed="false">
      <c r="B550" s="61" t="s">
        <v>818</v>
      </c>
      <c r="C550" s="2" t="s">
        <v>580</v>
      </c>
      <c r="D550" s="2" t="s">
        <v>581</v>
      </c>
      <c r="E550" s="61" t="s">
        <v>799</v>
      </c>
      <c r="F550" s="3" t="s">
        <v>40</v>
      </c>
      <c r="G550" s="3" t="s">
        <v>41</v>
      </c>
      <c r="H550" s="3" t="s">
        <v>42</v>
      </c>
      <c r="I550" s="3" t="s">
        <v>43</v>
      </c>
      <c r="K550" s="19" t="s">
        <v>800</v>
      </c>
      <c r="L550" s="52"/>
      <c r="M550" s="17" t="s">
        <v>800</v>
      </c>
      <c r="N550" s="29" t="s">
        <v>805</v>
      </c>
      <c r="O550" s="17" t="s">
        <v>594</v>
      </c>
      <c r="P550" s="61" t="s">
        <v>65</v>
      </c>
      <c r="Q550" s="61" t="s">
        <v>592</v>
      </c>
      <c r="R550" s="2" t="n">
        <v>1221.06</v>
      </c>
      <c r="S550" s="17" t="s">
        <v>802</v>
      </c>
      <c r="T550" s="30" t="n">
        <v>2</v>
      </c>
      <c r="U550" s="1" t="str">
        <f aca="false">D550&amp;"-"&amp;E550&amp;"-"&amp;M550&amp;"-"&amp;O550&amp;"-"&amp;P550&amp;"-"&amp;Q550</f>
        <v>TRIUMPH-BANDEAU W-123|283-PINK-36-B</v>
      </c>
      <c r="W550" s="1" t="s">
        <v>586</v>
      </c>
    </row>
    <row r="551" customFormat="false" ht="15" hidden="true" customHeight="false" outlineLevel="0" collapsed="false">
      <c r="B551" s="25" t="s">
        <v>819</v>
      </c>
      <c r="C551" s="2" t="s">
        <v>580</v>
      </c>
      <c r="D551" s="2" t="s">
        <v>581</v>
      </c>
      <c r="E551" s="61" t="s">
        <v>820</v>
      </c>
      <c r="F551" s="3" t="s">
        <v>40</v>
      </c>
      <c r="G551" s="3" t="s">
        <v>41</v>
      </c>
      <c r="H551" s="3" t="s">
        <v>42</v>
      </c>
      <c r="I551" s="3" t="s">
        <v>43</v>
      </c>
      <c r="K551" s="19" t="s">
        <v>821</v>
      </c>
      <c r="L551" s="52"/>
      <c r="M551" s="17" t="s">
        <v>821</v>
      </c>
      <c r="N551" s="17" t="s">
        <v>822</v>
      </c>
      <c r="O551" s="29" t="s">
        <v>89</v>
      </c>
      <c r="P551" s="25" t="s">
        <v>823</v>
      </c>
      <c r="Q551" s="25" t="s">
        <v>97</v>
      </c>
      <c r="R551" s="2" t="n">
        <v>1478.26</v>
      </c>
      <c r="S551" s="17" t="s">
        <v>824</v>
      </c>
      <c r="T551" s="22" t="s">
        <v>121</v>
      </c>
      <c r="U551" s="1" t="str">
        <f aca="false">D551&amp;"-"&amp;E551&amp;"-"&amp;M551&amp;"-"&amp;O551&amp;"-"&amp;P551&amp;"-"&amp;Q551</f>
        <v>TRIUMPH-Gorgeous Silhouette WP-122|558-BLUE-34D-D</v>
      </c>
    </row>
    <row r="552" customFormat="false" ht="15" hidden="true" customHeight="false" outlineLevel="0" collapsed="false">
      <c r="B552" s="25" t="s">
        <v>825</v>
      </c>
      <c r="C552" s="2" t="s">
        <v>580</v>
      </c>
      <c r="D552" s="2" t="s">
        <v>581</v>
      </c>
      <c r="E552" s="61" t="s">
        <v>820</v>
      </c>
      <c r="F552" s="3" t="s">
        <v>40</v>
      </c>
      <c r="G552" s="3" t="s">
        <v>41</v>
      </c>
      <c r="H552" s="3" t="s">
        <v>42</v>
      </c>
      <c r="I552" s="3" t="s">
        <v>43</v>
      </c>
      <c r="K552" s="19" t="s">
        <v>821</v>
      </c>
      <c r="L552" s="52"/>
      <c r="M552" s="17" t="s">
        <v>821</v>
      </c>
      <c r="N552" s="17" t="s">
        <v>826</v>
      </c>
      <c r="O552" s="29" t="s">
        <v>594</v>
      </c>
      <c r="P552" s="25" t="s">
        <v>134</v>
      </c>
      <c r="Q552" s="25" t="s">
        <v>97</v>
      </c>
      <c r="R552" s="2" t="n">
        <v>1478.26</v>
      </c>
      <c r="S552" s="17" t="s">
        <v>824</v>
      </c>
      <c r="T552" s="22" t="s">
        <v>112</v>
      </c>
      <c r="U552" s="1" t="str">
        <f aca="false">D552&amp;"-"&amp;E552&amp;"-"&amp;M552&amp;"-"&amp;O552&amp;"-"&amp;P552&amp;"-"&amp;Q552</f>
        <v>TRIUMPH-Gorgeous Silhouette WP-122|558-PINK-34-D</v>
      </c>
    </row>
    <row r="553" customFormat="false" ht="15" hidden="true" customHeight="false" outlineLevel="0" collapsed="false">
      <c r="B553" s="61" t="s">
        <v>827</v>
      </c>
      <c r="C553" s="2" t="s">
        <v>580</v>
      </c>
      <c r="D553" s="2" t="s">
        <v>581</v>
      </c>
      <c r="E553" s="61" t="s">
        <v>820</v>
      </c>
      <c r="F553" s="3" t="s">
        <v>40</v>
      </c>
      <c r="G553" s="3" t="s">
        <v>41</v>
      </c>
      <c r="H553" s="3" t="s">
        <v>42</v>
      </c>
      <c r="I553" s="3" t="s">
        <v>43</v>
      </c>
      <c r="K553" s="19" t="s">
        <v>821</v>
      </c>
      <c r="L553" s="52"/>
      <c r="M553" s="17" t="s">
        <v>821</v>
      </c>
      <c r="N553" s="17" t="s">
        <v>822</v>
      </c>
      <c r="O553" s="29" t="s">
        <v>89</v>
      </c>
      <c r="P553" s="61" t="s">
        <v>134</v>
      </c>
      <c r="Q553" s="61" t="s">
        <v>66</v>
      </c>
      <c r="R553" s="2" t="n">
        <v>1478.26</v>
      </c>
      <c r="S553" s="17" t="s">
        <v>824</v>
      </c>
      <c r="T553" s="22" t="s">
        <v>112</v>
      </c>
      <c r="U553" s="1" t="str">
        <f aca="false">D553&amp;"-"&amp;E553&amp;"-"&amp;M553&amp;"-"&amp;O553&amp;"-"&amp;P553&amp;"-"&amp;Q553</f>
        <v>TRIUMPH-Gorgeous Silhouette WP-122|558-BLUE-34-E</v>
      </c>
    </row>
    <row r="554" customFormat="false" ht="15" hidden="true" customHeight="false" outlineLevel="0" collapsed="false">
      <c r="B554" s="61" t="s">
        <v>828</v>
      </c>
      <c r="C554" s="2" t="s">
        <v>580</v>
      </c>
      <c r="D554" s="2" t="s">
        <v>581</v>
      </c>
      <c r="E554" s="61" t="s">
        <v>820</v>
      </c>
      <c r="F554" s="3" t="s">
        <v>40</v>
      </c>
      <c r="G554" s="3" t="s">
        <v>41</v>
      </c>
      <c r="H554" s="3" t="s">
        <v>42</v>
      </c>
      <c r="I554" s="3" t="s">
        <v>43</v>
      </c>
      <c r="K554" s="19" t="s">
        <v>821</v>
      </c>
      <c r="L554" s="52"/>
      <c r="M554" s="17" t="s">
        <v>821</v>
      </c>
      <c r="N554" s="17" t="s">
        <v>826</v>
      </c>
      <c r="O554" s="29" t="s">
        <v>594</v>
      </c>
      <c r="P554" s="61" t="s">
        <v>65</v>
      </c>
      <c r="Q554" s="61" t="s">
        <v>97</v>
      </c>
      <c r="R554" s="2" t="n">
        <v>1478.26</v>
      </c>
      <c r="S554" s="17" t="s">
        <v>824</v>
      </c>
      <c r="T554" s="22" t="s">
        <v>112</v>
      </c>
      <c r="U554" s="1" t="str">
        <f aca="false">D554&amp;"-"&amp;E554&amp;"-"&amp;M554&amp;"-"&amp;O554&amp;"-"&amp;P554&amp;"-"&amp;Q554</f>
        <v>TRIUMPH-Gorgeous Silhouette WP-122|558-PINK-36-D</v>
      </c>
    </row>
    <row r="555" customFormat="false" ht="15" hidden="true" customHeight="false" outlineLevel="0" collapsed="false">
      <c r="B555" s="25" t="s">
        <v>829</v>
      </c>
      <c r="C555" s="2" t="s">
        <v>580</v>
      </c>
      <c r="D555" s="2" t="s">
        <v>581</v>
      </c>
      <c r="E555" s="61" t="s">
        <v>820</v>
      </c>
      <c r="F555" s="3" t="s">
        <v>40</v>
      </c>
      <c r="G555" s="3" t="s">
        <v>41</v>
      </c>
      <c r="H555" s="3" t="s">
        <v>42</v>
      </c>
      <c r="I555" s="3" t="s">
        <v>43</v>
      </c>
      <c r="K555" s="19" t="s">
        <v>821</v>
      </c>
      <c r="L555" s="52"/>
      <c r="M555" s="17" t="s">
        <v>821</v>
      </c>
      <c r="N555" s="17" t="s">
        <v>826</v>
      </c>
      <c r="O555" s="29" t="s">
        <v>594</v>
      </c>
      <c r="P555" s="25" t="s">
        <v>65</v>
      </c>
      <c r="Q555" s="25" t="s">
        <v>66</v>
      </c>
      <c r="R555" s="2" t="n">
        <v>1478.26</v>
      </c>
      <c r="S555" s="17" t="s">
        <v>824</v>
      </c>
      <c r="T555" s="22" t="s">
        <v>121</v>
      </c>
      <c r="U555" s="1" t="str">
        <f aca="false">D555&amp;"-"&amp;E555&amp;"-"&amp;M555&amp;"-"&amp;O555&amp;"-"&amp;P555&amp;"-"&amp;Q555</f>
        <v>TRIUMPH-Gorgeous Silhouette WP-122|558-PINK-36-E</v>
      </c>
    </row>
    <row r="556" customFormat="false" ht="15" hidden="true" customHeight="false" outlineLevel="0" collapsed="false">
      <c r="B556" s="31" t="n">
        <v>7611358680108</v>
      </c>
      <c r="C556" s="2" t="s">
        <v>580</v>
      </c>
      <c r="D556" s="2" t="s">
        <v>581</v>
      </c>
      <c r="E556" s="61" t="s">
        <v>820</v>
      </c>
      <c r="F556" s="3" t="s">
        <v>40</v>
      </c>
      <c r="G556" s="3" t="s">
        <v>41</v>
      </c>
      <c r="H556" s="3" t="s">
        <v>42</v>
      </c>
      <c r="I556" s="3" t="s">
        <v>43</v>
      </c>
      <c r="K556" s="19" t="s">
        <v>821</v>
      </c>
      <c r="L556" s="52"/>
      <c r="M556" s="17" t="s">
        <v>821</v>
      </c>
      <c r="N556" s="17" t="s">
        <v>826</v>
      </c>
      <c r="O556" s="29" t="s">
        <v>594</v>
      </c>
      <c r="P556" s="2" t="n">
        <v>36</v>
      </c>
      <c r="Q556" s="86" t="s">
        <v>50</v>
      </c>
      <c r="R556" s="2" t="n">
        <v>1478.26</v>
      </c>
      <c r="S556" s="17" t="s">
        <v>824</v>
      </c>
      <c r="T556" s="30" t="n">
        <v>0</v>
      </c>
      <c r="U556" s="1" t="str">
        <f aca="false">D556&amp;"-"&amp;E556&amp;"-"&amp;M556&amp;"-"&amp;O556&amp;"-"&amp;P556&amp;"-"&amp;Q556</f>
        <v>TRIUMPH-Gorgeous Silhouette WP-122|558-PINK-36-F</v>
      </c>
    </row>
    <row r="557" customFormat="false" ht="15" hidden="true" customHeight="false" outlineLevel="0" collapsed="false">
      <c r="B557" s="25" t="s">
        <v>830</v>
      </c>
      <c r="C557" s="2" t="s">
        <v>580</v>
      </c>
      <c r="D557" s="2" t="s">
        <v>581</v>
      </c>
      <c r="E557" s="61" t="s">
        <v>820</v>
      </c>
      <c r="F557" s="3" t="s">
        <v>40</v>
      </c>
      <c r="G557" s="3" t="s">
        <v>41</v>
      </c>
      <c r="H557" s="3" t="s">
        <v>42</v>
      </c>
      <c r="I557" s="3" t="s">
        <v>43</v>
      </c>
      <c r="K557" s="19" t="s">
        <v>821</v>
      </c>
      <c r="L557" s="52"/>
      <c r="M557" s="17" t="s">
        <v>821</v>
      </c>
      <c r="N557" s="17" t="s">
        <v>826</v>
      </c>
      <c r="O557" s="29" t="s">
        <v>594</v>
      </c>
      <c r="P557" s="2" t="n">
        <v>38</v>
      </c>
      <c r="Q557" s="86" t="s">
        <v>97</v>
      </c>
      <c r="R557" s="2" t="n">
        <v>1478.26</v>
      </c>
      <c r="S557" s="17" t="s">
        <v>824</v>
      </c>
      <c r="T557" s="22" t="s">
        <v>831</v>
      </c>
      <c r="U557" s="1" t="str">
        <f aca="false">D557&amp;"-"&amp;E557&amp;"-"&amp;M557&amp;"-"&amp;O557&amp;"-"&amp;P557&amp;"-"&amp;Q557</f>
        <v>TRIUMPH-Gorgeous Silhouette WP-122|558-PINK-38-D</v>
      </c>
    </row>
    <row r="558" customFormat="false" ht="15" hidden="true" customHeight="false" outlineLevel="0" collapsed="false">
      <c r="B558" s="25" t="s">
        <v>832</v>
      </c>
      <c r="C558" s="2" t="s">
        <v>580</v>
      </c>
      <c r="D558" s="2" t="s">
        <v>581</v>
      </c>
      <c r="E558" s="61" t="s">
        <v>820</v>
      </c>
      <c r="F558" s="3" t="s">
        <v>40</v>
      </c>
      <c r="G558" s="3" t="s">
        <v>41</v>
      </c>
      <c r="H558" s="3" t="s">
        <v>42</v>
      </c>
      <c r="I558" s="3" t="s">
        <v>43</v>
      </c>
      <c r="K558" s="19" t="s">
        <v>821</v>
      </c>
      <c r="L558" s="52"/>
      <c r="M558" s="17" t="s">
        <v>821</v>
      </c>
      <c r="N558" s="17" t="s">
        <v>826</v>
      </c>
      <c r="O558" s="29" t="s">
        <v>594</v>
      </c>
      <c r="P558" s="100" t="n">
        <v>38</v>
      </c>
      <c r="Q558" s="105" t="s">
        <v>66</v>
      </c>
      <c r="R558" s="2" t="n">
        <v>1478.26</v>
      </c>
      <c r="S558" s="17" t="s">
        <v>824</v>
      </c>
      <c r="T558" s="22" t="s">
        <v>121</v>
      </c>
      <c r="U558" s="1" t="str">
        <f aca="false">D558&amp;"-"&amp;E558&amp;"-"&amp;M558&amp;"-"&amp;O558&amp;"-"&amp;P558&amp;"-"&amp;Q558</f>
        <v>TRIUMPH-Gorgeous Silhouette WP-122|558-PINK-38-E</v>
      </c>
    </row>
    <row r="559" customFormat="false" ht="15" hidden="true" customHeight="false" outlineLevel="0" collapsed="false">
      <c r="B559" s="25" t="s">
        <v>833</v>
      </c>
      <c r="C559" s="2" t="s">
        <v>580</v>
      </c>
      <c r="D559" s="2" t="s">
        <v>581</v>
      </c>
      <c r="E559" s="61" t="s">
        <v>820</v>
      </c>
      <c r="F559" s="3" t="s">
        <v>40</v>
      </c>
      <c r="G559" s="3" t="s">
        <v>41</v>
      </c>
      <c r="H559" s="3" t="s">
        <v>42</v>
      </c>
      <c r="I559" s="3" t="s">
        <v>43</v>
      </c>
      <c r="K559" s="19" t="s">
        <v>821</v>
      </c>
      <c r="L559" s="52"/>
      <c r="M559" s="17" t="s">
        <v>821</v>
      </c>
      <c r="N559" s="100" t="n">
        <v>19</v>
      </c>
      <c r="O559" s="105" t="s">
        <v>89</v>
      </c>
      <c r="P559" s="100" t="n">
        <v>38</v>
      </c>
      <c r="Q559" s="105" t="s">
        <v>66</v>
      </c>
      <c r="R559" s="2" t="n">
        <v>1478.26</v>
      </c>
      <c r="S559" s="17" t="s">
        <v>824</v>
      </c>
      <c r="T559" s="22" t="s">
        <v>831</v>
      </c>
      <c r="U559" s="1" t="str">
        <f aca="false">D559&amp;"-"&amp;E559&amp;"-"&amp;M559&amp;"-"&amp;O559&amp;"-"&amp;P559&amp;"-"&amp;Q559</f>
        <v>TRIUMPH-Gorgeous Silhouette WP-122|558-BLUE-38-E</v>
      </c>
    </row>
    <row r="560" customFormat="false" ht="15" hidden="true" customHeight="false" outlineLevel="0" collapsed="false">
      <c r="B560" s="61" t="s">
        <v>834</v>
      </c>
      <c r="C560" s="2" t="s">
        <v>580</v>
      </c>
      <c r="D560" s="2" t="s">
        <v>581</v>
      </c>
      <c r="E560" s="61" t="s">
        <v>835</v>
      </c>
      <c r="F560" s="3" t="s">
        <v>40</v>
      </c>
      <c r="G560" s="3" t="s">
        <v>41</v>
      </c>
      <c r="H560" s="3" t="s">
        <v>42</v>
      </c>
      <c r="I560" s="3" t="s">
        <v>43</v>
      </c>
      <c r="K560" s="27" t="s">
        <v>836</v>
      </c>
      <c r="L560" s="52"/>
      <c r="M560" s="61" t="s">
        <v>836</v>
      </c>
      <c r="N560" s="61" t="s">
        <v>837</v>
      </c>
      <c r="O560" s="105" t="s">
        <v>89</v>
      </c>
      <c r="P560" s="61" t="s">
        <v>92</v>
      </c>
      <c r="Q560" s="61" t="s">
        <v>592</v>
      </c>
      <c r="R560" s="2" t="n">
        <v>1285.36</v>
      </c>
      <c r="S560" s="29" t="s">
        <v>838</v>
      </c>
      <c r="T560" s="106" t="s">
        <v>112</v>
      </c>
      <c r="U560" s="1" t="str">
        <f aca="false">D560&amp;"-"&amp;E560&amp;"-"&amp;M560&amp;"-"&amp;O560&amp;"-"&amp;P560&amp;"-"&amp;Q560</f>
        <v>TRIUMPH-SILHOUETTE W-123|289-BLUE-32-B</v>
      </c>
    </row>
    <row r="561" customFormat="false" ht="15" hidden="true" customHeight="false" outlineLevel="0" collapsed="false">
      <c r="B561" s="25" t="s">
        <v>839</v>
      </c>
      <c r="C561" s="2" t="s">
        <v>580</v>
      </c>
      <c r="D561" s="2" t="s">
        <v>581</v>
      </c>
      <c r="E561" s="61" t="s">
        <v>835</v>
      </c>
      <c r="F561" s="3" t="s">
        <v>40</v>
      </c>
      <c r="G561" s="3" t="s">
        <v>41</v>
      </c>
      <c r="H561" s="3" t="s">
        <v>42</v>
      </c>
      <c r="I561" s="3" t="s">
        <v>43</v>
      </c>
      <c r="K561" s="27" t="s">
        <v>836</v>
      </c>
      <c r="L561" s="52"/>
      <c r="M561" s="25" t="s">
        <v>836</v>
      </c>
      <c r="N561" s="25" t="s">
        <v>617</v>
      </c>
      <c r="O561" s="105" t="s">
        <v>77</v>
      </c>
      <c r="P561" s="25" t="s">
        <v>92</v>
      </c>
      <c r="Q561" s="25" t="s">
        <v>592</v>
      </c>
      <c r="R561" s="2" t="n">
        <v>1285.36</v>
      </c>
      <c r="S561" s="29" t="s">
        <v>838</v>
      </c>
      <c r="T561" s="107" t="s">
        <v>112</v>
      </c>
      <c r="U561" s="1" t="str">
        <f aca="false">D561&amp;"-"&amp;E561&amp;"-"&amp;M561&amp;"-"&amp;O561&amp;"-"&amp;P561&amp;"-"&amp;Q561</f>
        <v>TRIUMPH-SILHOUETTE W-123|289-BLACK-32-B</v>
      </c>
    </row>
    <row r="562" customFormat="false" ht="15" hidden="true" customHeight="false" outlineLevel="0" collapsed="false">
      <c r="B562" s="61" t="s">
        <v>840</v>
      </c>
      <c r="C562" s="2" t="s">
        <v>580</v>
      </c>
      <c r="D562" s="2" t="s">
        <v>581</v>
      </c>
      <c r="E562" s="61" t="s">
        <v>835</v>
      </c>
      <c r="F562" s="3" t="s">
        <v>40</v>
      </c>
      <c r="G562" s="3" t="s">
        <v>41</v>
      </c>
      <c r="H562" s="3" t="s">
        <v>42</v>
      </c>
      <c r="I562" s="3" t="s">
        <v>43</v>
      </c>
      <c r="K562" s="27" t="s">
        <v>836</v>
      </c>
      <c r="L562" s="52"/>
      <c r="M562" s="25" t="s">
        <v>836</v>
      </c>
      <c r="N562" s="61" t="s">
        <v>837</v>
      </c>
      <c r="O562" s="105" t="s">
        <v>89</v>
      </c>
      <c r="P562" s="61" t="s">
        <v>92</v>
      </c>
      <c r="Q562" s="61" t="s">
        <v>595</v>
      </c>
      <c r="R562" s="2" t="n">
        <v>1285.36</v>
      </c>
      <c r="S562" s="29" t="s">
        <v>838</v>
      </c>
      <c r="T562" s="106" t="s">
        <v>112</v>
      </c>
      <c r="U562" s="1" t="str">
        <f aca="false">D562&amp;"-"&amp;E562&amp;"-"&amp;M562&amp;"-"&amp;O562&amp;"-"&amp;P562&amp;"-"&amp;Q562</f>
        <v>TRIUMPH-SILHOUETTE W-123|289-BLUE-32-C</v>
      </c>
    </row>
    <row r="563" customFormat="false" ht="15" hidden="true" customHeight="false" outlineLevel="0" collapsed="false">
      <c r="B563" s="61" t="s">
        <v>841</v>
      </c>
      <c r="C563" s="2" t="s">
        <v>580</v>
      </c>
      <c r="D563" s="2" t="s">
        <v>581</v>
      </c>
      <c r="E563" s="61" t="s">
        <v>835</v>
      </c>
      <c r="F563" s="3" t="s">
        <v>40</v>
      </c>
      <c r="G563" s="3" t="s">
        <v>41</v>
      </c>
      <c r="H563" s="3" t="s">
        <v>42</v>
      </c>
      <c r="I563" s="3" t="s">
        <v>43</v>
      </c>
      <c r="K563" s="27" t="s">
        <v>836</v>
      </c>
      <c r="L563" s="52"/>
      <c r="M563" s="25" t="s">
        <v>836</v>
      </c>
      <c r="N563" s="61" t="s">
        <v>837</v>
      </c>
      <c r="O563" s="105" t="s">
        <v>89</v>
      </c>
      <c r="P563" s="61" t="s">
        <v>92</v>
      </c>
      <c r="Q563" s="61" t="s">
        <v>97</v>
      </c>
      <c r="R563" s="2" t="n">
        <v>1285.36</v>
      </c>
      <c r="S563" s="29" t="s">
        <v>838</v>
      </c>
      <c r="T563" s="106" t="s">
        <v>112</v>
      </c>
      <c r="U563" s="1" t="str">
        <f aca="false">D563&amp;"-"&amp;E563&amp;"-"&amp;M563&amp;"-"&amp;O563&amp;"-"&amp;P563&amp;"-"&amp;Q563</f>
        <v>TRIUMPH-SILHOUETTE W-123|289-BLUE-32-D</v>
      </c>
    </row>
    <row r="564" customFormat="false" ht="15" hidden="true" customHeight="false" outlineLevel="0" collapsed="false">
      <c r="B564" s="61" t="s">
        <v>842</v>
      </c>
      <c r="C564" s="2" t="s">
        <v>580</v>
      </c>
      <c r="D564" s="2" t="s">
        <v>581</v>
      </c>
      <c r="E564" s="61" t="s">
        <v>835</v>
      </c>
      <c r="F564" s="3" t="s">
        <v>40</v>
      </c>
      <c r="G564" s="3" t="s">
        <v>41</v>
      </c>
      <c r="H564" s="3" t="s">
        <v>42</v>
      </c>
      <c r="I564" s="3" t="s">
        <v>43</v>
      </c>
      <c r="K564" s="27" t="s">
        <v>836</v>
      </c>
      <c r="L564" s="52"/>
      <c r="M564" s="61" t="s">
        <v>836</v>
      </c>
      <c r="N564" s="61" t="s">
        <v>617</v>
      </c>
      <c r="O564" s="105" t="s">
        <v>77</v>
      </c>
      <c r="P564" s="61" t="s">
        <v>92</v>
      </c>
      <c r="Q564" s="61" t="s">
        <v>595</v>
      </c>
      <c r="R564" s="2" t="n">
        <v>1285.36</v>
      </c>
      <c r="S564" s="29" t="s">
        <v>838</v>
      </c>
      <c r="T564" s="106" t="s">
        <v>112</v>
      </c>
      <c r="U564" s="1" t="str">
        <f aca="false">D564&amp;"-"&amp;E564&amp;"-"&amp;M564&amp;"-"&amp;O564&amp;"-"&amp;P564&amp;"-"&amp;Q564</f>
        <v>TRIUMPH-SILHOUETTE W-123|289-BLACK-32-C</v>
      </c>
    </row>
    <row r="565" customFormat="false" ht="15" hidden="true" customHeight="false" outlineLevel="0" collapsed="false">
      <c r="B565" s="25" t="s">
        <v>843</v>
      </c>
      <c r="C565" s="2" t="s">
        <v>580</v>
      </c>
      <c r="D565" s="2" t="s">
        <v>581</v>
      </c>
      <c r="E565" s="61" t="s">
        <v>835</v>
      </c>
      <c r="F565" s="3" t="s">
        <v>40</v>
      </c>
      <c r="G565" s="3" t="s">
        <v>41</v>
      </c>
      <c r="H565" s="3" t="s">
        <v>42</v>
      </c>
      <c r="I565" s="3" t="s">
        <v>43</v>
      </c>
      <c r="K565" s="27" t="s">
        <v>836</v>
      </c>
      <c r="L565" s="52"/>
      <c r="M565" s="61" t="s">
        <v>836</v>
      </c>
      <c r="N565" s="25" t="s">
        <v>837</v>
      </c>
      <c r="O565" s="105" t="s">
        <v>89</v>
      </c>
      <c r="P565" s="25" t="s">
        <v>134</v>
      </c>
      <c r="Q565" s="25" t="s">
        <v>592</v>
      </c>
      <c r="R565" s="2" t="n">
        <v>1285.36</v>
      </c>
      <c r="S565" s="29" t="s">
        <v>838</v>
      </c>
      <c r="T565" s="107" t="s">
        <v>112</v>
      </c>
      <c r="U565" s="1" t="str">
        <f aca="false">D565&amp;"-"&amp;E565&amp;"-"&amp;M565&amp;"-"&amp;O565&amp;"-"&amp;P565&amp;"-"&amp;Q565</f>
        <v>TRIUMPH-SILHOUETTE W-123|289-BLUE-34-B</v>
      </c>
    </row>
    <row r="566" customFormat="false" ht="15" hidden="true" customHeight="false" outlineLevel="0" collapsed="false">
      <c r="B566" s="31" t="n">
        <v>7611358663705</v>
      </c>
      <c r="C566" s="2" t="s">
        <v>580</v>
      </c>
      <c r="D566" s="2" t="s">
        <v>581</v>
      </c>
      <c r="E566" s="61" t="s">
        <v>835</v>
      </c>
      <c r="F566" s="3" t="s">
        <v>40</v>
      </c>
      <c r="G566" s="3" t="s">
        <v>41</v>
      </c>
      <c r="H566" s="3" t="s">
        <v>42</v>
      </c>
      <c r="I566" s="3" t="s">
        <v>43</v>
      </c>
      <c r="K566" s="27" t="s">
        <v>836</v>
      </c>
      <c r="L566" s="52"/>
      <c r="M566" s="61" t="s">
        <v>836</v>
      </c>
      <c r="N566" s="61" t="s">
        <v>617</v>
      </c>
      <c r="O566" s="61" t="s">
        <v>77</v>
      </c>
      <c r="P566" s="61" t="s">
        <v>134</v>
      </c>
      <c r="Q566" s="61" t="s">
        <v>592</v>
      </c>
      <c r="R566" s="2" t="n">
        <v>1285.36</v>
      </c>
      <c r="S566" s="29" t="s">
        <v>838</v>
      </c>
      <c r="T566" s="30" t="n">
        <v>1</v>
      </c>
      <c r="U566" s="1" t="str">
        <f aca="false">D566&amp;"-"&amp;E566&amp;"-"&amp;M566&amp;"-"&amp;O566&amp;"-"&amp;P566&amp;"-"&amp;Q566</f>
        <v>TRIUMPH-SILHOUETTE W-123|289-BLACK-34-B</v>
      </c>
    </row>
    <row r="567" customFormat="false" ht="15" hidden="true" customHeight="false" outlineLevel="0" collapsed="false">
      <c r="B567" s="61" t="s">
        <v>844</v>
      </c>
      <c r="C567" s="2" t="s">
        <v>580</v>
      </c>
      <c r="D567" s="2" t="s">
        <v>581</v>
      </c>
      <c r="E567" s="61" t="s">
        <v>835</v>
      </c>
      <c r="F567" s="3" t="s">
        <v>40</v>
      </c>
      <c r="G567" s="3" t="s">
        <v>41</v>
      </c>
      <c r="H567" s="3" t="s">
        <v>42</v>
      </c>
      <c r="I567" s="3" t="s">
        <v>43</v>
      </c>
      <c r="K567" s="27" t="s">
        <v>836</v>
      </c>
      <c r="L567" s="52"/>
      <c r="M567" s="61" t="s">
        <v>836</v>
      </c>
      <c r="N567" s="61" t="s">
        <v>837</v>
      </c>
      <c r="O567" s="105" t="s">
        <v>89</v>
      </c>
      <c r="P567" s="61" t="s">
        <v>134</v>
      </c>
      <c r="Q567" s="61" t="s">
        <v>595</v>
      </c>
      <c r="R567" s="2" t="n">
        <v>1285.36</v>
      </c>
      <c r="S567" s="29" t="s">
        <v>838</v>
      </c>
      <c r="T567" s="85" t="s">
        <v>121</v>
      </c>
      <c r="U567" s="1" t="str">
        <f aca="false">D567&amp;"-"&amp;E567&amp;"-"&amp;M567&amp;"-"&amp;O567&amp;"-"&amp;P567&amp;"-"&amp;Q567</f>
        <v>TRIUMPH-SILHOUETTE W-123|289-BLUE-34-C</v>
      </c>
    </row>
    <row r="568" customFormat="false" ht="15" hidden="true" customHeight="false" outlineLevel="0" collapsed="false">
      <c r="B568" s="61" t="s">
        <v>845</v>
      </c>
      <c r="C568" s="2" t="s">
        <v>580</v>
      </c>
      <c r="D568" s="2" t="s">
        <v>581</v>
      </c>
      <c r="E568" s="61" t="s">
        <v>835</v>
      </c>
      <c r="F568" s="3" t="s">
        <v>40</v>
      </c>
      <c r="G568" s="3" t="s">
        <v>41</v>
      </c>
      <c r="H568" s="3" t="s">
        <v>42</v>
      </c>
      <c r="I568" s="3" t="s">
        <v>43</v>
      </c>
      <c r="K568" s="27" t="s">
        <v>836</v>
      </c>
      <c r="L568" s="52"/>
      <c r="M568" s="61" t="s">
        <v>836</v>
      </c>
      <c r="N568" s="61" t="s">
        <v>617</v>
      </c>
      <c r="O568" s="61" t="s">
        <v>77</v>
      </c>
      <c r="P568" s="61" t="s">
        <v>134</v>
      </c>
      <c r="Q568" s="61" t="s">
        <v>595</v>
      </c>
      <c r="R568" s="2" t="n">
        <v>1285.36</v>
      </c>
      <c r="S568" s="29" t="s">
        <v>838</v>
      </c>
      <c r="T568" s="85" t="s">
        <v>112</v>
      </c>
      <c r="U568" s="1" t="str">
        <f aca="false">D568&amp;"-"&amp;E568&amp;"-"&amp;M568&amp;"-"&amp;O568&amp;"-"&amp;P568&amp;"-"&amp;Q568</f>
        <v>TRIUMPH-SILHOUETTE W-123|289-BLACK-34-C</v>
      </c>
    </row>
    <row r="569" customFormat="false" ht="15" hidden="true" customHeight="false" outlineLevel="0" collapsed="false">
      <c r="B569" s="25" t="s">
        <v>846</v>
      </c>
      <c r="C569" s="2" t="s">
        <v>580</v>
      </c>
      <c r="D569" s="2" t="s">
        <v>581</v>
      </c>
      <c r="E569" s="61" t="s">
        <v>835</v>
      </c>
      <c r="F569" s="3" t="s">
        <v>40</v>
      </c>
      <c r="G569" s="3" t="s">
        <v>41</v>
      </c>
      <c r="H569" s="3" t="s">
        <v>42</v>
      </c>
      <c r="I569" s="3" t="s">
        <v>43</v>
      </c>
      <c r="K569" s="27" t="s">
        <v>836</v>
      </c>
      <c r="L569" s="52"/>
      <c r="M569" s="61" t="s">
        <v>836</v>
      </c>
      <c r="N569" s="25" t="s">
        <v>617</v>
      </c>
      <c r="O569" s="61" t="s">
        <v>77</v>
      </c>
      <c r="P569" s="25" t="s">
        <v>134</v>
      </c>
      <c r="Q569" s="25" t="s">
        <v>97</v>
      </c>
      <c r="R569" s="2" t="n">
        <v>1285.36</v>
      </c>
      <c r="S569" s="29" t="s">
        <v>838</v>
      </c>
      <c r="T569" s="22" t="s">
        <v>121</v>
      </c>
      <c r="U569" s="1" t="str">
        <f aca="false">D569&amp;"-"&amp;E569&amp;"-"&amp;M569&amp;"-"&amp;O569&amp;"-"&amp;P569&amp;"-"&amp;Q569</f>
        <v>TRIUMPH-SILHOUETTE W-123|289-BLACK-34-D</v>
      </c>
    </row>
    <row r="570" customFormat="false" ht="15" hidden="true" customHeight="false" outlineLevel="0" collapsed="false">
      <c r="B570" s="61" t="s">
        <v>847</v>
      </c>
      <c r="C570" s="2" t="s">
        <v>580</v>
      </c>
      <c r="D570" s="2" t="s">
        <v>581</v>
      </c>
      <c r="E570" s="61" t="s">
        <v>835</v>
      </c>
      <c r="F570" s="3" t="s">
        <v>40</v>
      </c>
      <c r="G570" s="3" t="s">
        <v>41</v>
      </c>
      <c r="H570" s="3" t="s">
        <v>42</v>
      </c>
      <c r="I570" s="3" t="s">
        <v>43</v>
      </c>
      <c r="K570" s="27" t="s">
        <v>836</v>
      </c>
      <c r="L570" s="52"/>
      <c r="M570" s="61" t="s">
        <v>836</v>
      </c>
      <c r="N570" s="25" t="s">
        <v>837</v>
      </c>
      <c r="O570" s="105" t="s">
        <v>89</v>
      </c>
      <c r="P570" s="61" t="s">
        <v>134</v>
      </c>
      <c r="Q570" s="61" t="s">
        <v>97</v>
      </c>
      <c r="R570" s="2" t="n">
        <v>1285.36</v>
      </c>
      <c r="S570" s="29" t="s">
        <v>838</v>
      </c>
      <c r="T570" s="85" t="s">
        <v>112</v>
      </c>
      <c r="U570" s="1" t="str">
        <f aca="false">D570&amp;"-"&amp;E570&amp;"-"&amp;M570&amp;"-"&amp;O570&amp;"-"&amp;P570&amp;"-"&amp;Q570</f>
        <v>TRIUMPH-SILHOUETTE W-123|289-BLUE-34-D</v>
      </c>
    </row>
    <row r="571" customFormat="false" ht="15" hidden="true" customHeight="false" outlineLevel="0" collapsed="false">
      <c r="B571" s="25" t="s">
        <v>848</v>
      </c>
      <c r="C571" s="2" t="s">
        <v>580</v>
      </c>
      <c r="D571" s="2" t="s">
        <v>581</v>
      </c>
      <c r="E571" s="61" t="s">
        <v>835</v>
      </c>
      <c r="F571" s="3" t="s">
        <v>40</v>
      </c>
      <c r="G571" s="3" t="s">
        <v>41</v>
      </c>
      <c r="H571" s="3" t="s">
        <v>42</v>
      </c>
      <c r="I571" s="3" t="s">
        <v>43</v>
      </c>
      <c r="K571" s="27" t="s">
        <v>836</v>
      </c>
      <c r="L571" s="52"/>
      <c r="M571" s="25" t="s">
        <v>836</v>
      </c>
      <c r="N571" s="25" t="s">
        <v>837</v>
      </c>
      <c r="O571" s="105" t="s">
        <v>89</v>
      </c>
      <c r="P571" s="25" t="s">
        <v>134</v>
      </c>
      <c r="Q571" s="25" t="s">
        <v>66</v>
      </c>
      <c r="R571" s="2" t="n">
        <v>1285.36</v>
      </c>
      <c r="S571" s="29" t="s">
        <v>838</v>
      </c>
      <c r="T571" s="22" t="s">
        <v>112</v>
      </c>
      <c r="U571" s="1" t="str">
        <f aca="false">D571&amp;"-"&amp;E571&amp;"-"&amp;M571&amp;"-"&amp;O571&amp;"-"&amp;P571&amp;"-"&amp;Q571</f>
        <v>TRIUMPH-SILHOUETTE W-123|289-BLUE-34-E</v>
      </c>
    </row>
    <row r="572" customFormat="false" ht="15" hidden="true" customHeight="false" outlineLevel="0" collapsed="false">
      <c r="B572" s="61" t="s">
        <v>849</v>
      </c>
      <c r="C572" s="2" t="s">
        <v>580</v>
      </c>
      <c r="D572" s="2" t="s">
        <v>581</v>
      </c>
      <c r="E572" s="61" t="s">
        <v>835</v>
      </c>
      <c r="F572" s="3" t="s">
        <v>40</v>
      </c>
      <c r="G572" s="3" t="s">
        <v>41</v>
      </c>
      <c r="H572" s="3" t="s">
        <v>42</v>
      </c>
      <c r="I572" s="3" t="s">
        <v>43</v>
      </c>
      <c r="K572" s="27" t="s">
        <v>850</v>
      </c>
      <c r="L572" s="52"/>
      <c r="M572" s="61" t="s">
        <v>850</v>
      </c>
      <c r="N572" s="61" t="s">
        <v>617</v>
      </c>
      <c r="O572" s="61" t="s">
        <v>77</v>
      </c>
      <c r="P572" s="61" t="s">
        <v>134</v>
      </c>
      <c r="Q572" s="61" t="s">
        <v>66</v>
      </c>
      <c r="R572" s="2" t="n">
        <v>1285.36</v>
      </c>
      <c r="S572" s="29" t="s">
        <v>838</v>
      </c>
      <c r="T572" s="85" t="s">
        <v>121</v>
      </c>
      <c r="U572" s="1" t="str">
        <f aca="false">D572&amp;"-"&amp;E572&amp;"-"&amp;M572&amp;"-"&amp;O572&amp;"-"&amp;P572&amp;"-"&amp;Q572</f>
        <v>TRIUMPH-SILHOUETTE W-123I289-BLACK-34-E</v>
      </c>
    </row>
    <row r="573" customFormat="false" ht="15" hidden="true" customHeight="false" outlineLevel="0" collapsed="false">
      <c r="B573" s="25" t="s">
        <v>851</v>
      </c>
      <c r="C573" s="2" t="s">
        <v>580</v>
      </c>
      <c r="D573" s="2" t="s">
        <v>581</v>
      </c>
      <c r="E573" s="61" t="s">
        <v>835</v>
      </c>
      <c r="F573" s="3" t="s">
        <v>40</v>
      </c>
      <c r="G573" s="3" t="s">
        <v>41</v>
      </c>
      <c r="H573" s="3" t="s">
        <v>42</v>
      </c>
      <c r="I573" s="3" t="s">
        <v>43</v>
      </c>
      <c r="K573" s="27" t="s">
        <v>836</v>
      </c>
      <c r="L573" s="52"/>
      <c r="M573" s="25" t="s">
        <v>836</v>
      </c>
      <c r="N573" s="25" t="s">
        <v>837</v>
      </c>
      <c r="O573" s="105" t="s">
        <v>89</v>
      </c>
      <c r="P573" s="25" t="s">
        <v>65</v>
      </c>
      <c r="Q573" s="25" t="s">
        <v>592</v>
      </c>
      <c r="R573" s="2" t="n">
        <v>1285.36</v>
      </c>
      <c r="S573" s="29" t="s">
        <v>838</v>
      </c>
      <c r="T573" s="22" t="s">
        <v>112</v>
      </c>
      <c r="U573" s="1" t="str">
        <f aca="false">D573&amp;"-"&amp;E573&amp;"-"&amp;M573&amp;"-"&amp;O573&amp;"-"&amp;P573&amp;"-"&amp;Q573</f>
        <v>TRIUMPH-SILHOUETTE W-123|289-BLUE-36-B</v>
      </c>
    </row>
    <row r="574" customFormat="false" ht="15" hidden="true" customHeight="false" outlineLevel="0" collapsed="false">
      <c r="B574" s="25" t="s">
        <v>852</v>
      </c>
      <c r="C574" s="2" t="s">
        <v>580</v>
      </c>
      <c r="D574" s="2" t="s">
        <v>581</v>
      </c>
      <c r="E574" s="61" t="s">
        <v>835</v>
      </c>
      <c r="F574" s="3" t="s">
        <v>40</v>
      </c>
      <c r="G574" s="3" t="s">
        <v>41</v>
      </c>
      <c r="H574" s="3" t="s">
        <v>42</v>
      </c>
      <c r="I574" s="3" t="s">
        <v>43</v>
      </c>
      <c r="K574" s="27" t="s">
        <v>836</v>
      </c>
      <c r="L574" s="52"/>
      <c r="M574" s="25" t="s">
        <v>836</v>
      </c>
      <c r="N574" s="25" t="s">
        <v>617</v>
      </c>
      <c r="O574" s="61" t="s">
        <v>77</v>
      </c>
      <c r="P574" s="25" t="s">
        <v>65</v>
      </c>
      <c r="Q574" s="25" t="s">
        <v>592</v>
      </c>
      <c r="R574" s="2" t="n">
        <v>1285.36</v>
      </c>
      <c r="S574" s="29" t="s">
        <v>838</v>
      </c>
      <c r="T574" s="22" t="s">
        <v>112</v>
      </c>
      <c r="U574" s="1" t="str">
        <f aca="false">D574&amp;"-"&amp;E574&amp;"-"&amp;M574&amp;"-"&amp;O574&amp;"-"&amp;P574&amp;"-"&amp;Q574</f>
        <v>TRIUMPH-SILHOUETTE W-123|289-BLACK-36-B</v>
      </c>
    </row>
    <row r="575" customFormat="false" ht="15" hidden="true" customHeight="false" outlineLevel="0" collapsed="false">
      <c r="B575" s="61" t="s">
        <v>853</v>
      </c>
      <c r="C575" s="2" t="s">
        <v>580</v>
      </c>
      <c r="D575" s="2" t="s">
        <v>581</v>
      </c>
      <c r="E575" s="61" t="s">
        <v>835</v>
      </c>
      <c r="F575" s="3" t="s">
        <v>40</v>
      </c>
      <c r="G575" s="3" t="s">
        <v>41</v>
      </c>
      <c r="H575" s="3" t="s">
        <v>42</v>
      </c>
      <c r="I575" s="3" t="s">
        <v>43</v>
      </c>
      <c r="K575" s="27" t="s">
        <v>850</v>
      </c>
      <c r="L575" s="52"/>
      <c r="M575" s="61" t="s">
        <v>850</v>
      </c>
      <c r="N575" s="61" t="s">
        <v>617</v>
      </c>
      <c r="O575" s="61" t="s">
        <v>77</v>
      </c>
      <c r="P575" s="61" t="s">
        <v>65</v>
      </c>
      <c r="Q575" s="61" t="s">
        <v>97</v>
      </c>
      <c r="R575" s="2" t="n">
        <v>1285.36</v>
      </c>
      <c r="S575" s="29" t="s">
        <v>838</v>
      </c>
      <c r="T575" s="85" t="s">
        <v>831</v>
      </c>
      <c r="U575" s="1" t="str">
        <f aca="false">D575&amp;"-"&amp;E575&amp;"-"&amp;M575&amp;"-"&amp;O575&amp;"-"&amp;P575&amp;"-"&amp;Q575</f>
        <v>TRIUMPH-SILHOUETTE W-123I289-BLACK-36-D</v>
      </c>
    </row>
    <row r="576" customFormat="false" ht="15" hidden="true" customHeight="false" outlineLevel="0" collapsed="false">
      <c r="B576" s="25" t="s">
        <v>854</v>
      </c>
      <c r="C576" s="2" t="s">
        <v>580</v>
      </c>
      <c r="D576" s="2" t="s">
        <v>581</v>
      </c>
      <c r="E576" s="61" t="s">
        <v>835</v>
      </c>
      <c r="F576" s="3" t="s">
        <v>40</v>
      </c>
      <c r="G576" s="3" t="s">
        <v>41</v>
      </c>
      <c r="H576" s="3" t="s">
        <v>42</v>
      </c>
      <c r="I576" s="3" t="s">
        <v>43</v>
      </c>
      <c r="K576" s="27" t="s">
        <v>850</v>
      </c>
      <c r="L576" s="52"/>
      <c r="M576" s="25" t="s">
        <v>850</v>
      </c>
      <c r="N576" s="25" t="s">
        <v>837</v>
      </c>
      <c r="O576" s="105" t="s">
        <v>89</v>
      </c>
      <c r="P576" s="25" t="s">
        <v>65</v>
      </c>
      <c r="Q576" s="25" t="s">
        <v>97</v>
      </c>
      <c r="R576" s="2" t="n">
        <v>1285.36</v>
      </c>
      <c r="S576" s="29" t="s">
        <v>838</v>
      </c>
      <c r="T576" s="22" t="s">
        <v>112</v>
      </c>
      <c r="U576" s="1" t="str">
        <f aca="false">D576&amp;"-"&amp;E576&amp;"-"&amp;M576&amp;"-"&amp;O576&amp;"-"&amp;P576&amp;"-"&amp;Q576</f>
        <v>TRIUMPH-SILHOUETTE W-123I289-BLUE-36-D</v>
      </c>
    </row>
    <row r="577" customFormat="false" ht="15" hidden="true" customHeight="false" outlineLevel="0" collapsed="false">
      <c r="B577" s="25" t="s">
        <v>855</v>
      </c>
      <c r="C577" s="2" t="s">
        <v>580</v>
      </c>
      <c r="D577" s="2" t="s">
        <v>581</v>
      </c>
      <c r="E577" s="61" t="s">
        <v>835</v>
      </c>
      <c r="F577" s="3" t="s">
        <v>40</v>
      </c>
      <c r="G577" s="3" t="s">
        <v>41</v>
      </c>
      <c r="H577" s="3" t="s">
        <v>42</v>
      </c>
      <c r="I577" s="3" t="s">
        <v>43</v>
      </c>
      <c r="K577" s="27" t="s">
        <v>836</v>
      </c>
      <c r="L577" s="52"/>
      <c r="M577" s="25" t="s">
        <v>836</v>
      </c>
      <c r="N577" s="25" t="s">
        <v>617</v>
      </c>
      <c r="O577" s="61" t="s">
        <v>77</v>
      </c>
      <c r="P577" s="25" t="s">
        <v>154</v>
      </c>
      <c r="Q577" s="25" t="s">
        <v>595</v>
      </c>
      <c r="R577" s="2" t="n">
        <v>1285.36</v>
      </c>
      <c r="S577" s="29" t="s">
        <v>838</v>
      </c>
      <c r="T577" s="22" t="s">
        <v>112</v>
      </c>
      <c r="U577" s="1" t="str">
        <f aca="false">D577&amp;"-"&amp;E577&amp;"-"&amp;M577&amp;"-"&amp;O577&amp;"-"&amp;P577&amp;"-"&amp;Q577</f>
        <v>TRIUMPH-SILHOUETTE W-123|289-BLACK-38-C</v>
      </c>
    </row>
    <row r="578" customFormat="false" ht="15" hidden="true" customHeight="false" outlineLevel="0" collapsed="false">
      <c r="B578" s="61" t="s">
        <v>856</v>
      </c>
      <c r="C578" s="2" t="s">
        <v>580</v>
      </c>
      <c r="D578" s="2" t="s">
        <v>581</v>
      </c>
      <c r="E578" s="61" t="s">
        <v>835</v>
      </c>
      <c r="F578" s="3" t="s">
        <v>40</v>
      </c>
      <c r="G578" s="3" t="s">
        <v>41</v>
      </c>
      <c r="H578" s="3" t="s">
        <v>42</v>
      </c>
      <c r="I578" s="3" t="s">
        <v>43</v>
      </c>
      <c r="K578" s="27" t="s">
        <v>836</v>
      </c>
      <c r="L578" s="52"/>
      <c r="M578" s="61" t="s">
        <v>836</v>
      </c>
      <c r="N578" s="61" t="s">
        <v>837</v>
      </c>
      <c r="O578" s="105" t="s">
        <v>89</v>
      </c>
      <c r="P578" s="61" t="s">
        <v>154</v>
      </c>
      <c r="Q578" s="61" t="s">
        <v>595</v>
      </c>
      <c r="R578" s="2" t="n">
        <v>1285.36</v>
      </c>
      <c r="S578" s="29" t="s">
        <v>838</v>
      </c>
      <c r="T578" s="85" t="s">
        <v>112</v>
      </c>
      <c r="U578" s="1" t="str">
        <f aca="false">D578&amp;"-"&amp;E578&amp;"-"&amp;M578&amp;"-"&amp;O578&amp;"-"&amp;P578&amp;"-"&amp;Q578</f>
        <v>TRIUMPH-SILHOUETTE W-123|289-BLUE-38-C</v>
      </c>
    </row>
    <row r="579" customFormat="false" ht="15" hidden="true" customHeight="false" outlineLevel="0" collapsed="false">
      <c r="B579" s="61" t="s">
        <v>857</v>
      </c>
      <c r="C579" s="2" t="s">
        <v>580</v>
      </c>
      <c r="D579" s="2" t="s">
        <v>581</v>
      </c>
      <c r="E579" s="61" t="s">
        <v>858</v>
      </c>
      <c r="F579" s="3" t="s">
        <v>40</v>
      </c>
      <c r="G579" s="3" t="s">
        <v>41</v>
      </c>
      <c r="H579" s="3" t="s">
        <v>42</v>
      </c>
      <c r="I579" s="3" t="s">
        <v>43</v>
      </c>
      <c r="K579" s="27" t="s">
        <v>859</v>
      </c>
      <c r="L579" s="52"/>
      <c r="M579" s="61" t="s">
        <v>859</v>
      </c>
      <c r="N579" s="25" t="s">
        <v>617</v>
      </c>
      <c r="O579" s="61" t="s">
        <v>77</v>
      </c>
      <c r="P579" s="61" t="s">
        <v>92</v>
      </c>
      <c r="Q579" s="61" t="s">
        <v>595</v>
      </c>
      <c r="R579" s="2" t="n">
        <v>1542.56</v>
      </c>
      <c r="S579" s="29" t="s">
        <v>786</v>
      </c>
      <c r="T579" s="85" t="s">
        <v>112</v>
      </c>
      <c r="U579" s="1" t="str">
        <f aca="false">D579&amp;"-"&amp;E579&amp;"-"&amp;M579&amp;"-"&amp;O579&amp;"-"&amp;P579&amp;"-"&amp;Q579</f>
        <v>TRIUMPH-BODY SMOOTH W-123I583-BLACK-32-C</v>
      </c>
    </row>
    <row r="580" customFormat="false" ht="15" hidden="true" customHeight="false" outlineLevel="0" collapsed="false">
      <c r="B580" s="25" t="s">
        <v>860</v>
      </c>
      <c r="C580" s="2" t="s">
        <v>580</v>
      </c>
      <c r="D580" s="2" t="s">
        <v>581</v>
      </c>
      <c r="E580" s="61" t="s">
        <v>858</v>
      </c>
      <c r="F580" s="3" t="s">
        <v>40</v>
      </c>
      <c r="G580" s="3" t="s">
        <v>41</v>
      </c>
      <c r="H580" s="3" t="s">
        <v>42</v>
      </c>
      <c r="I580" s="3" t="s">
        <v>43</v>
      </c>
      <c r="K580" s="27" t="s">
        <v>859</v>
      </c>
      <c r="L580" s="52"/>
      <c r="M580" s="25" t="s">
        <v>859</v>
      </c>
      <c r="N580" s="25" t="s">
        <v>617</v>
      </c>
      <c r="O580" s="61" t="s">
        <v>77</v>
      </c>
      <c r="P580" s="25" t="s">
        <v>92</v>
      </c>
      <c r="Q580" s="25" t="s">
        <v>97</v>
      </c>
      <c r="R580" s="2" t="n">
        <v>1542.56</v>
      </c>
      <c r="S580" s="29" t="s">
        <v>786</v>
      </c>
      <c r="T580" s="22" t="s">
        <v>121</v>
      </c>
      <c r="U580" s="1" t="str">
        <f aca="false">D580&amp;"-"&amp;E580&amp;"-"&amp;M580&amp;"-"&amp;O580&amp;"-"&amp;P580&amp;"-"&amp;Q580</f>
        <v>TRIUMPH-BODY SMOOTH W-123I583-BLACK-32-D</v>
      </c>
    </row>
    <row r="581" customFormat="false" ht="15" hidden="true" customHeight="false" outlineLevel="0" collapsed="false">
      <c r="B581" s="61" t="s">
        <v>861</v>
      </c>
      <c r="C581" s="2" t="s">
        <v>580</v>
      </c>
      <c r="D581" s="2" t="s">
        <v>581</v>
      </c>
      <c r="E581" s="61" t="s">
        <v>858</v>
      </c>
      <c r="F581" s="3" t="s">
        <v>40</v>
      </c>
      <c r="G581" s="3" t="s">
        <v>41</v>
      </c>
      <c r="H581" s="3" t="s">
        <v>42</v>
      </c>
      <c r="I581" s="3" t="s">
        <v>43</v>
      </c>
      <c r="K581" s="27" t="s">
        <v>859</v>
      </c>
      <c r="L581" s="52"/>
      <c r="M581" s="61" t="s">
        <v>859</v>
      </c>
      <c r="N581" s="25" t="s">
        <v>617</v>
      </c>
      <c r="O581" s="61" t="s">
        <v>77</v>
      </c>
      <c r="P581" s="61" t="s">
        <v>134</v>
      </c>
      <c r="Q581" s="61" t="s">
        <v>592</v>
      </c>
      <c r="R581" s="2" t="n">
        <v>1542.56</v>
      </c>
      <c r="S581" s="29" t="s">
        <v>786</v>
      </c>
      <c r="T581" s="85" t="s">
        <v>121</v>
      </c>
      <c r="U581" s="1" t="str">
        <f aca="false">D581&amp;"-"&amp;E581&amp;"-"&amp;M581&amp;"-"&amp;O581&amp;"-"&amp;P581&amp;"-"&amp;Q581</f>
        <v>TRIUMPH-BODY SMOOTH W-123I583-BLACK-34-B</v>
      </c>
    </row>
    <row r="582" customFormat="false" ht="15" hidden="true" customHeight="false" outlineLevel="0" collapsed="false">
      <c r="B582" s="25" t="s">
        <v>862</v>
      </c>
      <c r="C582" s="2" t="s">
        <v>580</v>
      </c>
      <c r="D582" s="2" t="s">
        <v>581</v>
      </c>
      <c r="E582" s="61" t="s">
        <v>858</v>
      </c>
      <c r="F582" s="3" t="s">
        <v>40</v>
      </c>
      <c r="G582" s="3" t="s">
        <v>41</v>
      </c>
      <c r="H582" s="3" t="s">
        <v>42</v>
      </c>
      <c r="I582" s="3" t="s">
        <v>43</v>
      </c>
      <c r="K582" s="27" t="s">
        <v>859</v>
      </c>
      <c r="L582" s="52"/>
      <c r="M582" s="25" t="s">
        <v>859</v>
      </c>
      <c r="N582" s="25" t="s">
        <v>617</v>
      </c>
      <c r="O582" s="61" t="s">
        <v>77</v>
      </c>
      <c r="P582" s="25" t="s">
        <v>65</v>
      </c>
      <c r="Q582" s="25" t="s">
        <v>592</v>
      </c>
      <c r="R582" s="2" t="n">
        <v>1542.56</v>
      </c>
      <c r="S582" s="29" t="s">
        <v>786</v>
      </c>
      <c r="T582" s="22" t="s">
        <v>121</v>
      </c>
      <c r="U582" s="1" t="str">
        <f aca="false">D582&amp;"-"&amp;E582&amp;"-"&amp;M582&amp;"-"&amp;O582&amp;"-"&amp;P582&amp;"-"&amp;Q582</f>
        <v>TRIUMPH-BODY SMOOTH W-123I583-BLACK-36-B</v>
      </c>
    </row>
    <row r="583" customFormat="false" ht="15" hidden="true" customHeight="false" outlineLevel="0" collapsed="false">
      <c r="B583" s="25" t="s">
        <v>863</v>
      </c>
      <c r="C583" s="2" t="s">
        <v>580</v>
      </c>
      <c r="D583" s="2" t="s">
        <v>581</v>
      </c>
      <c r="E583" s="61" t="s">
        <v>858</v>
      </c>
      <c r="F583" s="3" t="s">
        <v>40</v>
      </c>
      <c r="G583" s="3" t="s">
        <v>41</v>
      </c>
      <c r="H583" s="3" t="s">
        <v>42</v>
      </c>
      <c r="I583" s="3" t="s">
        <v>43</v>
      </c>
      <c r="K583" s="27" t="s">
        <v>859</v>
      </c>
      <c r="L583" s="52"/>
      <c r="M583" s="25" t="s">
        <v>859</v>
      </c>
      <c r="N583" s="25" t="s">
        <v>617</v>
      </c>
      <c r="O583" s="61" t="s">
        <v>77</v>
      </c>
      <c r="P583" s="25" t="s">
        <v>65</v>
      </c>
      <c r="Q583" s="25" t="s">
        <v>595</v>
      </c>
      <c r="R583" s="2" t="n">
        <v>1542.56</v>
      </c>
      <c r="S583" s="29" t="s">
        <v>786</v>
      </c>
      <c r="T583" s="22" t="s">
        <v>112</v>
      </c>
      <c r="U583" s="1" t="str">
        <f aca="false">D583&amp;"-"&amp;E583&amp;"-"&amp;M583&amp;"-"&amp;O583&amp;"-"&amp;P583&amp;"-"&amp;Q583</f>
        <v>TRIUMPH-BODY SMOOTH W-123I583-BLACK-36-C</v>
      </c>
    </row>
    <row r="584" customFormat="false" ht="15" hidden="true" customHeight="false" outlineLevel="0" collapsed="false">
      <c r="B584" s="25" t="s">
        <v>864</v>
      </c>
      <c r="C584" s="2" t="s">
        <v>580</v>
      </c>
      <c r="D584" s="2" t="s">
        <v>581</v>
      </c>
      <c r="E584" s="61" t="s">
        <v>858</v>
      </c>
      <c r="F584" s="3" t="s">
        <v>40</v>
      </c>
      <c r="G584" s="3" t="s">
        <v>41</v>
      </c>
      <c r="H584" s="3" t="s">
        <v>42</v>
      </c>
      <c r="I584" s="3" t="s">
        <v>43</v>
      </c>
      <c r="K584" s="27" t="s">
        <v>859</v>
      </c>
      <c r="L584" s="52"/>
      <c r="M584" s="25" t="s">
        <v>859</v>
      </c>
      <c r="N584" s="25" t="s">
        <v>617</v>
      </c>
      <c r="O584" s="61" t="s">
        <v>77</v>
      </c>
      <c r="P584" s="25" t="s">
        <v>65</v>
      </c>
      <c r="Q584" s="25" t="s">
        <v>97</v>
      </c>
      <c r="R584" s="2" t="n">
        <v>1542.56</v>
      </c>
      <c r="S584" s="29" t="s">
        <v>786</v>
      </c>
      <c r="T584" s="22" t="s">
        <v>121</v>
      </c>
      <c r="U584" s="1" t="str">
        <f aca="false">D584&amp;"-"&amp;E584&amp;"-"&amp;M584&amp;"-"&amp;O584&amp;"-"&amp;P584&amp;"-"&amp;Q584</f>
        <v>TRIUMPH-BODY SMOOTH W-123I583-BLACK-36-D</v>
      </c>
    </row>
    <row r="585" customFormat="false" ht="15" hidden="true" customHeight="false" outlineLevel="0" collapsed="false">
      <c r="B585" s="61" t="s">
        <v>865</v>
      </c>
      <c r="C585" s="2" t="s">
        <v>580</v>
      </c>
      <c r="D585" s="2" t="s">
        <v>581</v>
      </c>
      <c r="E585" s="61" t="s">
        <v>858</v>
      </c>
      <c r="F585" s="3" t="s">
        <v>40</v>
      </c>
      <c r="G585" s="3" t="s">
        <v>41</v>
      </c>
      <c r="H585" s="3" t="s">
        <v>42</v>
      </c>
      <c r="I585" s="3" t="s">
        <v>43</v>
      </c>
      <c r="K585" s="27" t="s">
        <v>859</v>
      </c>
      <c r="L585" s="52"/>
      <c r="M585" s="61" t="s">
        <v>859</v>
      </c>
      <c r="N585" s="25" t="s">
        <v>617</v>
      </c>
      <c r="O585" s="61" t="s">
        <v>77</v>
      </c>
      <c r="P585" s="61" t="s">
        <v>65</v>
      </c>
      <c r="Q585" s="61" t="s">
        <v>66</v>
      </c>
      <c r="R585" s="2" t="n">
        <v>1542.56</v>
      </c>
      <c r="S585" s="29" t="s">
        <v>786</v>
      </c>
      <c r="T585" s="85" t="s">
        <v>831</v>
      </c>
      <c r="U585" s="1" t="str">
        <f aca="false">D585&amp;"-"&amp;E585&amp;"-"&amp;M585&amp;"-"&amp;O585&amp;"-"&amp;P585&amp;"-"&amp;Q585</f>
        <v>TRIUMPH-BODY SMOOTH W-123I583-BLACK-36-E</v>
      </c>
    </row>
    <row r="586" customFormat="false" ht="15" hidden="true" customHeight="false" outlineLevel="0" collapsed="false">
      <c r="B586" s="61" t="s">
        <v>866</v>
      </c>
      <c r="C586" s="2" t="s">
        <v>580</v>
      </c>
      <c r="D586" s="2" t="s">
        <v>581</v>
      </c>
      <c r="E586" s="61" t="s">
        <v>858</v>
      </c>
      <c r="F586" s="3" t="s">
        <v>40</v>
      </c>
      <c r="G586" s="3" t="s">
        <v>41</v>
      </c>
      <c r="H586" s="3" t="s">
        <v>42</v>
      </c>
      <c r="I586" s="3" t="s">
        <v>43</v>
      </c>
      <c r="K586" s="27" t="s">
        <v>859</v>
      </c>
      <c r="L586" s="52"/>
      <c r="M586" s="61" t="s">
        <v>859</v>
      </c>
      <c r="N586" s="25" t="s">
        <v>867</v>
      </c>
      <c r="O586" s="61" t="s">
        <v>868</v>
      </c>
      <c r="P586" s="61" t="s">
        <v>65</v>
      </c>
      <c r="Q586" s="61" t="s">
        <v>50</v>
      </c>
      <c r="R586" s="2" t="n">
        <v>1542.56</v>
      </c>
      <c r="S586" s="29" t="s">
        <v>786</v>
      </c>
      <c r="T586" s="85" t="s">
        <v>831</v>
      </c>
      <c r="U586" s="1" t="str">
        <f aca="false">D586&amp;"-"&amp;E586&amp;"-"&amp;M586&amp;"-"&amp;O586&amp;"-"&amp;P586&amp;"-"&amp;Q586</f>
        <v>TRIUMPH-BODY SMOOTH W-123I583-NUDE-36-F</v>
      </c>
    </row>
    <row r="587" customFormat="false" ht="15" hidden="true" customHeight="false" outlineLevel="0" collapsed="false">
      <c r="B587" s="25" t="s">
        <v>869</v>
      </c>
      <c r="C587" s="2" t="s">
        <v>580</v>
      </c>
      <c r="D587" s="2" t="s">
        <v>581</v>
      </c>
      <c r="E587" s="61" t="s">
        <v>858</v>
      </c>
      <c r="F587" s="3" t="s">
        <v>40</v>
      </c>
      <c r="G587" s="3" t="s">
        <v>41</v>
      </c>
      <c r="H587" s="3" t="s">
        <v>42</v>
      </c>
      <c r="I587" s="3" t="s">
        <v>43</v>
      </c>
      <c r="K587" s="27" t="s">
        <v>859</v>
      </c>
      <c r="L587" s="52"/>
      <c r="M587" s="25" t="s">
        <v>859</v>
      </c>
      <c r="N587" s="25" t="s">
        <v>617</v>
      </c>
      <c r="O587" s="61" t="s">
        <v>77</v>
      </c>
      <c r="P587" s="25" t="s">
        <v>65</v>
      </c>
      <c r="Q587" s="25" t="s">
        <v>50</v>
      </c>
      <c r="R587" s="2" t="n">
        <v>1542.56</v>
      </c>
      <c r="S587" s="29" t="s">
        <v>786</v>
      </c>
      <c r="T587" s="22" t="s">
        <v>121</v>
      </c>
      <c r="U587" s="1" t="str">
        <f aca="false">D587&amp;"-"&amp;E587&amp;"-"&amp;M587&amp;"-"&amp;O587&amp;"-"&amp;P587&amp;"-"&amp;Q587</f>
        <v>TRIUMPH-BODY SMOOTH W-123I583-BLACK-36-F</v>
      </c>
    </row>
    <row r="588" customFormat="false" ht="15" hidden="true" customHeight="false" outlineLevel="0" collapsed="false">
      <c r="B588" s="25" t="s">
        <v>870</v>
      </c>
      <c r="C588" s="2" t="s">
        <v>580</v>
      </c>
      <c r="D588" s="2" t="s">
        <v>581</v>
      </c>
      <c r="E588" s="61" t="s">
        <v>858</v>
      </c>
      <c r="F588" s="3" t="s">
        <v>40</v>
      </c>
      <c r="G588" s="3" t="s">
        <v>41</v>
      </c>
      <c r="H588" s="3" t="s">
        <v>42</v>
      </c>
      <c r="I588" s="3" t="s">
        <v>43</v>
      </c>
      <c r="K588" s="27" t="s">
        <v>871</v>
      </c>
      <c r="L588" s="52"/>
      <c r="M588" s="25" t="s">
        <v>859</v>
      </c>
      <c r="N588" s="25" t="s">
        <v>867</v>
      </c>
      <c r="O588" s="61" t="s">
        <v>868</v>
      </c>
      <c r="P588" s="25" t="s">
        <v>134</v>
      </c>
      <c r="Q588" s="25" t="s">
        <v>50</v>
      </c>
      <c r="R588" s="2" t="n">
        <v>1542.56</v>
      </c>
      <c r="S588" s="29" t="s">
        <v>786</v>
      </c>
      <c r="T588" s="22" t="s">
        <v>831</v>
      </c>
      <c r="U588" s="1" t="str">
        <f aca="false">D588&amp;"-"&amp;E588&amp;"-"&amp;M588&amp;"-"&amp;O588&amp;"-"&amp;P588&amp;"-"&amp;Q588</f>
        <v>TRIUMPH-BODY SMOOTH W-123I583-NUDE-34-F</v>
      </c>
    </row>
    <row r="589" customFormat="false" ht="15" hidden="true" customHeight="false" outlineLevel="0" collapsed="false">
      <c r="B589" s="25" t="s">
        <v>872</v>
      </c>
      <c r="C589" s="2" t="s">
        <v>580</v>
      </c>
      <c r="D589" s="2" t="s">
        <v>581</v>
      </c>
      <c r="E589" s="61" t="s">
        <v>858</v>
      </c>
      <c r="F589" s="3" t="s">
        <v>40</v>
      </c>
      <c r="G589" s="3" t="s">
        <v>41</v>
      </c>
      <c r="H589" s="3" t="s">
        <v>42</v>
      </c>
      <c r="I589" s="3" t="s">
        <v>43</v>
      </c>
      <c r="K589" s="27" t="s">
        <v>859</v>
      </c>
      <c r="L589" s="52"/>
      <c r="M589" s="25" t="s">
        <v>859</v>
      </c>
      <c r="N589" s="25" t="s">
        <v>617</v>
      </c>
      <c r="O589" s="61" t="s">
        <v>77</v>
      </c>
      <c r="P589" s="25" t="s">
        <v>154</v>
      </c>
      <c r="Q589" s="25" t="s">
        <v>66</v>
      </c>
      <c r="R589" s="2" t="n">
        <v>1542.56</v>
      </c>
      <c r="S589" s="29" t="s">
        <v>786</v>
      </c>
      <c r="T589" s="22" t="s">
        <v>831</v>
      </c>
      <c r="U589" s="1" t="str">
        <f aca="false">D589&amp;"-"&amp;E589&amp;"-"&amp;M589&amp;"-"&amp;O589&amp;"-"&amp;P589&amp;"-"&amp;Q589</f>
        <v>TRIUMPH-BODY SMOOTH W-123I583-BLACK-38-E</v>
      </c>
    </row>
    <row r="590" customFormat="false" ht="15" hidden="true" customHeight="false" outlineLevel="0" collapsed="false">
      <c r="B590" s="61" t="s">
        <v>873</v>
      </c>
      <c r="C590" s="2" t="s">
        <v>580</v>
      </c>
      <c r="D590" s="2" t="s">
        <v>581</v>
      </c>
      <c r="E590" s="61" t="s">
        <v>874</v>
      </c>
      <c r="F590" s="3" t="s">
        <v>80</v>
      </c>
      <c r="G590" s="3" t="s">
        <v>41</v>
      </c>
      <c r="H590" s="3" t="s">
        <v>70</v>
      </c>
      <c r="I590" s="3" t="s">
        <v>43</v>
      </c>
      <c r="K590" s="27" t="s">
        <v>875</v>
      </c>
      <c r="M590" s="25" t="s">
        <v>875</v>
      </c>
      <c r="N590" s="61" t="s">
        <v>617</v>
      </c>
      <c r="O590" s="61" t="s">
        <v>77</v>
      </c>
      <c r="P590" s="61" t="s">
        <v>134</v>
      </c>
      <c r="Q590" s="61" t="s">
        <v>97</v>
      </c>
      <c r="R590" s="1" t="n">
        <v>1735.46</v>
      </c>
      <c r="S590" s="1" t="n">
        <v>2699</v>
      </c>
      <c r="T590" s="1" t="n">
        <v>1</v>
      </c>
      <c r="U590" s="1" t="str">
        <f aca="false">D590&amp;"-"&amp;E590&amp;"-"&amp;M590&amp;"-"&amp;O590&amp;"-"&amp;P590&amp;"-"&amp;Q590</f>
        <v>TRIUMPH-SENSATION W-151|437-BLACK-34-D</v>
      </c>
    </row>
    <row r="591" customFormat="false" ht="15" hidden="true" customHeight="false" outlineLevel="0" collapsed="false">
      <c r="B591" s="25" t="s">
        <v>876</v>
      </c>
      <c r="C591" s="2" t="s">
        <v>580</v>
      </c>
      <c r="D591" s="2" t="s">
        <v>581</v>
      </c>
      <c r="E591" s="61" t="s">
        <v>874</v>
      </c>
      <c r="F591" s="3" t="s">
        <v>80</v>
      </c>
      <c r="G591" s="3" t="s">
        <v>41</v>
      </c>
      <c r="H591" s="3" t="s">
        <v>70</v>
      </c>
      <c r="I591" s="3" t="s">
        <v>43</v>
      </c>
      <c r="K591" s="27" t="s">
        <v>875</v>
      </c>
      <c r="M591" s="25" t="s">
        <v>875</v>
      </c>
      <c r="N591" s="25" t="s">
        <v>617</v>
      </c>
      <c r="O591" s="61" t="s">
        <v>77</v>
      </c>
      <c r="P591" s="25" t="s">
        <v>134</v>
      </c>
      <c r="Q591" s="25" t="s">
        <v>50</v>
      </c>
      <c r="R591" s="1" t="n">
        <v>1735.46</v>
      </c>
      <c r="S591" s="1" t="n">
        <v>2699</v>
      </c>
      <c r="T591" s="1" t="n">
        <v>0</v>
      </c>
      <c r="U591" s="1" t="str">
        <f aca="false">D591&amp;"-"&amp;E591&amp;"-"&amp;M591&amp;"-"&amp;O591&amp;"-"&amp;P591&amp;"-"&amp;Q591</f>
        <v>TRIUMPH-SENSATION W-151|437-BLACK-34-F</v>
      </c>
    </row>
    <row r="592" customFormat="false" ht="15" hidden="true" customHeight="false" outlineLevel="0" collapsed="false">
      <c r="B592" s="25" t="s">
        <v>877</v>
      </c>
      <c r="C592" s="2" t="s">
        <v>580</v>
      </c>
      <c r="D592" s="2" t="s">
        <v>581</v>
      </c>
      <c r="E592" s="61" t="s">
        <v>874</v>
      </c>
      <c r="F592" s="3" t="s">
        <v>80</v>
      </c>
      <c r="G592" s="3" t="s">
        <v>41</v>
      </c>
      <c r="H592" s="3" t="s">
        <v>70</v>
      </c>
      <c r="I592" s="3" t="s">
        <v>43</v>
      </c>
      <c r="K592" s="27" t="s">
        <v>875</v>
      </c>
      <c r="M592" s="25" t="s">
        <v>875</v>
      </c>
      <c r="N592" s="25" t="s">
        <v>617</v>
      </c>
      <c r="O592" s="61" t="s">
        <v>77</v>
      </c>
      <c r="P592" s="25" t="s">
        <v>65</v>
      </c>
      <c r="Q592" s="25" t="s">
        <v>66</v>
      </c>
      <c r="R592" s="1" t="n">
        <v>1735.46</v>
      </c>
      <c r="S592" s="1" t="n">
        <v>2699</v>
      </c>
      <c r="T592" s="1" t="n">
        <v>1</v>
      </c>
      <c r="U592" s="1" t="str">
        <f aca="false">D592&amp;"-"&amp;E592&amp;"-"&amp;M592&amp;"-"&amp;O592&amp;"-"&amp;P592&amp;"-"&amp;Q592</f>
        <v>TRIUMPH-SENSATION W-151|437-BLACK-36-E</v>
      </c>
    </row>
    <row r="593" customFormat="false" ht="15" hidden="true" customHeight="false" outlineLevel="0" collapsed="false">
      <c r="B593" s="61" t="s">
        <v>878</v>
      </c>
      <c r="C593" s="2" t="s">
        <v>580</v>
      </c>
      <c r="D593" s="2" t="s">
        <v>581</v>
      </c>
      <c r="E593" s="61" t="s">
        <v>874</v>
      </c>
      <c r="F593" s="3" t="s">
        <v>80</v>
      </c>
      <c r="G593" s="3" t="s">
        <v>41</v>
      </c>
      <c r="H593" s="3" t="s">
        <v>70</v>
      </c>
      <c r="I593" s="3" t="s">
        <v>43</v>
      </c>
      <c r="K593" s="27" t="s">
        <v>875</v>
      </c>
      <c r="M593" s="25" t="s">
        <v>875</v>
      </c>
      <c r="N593" s="61" t="s">
        <v>617</v>
      </c>
      <c r="O593" s="61" t="s">
        <v>77</v>
      </c>
      <c r="P593" s="61" t="s">
        <v>65</v>
      </c>
      <c r="Q593" s="61" t="s">
        <v>50</v>
      </c>
      <c r="R593" s="1" t="n">
        <v>1735.46</v>
      </c>
      <c r="S593" s="1" t="n">
        <v>2699</v>
      </c>
      <c r="T593" s="1" t="n">
        <v>0</v>
      </c>
      <c r="U593" s="1" t="str">
        <f aca="false">D593&amp;"-"&amp;E593&amp;"-"&amp;M593&amp;"-"&amp;O593&amp;"-"&amp;P593&amp;"-"&amp;Q593</f>
        <v>TRIUMPH-SENSATION W-151|437-BLACK-36-F</v>
      </c>
    </row>
    <row r="594" customFormat="false" ht="15" hidden="true" customHeight="false" outlineLevel="0" collapsed="false">
      <c r="B594" s="25" t="s">
        <v>879</v>
      </c>
      <c r="C594" s="2" t="s">
        <v>580</v>
      </c>
      <c r="D594" s="2" t="s">
        <v>581</v>
      </c>
      <c r="E594" s="61" t="s">
        <v>874</v>
      </c>
      <c r="F594" s="3" t="s">
        <v>80</v>
      </c>
      <c r="G594" s="3" t="s">
        <v>41</v>
      </c>
      <c r="H594" s="3" t="s">
        <v>70</v>
      </c>
      <c r="I594" s="3" t="s">
        <v>43</v>
      </c>
      <c r="K594" s="27" t="s">
        <v>875</v>
      </c>
      <c r="M594" s="25" t="s">
        <v>875</v>
      </c>
      <c r="N594" s="25" t="s">
        <v>617</v>
      </c>
      <c r="O594" s="61" t="s">
        <v>77</v>
      </c>
      <c r="P594" s="25" t="s">
        <v>65</v>
      </c>
      <c r="Q594" s="25" t="s">
        <v>97</v>
      </c>
      <c r="R594" s="1" t="n">
        <v>1735.46</v>
      </c>
      <c r="S594" s="1" t="n">
        <v>2699</v>
      </c>
      <c r="T594" s="1" t="n">
        <v>0</v>
      </c>
      <c r="U594" s="1" t="str">
        <f aca="false">D594&amp;"-"&amp;E594&amp;"-"&amp;M594&amp;"-"&amp;O594&amp;"-"&amp;P594&amp;"-"&amp;Q594</f>
        <v>TRIUMPH-SENSATION W-151|437-BLACK-36-D</v>
      </c>
    </row>
    <row r="595" customFormat="false" ht="15" hidden="true" customHeight="false" outlineLevel="0" collapsed="false">
      <c r="B595" s="25" t="s">
        <v>880</v>
      </c>
      <c r="C595" s="2" t="s">
        <v>580</v>
      </c>
      <c r="D595" s="2" t="s">
        <v>581</v>
      </c>
      <c r="E595" s="61" t="s">
        <v>874</v>
      </c>
      <c r="F595" s="3" t="s">
        <v>80</v>
      </c>
      <c r="G595" s="3" t="s">
        <v>41</v>
      </c>
      <c r="H595" s="3" t="s">
        <v>70</v>
      </c>
      <c r="I595" s="3" t="s">
        <v>43</v>
      </c>
      <c r="K595" s="27" t="s">
        <v>875</v>
      </c>
      <c r="M595" s="25" t="s">
        <v>875</v>
      </c>
      <c r="N595" s="25" t="s">
        <v>617</v>
      </c>
      <c r="O595" s="61" t="s">
        <v>77</v>
      </c>
      <c r="P595" s="25" t="s">
        <v>154</v>
      </c>
      <c r="Q595" s="25" t="s">
        <v>66</v>
      </c>
      <c r="R595" s="1" t="n">
        <v>1735.46</v>
      </c>
      <c r="S595" s="1" t="n">
        <v>2699</v>
      </c>
      <c r="T595" s="1" t="n">
        <v>0</v>
      </c>
      <c r="U595" s="1" t="str">
        <f aca="false">D595&amp;"-"&amp;E595&amp;"-"&amp;M595&amp;"-"&amp;O595&amp;"-"&amp;P595&amp;"-"&amp;Q595</f>
        <v>TRIUMPH-SENSATION W-151|437-BLACK-38-E</v>
      </c>
    </row>
    <row r="596" customFormat="false" ht="15" hidden="true" customHeight="false" outlineLevel="0" collapsed="false">
      <c r="B596" s="61" t="s">
        <v>881</v>
      </c>
      <c r="C596" s="2" t="s">
        <v>580</v>
      </c>
      <c r="D596" s="2" t="s">
        <v>581</v>
      </c>
      <c r="E596" s="61" t="s">
        <v>874</v>
      </c>
      <c r="F596" s="3" t="s">
        <v>80</v>
      </c>
      <c r="G596" s="3" t="s">
        <v>41</v>
      </c>
      <c r="H596" s="3" t="s">
        <v>70</v>
      </c>
      <c r="I596" s="3" t="s">
        <v>43</v>
      </c>
      <c r="K596" s="27" t="s">
        <v>875</v>
      </c>
      <c r="M596" s="25" t="s">
        <v>875</v>
      </c>
      <c r="N596" s="61" t="s">
        <v>617</v>
      </c>
      <c r="O596" s="61" t="s">
        <v>77</v>
      </c>
      <c r="P596" s="61" t="s">
        <v>154</v>
      </c>
      <c r="Q596" s="61" t="s">
        <v>97</v>
      </c>
      <c r="R596" s="1" t="n">
        <v>1735.46</v>
      </c>
      <c r="S596" s="1" t="n">
        <v>2699</v>
      </c>
      <c r="T596" s="1" t="n">
        <v>0</v>
      </c>
      <c r="U596" s="1" t="str">
        <f aca="false">D596&amp;"-"&amp;E596&amp;"-"&amp;M596&amp;"-"&amp;O596&amp;"-"&amp;P596&amp;"-"&amp;Q596</f>
        <v>TRIUMPH-SENSATION W-151|437-BLACK-38-D</v>
      </c>
    </row>
    <row r="597" customFormat="false" ht="15" hidden="true" customHeight="false" outlineLevel="0" collapsed="false">
      <c r="B597" s="25" t="s">
        <v>882</v>
      </c>
      <c r="C597" s="2" t="s">
        <v>580</v>
      </c>
      <c r="D597" s="2" t="s">
        <v>581</v>
      </c>
      <c r="E597" s="61" t="s">
        <v>874</v>
      </c>
      <c r="F597" s="3" t="s">
        <v>80</v>
      </c>
      <c r="G597" s="3" t="s">
        <v>41</v>
      </c>
      <c r="H597" s="3" t="s">
        <v>70</v>
      </c>
      <c r="I597" s="3" t="s">
        <v>43</v>
      </c>
      <c r="K597" s="27" t="s">
        <v>875</v>
      </c>
      <c r="M597" s="25" t="s">
        <v>875</v>
      </c>
      <c r="N597" s="25" t="s">
        <v>617</v>
      </c>
      <c r="O597" s="61" t="s">
        <v>77</v>
      </c>
      <c r="P597" s="25" t="s">
        <v>417</v>
      </c>
      <c r="Q597" s="25" t="s">
        <v>97</v>
      </c>
      <c r="R597" s="1" t="n">
        <v>1735.46</v>
      </c>
      <c r="S597" s="1" t="n">
        <v>2699</v>
      </c>
      <c r="T597" s="1" t="n">
        <v>1</v>
      </c>
      <c r="U597" s="1" t="str">
        <f aca="false">D597&amp;"-"&amp;E597&amp;"-"&amp;M597&amp;"-"&amp;O597&amp;"-"&amp;P597&amp;"-"&amp;Q597</f>
        <v>TRIUMPH-SENSATION W-151|437-BLACK-40-D</v>
      </c>
    </row>
    <row r="598" customFormat="false" ht="15" hidden="true" customHeight="false" outlineLevel="0" collapsed="false">
      <c r="B598" s="61" t="s">
        <v>883</v>
      </c>
      <c r="C598" s="2" t="s">
        <v>580</v>
      </c>
      <c r="D598" s="2" t="s">
        <v>581</v>
      </c>
      <c r="E598" s="61" t="s">
        <v>874</v>
      </c>
      <c r="F598" s="3" t="s">
        <v>80</v>
      </c>
      <c r="G598" s="3" t="s">
        <v>41</v>
      </c>
      <c r="H598" s="3" t="s">
        <v>70</v>
      </c>
      <c r="I598" s="3" t="s">
        <v>43</v>
      </c>
      <c r="K598" s="27" t="s">
        <v>875</v>
      </c>
      <c r="M598" s="25" t="s">
        <v>875</v>
      </c>
      <c r="N598" s="61" t="s">
        <v>76</v>
      </c>
      <c r="O598" s="61" t="s">
        <v>77</v>
      </c>
      <c r="P598" s="61" t="s">
        <v>417</v>
      </c>
      <c r="Q598" s="61" t="s">
        <v>66</v>
      </c>
      <c r="R598" s="1" t="n">
        <v>1735.46</v>
      </c>
      <c r="S598" s="1" t="n">
        <v>2699</v>
      </c>
      <c r="T598" s="1" t="n">
        <v>1</v>
      </c>
      <c r="U598" s="1" t="str">
        <f aca="false">D598&amp;"-"&amp;E598&amp;"-"&amp;M598&amp;"-"&amp;O598&amp;"-"&amp;P598&amp;"-"&amp;Q598</f>
        <v>TRIUMPH-SENSATION W-151|437-BLACK-40-E</v>
      </c>
    </row>
    <row r="599" customFormat="false" ht="15" hidden="true" customHeight="false" outlineLevel="0" collapsed="false">
      <c r="B599" s="25" t="s">
        <v>884</v>
      </c>
      <c r="C599" s="2" t="s">
        <v>580</v>
      </c>
      <c r="D599" s="2" t="s">
        <v>581</v>
      </c>
      <c r="E599" s="61" t="s">
        <v>874</v>
      </c>
      <c r="F599" s="3" t="s">
        <v>80</v>
      </c>
      <c r="G599" s="3" t="s">
        <v>41</v>
      </c>
      <c r="H599" s="3" t="s">
        <v>70</v>
      </c>
      <c r="I599" s="3" t="s">
        <v>43</v>
      </c>
      <c r="K599" s="27" t="s">
        <v>875</v>
      </c>
      <c r="M599" s="25" t="s">
        <v>875</v>
      </c>
      <c r="N599" s="25" t="s">
        <v>617</v>
      </c>
      <c r="O599" s="61" t="s">
        <v>77</v>
      </c>
      <c r="P599" s="25" t="s">
        <v>417</v>
      </c>
      <c r="Q599" s="25" t="s">
        <v>105</v>
      </c>
      <c r="R599" s="1" t="n">
        <v>1735.46</v>
      </c>
      <c r="S599" s="1" t="n">
        <v>2699</v>
      </c>
      <c r="T599" s="1" t="n">
        <v>0</v>
      </c>
      <c r="U599" s="1" t="str">
        <f aca="false">D599&amp;"-"&amp;E599&amp;"-"&amp;M599&amp;"-"&amp;O599&amp;"-"&amp;P599&amp;"-"&amp;Q599</f>
        <v>TRIUMPH-SENSATION W-151|437-BLACK-40-G</v>
      </c>
    </row>
    <row r="600" customFormat="false" ht="15" hidden="true" customHeight="false" outlineLevel="0" collapsed="false">
      <c r="B600" s="17" t="s">
        <v>885</v>
      </c>
      <c r="C600" s="17" t="s">
        <v>37</v>
      </c>
      <c r="D600" s="29" t="s">
        <v>886</v>
      </c>
      <c r="E600" s="17" t="s">
        <v>887</v>
      </c>
      <c r="F600" s="14" t="s">
        <v>40</v>
      </c>
      <c r="G600" s="3" t="s">
        <v>41</v>
      </c>
      <c r="H600" s="108" t="s">
        <v>42</v>
      </c>
      <c r="I600" s="3" t="s">
        <v>43</v>
      </c>
      <c r="K600" s="19" t="s">
        <v>888</v>
      </c>
      <c r="L600" s="19"/>
      <c r="M600" s="17" t="s">
        <v>888</v>
      </c>
      <c r="N600" s="17" t="s">
        <v>889</v>
      </c>
      <c r="O600" s="17" t="s">
        <v>890</v>
      </c>
      <c r="P600" s="17" t="s">
        <v>55</v>
      </c>
      <c r="Q600" s="17" t="s">
        <v>62</v>
      </c>
      <c r="R600" s="24" t="n">
        <v>2772</v>
      </c>
      <c r="S600" s="24" t="n">
        <v>5700</v>
      </c>
      <c r="T600" s="21" t="n">
        <v>1</v>
      </c>
      <c r="U600" s="1" t="str">
        <f aca="false">D600&amp;"-"&amp;E600&amp;"-"&amp;M600&amp;"-"&amp;O600&amp;"-"&amp;P600&amp;"-"&amp;Q600</f>
        <v>FANTASIE-ENVISAGE UW FULL CUP SIDE-FL6912-ICE Blue-30-FF</v>
      </c>
      <c r="W600" s="1" t="s">
        <v>113</v>
      </c>
    </row>
    <row r="601" customFormat="false" ht="15" hidden="true" customHeight="false" outlineLevel="0" collapsed="false">
      <c r="B601" s="17" t="s">
        <v>891</v>
      </c>
      <c r="C601" s="17" t="s">
        <v>37</v>
      </c>
      <c r="D601" s="29" t="s">
        <v>886</v>
      </c>
      <c r="E601" s="17" t="s">
        <v>887</v>
      </c>
      <c r="F601" s="14" t="s">
        <v>40</v>
      </c>
      <c r="G601" s="3" t="s">
        <v>41</v>
      </c>
      <c r="H601" s="108" t="s">
        <v>42</v>
      </c>
      <c r="I601" s="3" t="s">
        <v>43</v>
      </c>
      <c r="K601" s="19" t="s">
        <v>888</v>
      </c>
      <c r="L601" s="19"/>
      <c r="M601" s="17" t="s">
        <v>888</v>
      </c>
      <c r="N601" s="17" t="s">
        <v>892</v>
      </c>
      <c r="O601" s="17" t="s">
        <v>893</v>
      </c>
      <c r="P601" s="17" t="s">
        <v>55</v>
      </c>
      <c r="Q601" s="17" t="s">
        <v>62</v>
      </c>
      <c r="R601" s="24" t="n">
        <v>2772</v>
      </c>
      <c r="S601" s="24" t="n">
        <v>5700</v>
      </c>
      <c r="T601" s="21" t="n">
        <v>1</v>
      </c>
      <c r="U601" s="1" t="str">
        <f aca="false">D601&amp;"-"&amp;E601&amp;"-"&amp;M601&amp;"-"&amp;O601&amp;"-"&amp;P601&amp;"-"&amp;Q601</f>
        <v>FANTASIE-ENVISAGE UW FULL CUP SIDE-FL6912-Dark SKIN-30-FF</v>
      </c>
      <c r="W601" s="1" t="s">
        <v>113</v>
      </c>
    </row>
    <row r="602" customFormat="false" ht="15" hidden="true" customHeight="false" outlineLevel="0" collapsed="false">
      <c r="B602" s="17" t="s">
        <v>894</v>
      </c>
      <c r="C602" s="17" t="s">
        <v>37</v>
      </c>
      <c r="D602" s="29" t="s">
        <v>886</v>
      </c>
      <c r="E602" s="17" t="s">
        <v>887</v>
      </c>
      <c r="F602" s="14" t="s">
        <v>40</v>
      </c>
      <c r="G602" s="3" t="s">
        <v>41</v>
      </c>
      <c r="H602" s="108" t="s">
        <v>42</v>
      </c>
      <c r="I602" s="3" t="s">
        <v>43</v>
      </c>
      <c r="K602" s="19" t="s">
        <v>888</v>
      </c>
      <c r="L602" s="19"/>
      <c r="M602" s="17" t="s">
        <v>888</v>
      </c>
      <c r="N602" s="17" t="s">
        <v>892</v>
      </c>
      <c r="O602" s="17" t="s">
        <v>893</v>
      </c>
      <c r="P602" s="17" t="s">
        <v>55</v>
      </c>
      <c r="Q602" s="17" t="s">
        <v>105</v>
      </c>
      <c r="R602" s="24" t="n">
        <v>2772</v>
      </c>
      <c r="S602" s="24" t="n">
        <v>5700</v>
      </c>
      <c r="T602" s="21" t="n">
        <v>2</v>
      </c>
      <c r="U602" s="1" t="str">
        <f aca="false">D602&amp;"-"&amp;E602&amp;"-"&amp;M602&amp;"-"&amp;O602&amp;"-"&amp;P602&amp;"-"&amp;Q602</f>
        <v>FANTASIE-ENVISAGE UW FULL CUP SIDE-FL6912-Dark SKIN-30-G</v>
      </c>
      <c r="W602" s="1" t="s">
        <v>113</v>
      </c>
    </row>
    <row r="603" customFormat="false" ht="15" hidden="true" customHeight="false" outlineLevel="0" collapsed="false">
      <c r="B603" s="17" t="s">
        <v>895</v>
      </c>
      <c r="C603" s="17" t="s">
        <v>37</v>
      </c>
      <c r="D603" s="29" t="s">
        <v>886</v>
      </c>
      <c r="E603" s="17" t="s">
        <v>896</v>
      </c>
      <c r="F603" s="14" t="s">
        <v>40</v>
      </c>
      <c r="G603" s="3" t="s">
        <v>41</v>
      </c>
      <c r="H603" s="108" t="s">
        <v>42</v>
      </c>
      <c r="I603" s="3" t="s">
        <v>43</v>
      </c>
      <c r="K603" s="19" t="s">
        <v>888</v>
      </c>
      <c r="L603" s="19"/>
      <c r="M603" s="17" t="s">
        <v>888</v>
      </c>
      <c r="N603" s="17" t="s">
        <v>889</v>
      </c>
      <c r="O603" s="17" t="s">
        <v>890</v>
      </c>
      <c r="P603" s="17" t="s">
        <v>92</v>
      </c>
      <c r="Q603" s="17" t="s">
        <v>66</v>
      </c>
      <c r="R603" s="24" t="n">
        <v>2772</v>
      </c>
      <c r="S603" s="24" t="n">
        <v>5700</v>
      </c>
      <c r="T603" s="21" t="n">
        <v>1</v>
      </c>
      <c r="U603" s="1" t="str">
        <f aca="false">D603&amp;"-"&amp;E603&amp;"-"&amp;M603&amp;"-"&amp;O603&amp;"-"&amp;P603&amp;"-"&amp;Q603</f>
        <v>FANTASIE-ENVISAGE  UW FULL CUP SIDE-FL6912-ICE Blue-32-E</v>
      </c>
      <c r="W603" s="1" t="s">
        <v>113</v>
      </c>
    </row>
    <row r="604" customFormat="false" ht="15" hidden="true" customHeight="false" outlineLevel="0" collapsed="false">
      <c r="B604" s="17" t="s">
        <v>897</v>
      </c>
      <c r="C604" s="17" t="s">
        <v>37</v>
      </c>
      <c r="D604" s="29" t="s">
        <v>886</v>
      </c>
      <c r="E604" s="17" t="s">
        <v>887</v>
      </c>
      <c r="F604" s="14" t="s">
        <v>40</v>
      </c>
      <c r="G604" s="3" t="s">
        <v>41</v>
      </c>
      <c r="H604" s="108" t="s">
        <v>42</v>
      </c>
      <c r="I604" s="3" t="s">
        <v>43</v>
      </c>
      <c r="K604" s="19" t="s">
        <v>888</v>
      </c>
      <c r="L604" s="19"/>
      <c r="M604" s="17" t="s">
        <v>888</v>
      </c>
      <c r="N604" s="17" t="s">
        <v>889</v>
      </c>
      <c r="O604" s="17" t="s">
        <v>890</v>
      </c>
      <c r="P604" s="17" t="s">
        <v>92</v>
      </c>
      <c r="Q604" s="17" t="s">
        <v>50</v>
      </c>
      <c r="R604" s="24" t="n">
        <v>2772</v>
      </c>
      <c r="S604" s="24" t="n">
        <v>5700</v>
      </c>
      <c r="T604" s="21" t="n">
        <v>2</v>
      </c>
      <c r="U604" s="1" t="str">
        <f aca="false">D604&amp;"-"&amp;E604&amp;"-"&amp;M604&amp;"-"&amp;O604&amp;"-"&amp;P604&amp;"-"&amp;Q604</f>
        <v>FANTASIE-ENVISAGE UW FULL CUP SIDE-FL6912-ICE Blue-32-F</v>
      </c>
      <c r="W604" s="1" t="s">
        <v>113</v>
      </c>
    </row>
    <row r="605" customFormat="false" ht="15" hidden="true" customHeight="false" outlineLevel="0" collapsed="false">
      <c r="B605" s="17" t="s">
        <v>898</v>
      </c>
      <c r="C605" s="17" t="s">
        <v>37</v>
      </c>
      <c r="D605" s="29" t="s">
        <v>886</v>
      </c>
      <c r="E605" s="17" t="s">
        <v>887</v>
      </c>
      <c r="F605" s="14" t="s">
        <v>40</v>
      </c>
      <c r="G605" s="3" t="s">
        <v>41</v>
      </c>
      <c r="H605" s="108" t="s">
        <v>42</v>
      </c>
      <c r="I605" s="3" t="s">
        <v>43</v>
      </c>
      <c r="K605" s="19" t="s">
        <v>888</v>
      </c>
      <c r="L605" s="19"/>
      <c r="M605" s="17" t="s">
        <v>888</v>
      </c>
      <c r="N605" s="17" t="s">
        <v>889</v>
      </c>
      <c r="O605" s="17" t="s">
        <v>890</v>
      </c>
      <c r="P605" s="17" t="s">
        <v>92</v>
      </c>
      <c r="Q605" s="17" t="s">
        <v>62</v>
      </c>
      <c r="R605" s="24" t="n">
        <v>2772</v>
      </c>
      <c r="S605" s="24" t="n">
        <v>5700</v>
      </c>
      <c r="T605" s="21" t="n">
        <v>1</v>
      </c>
      <c r="U605" s="1" t="str">
        <f aca="false">D605&amp;"-"&amp;E605&amp;"-"&amp;M605&amp;"-"&amp;O605&amp;"-"&amp;P605&amp;"-"&amp;Q605</f>
        <v>FANTASIE-ENVISAGE UW FULL CUP SIDE-FL6912-ICE Blue-32-FF</v>
      </c>
      <c r="W605" s="1" t="s">
        <v>113</v>
      </c>
    </row>
    <row r="606" customFormat="false" ht="15" hidden="true" customHeight="false" outlineLevel="0" collapsed="false">
      <c r="B606" s="17" t="s">
        <v>899</v>
      </c>
      <c r="C606" s="17" t="s">
        <v>37</v>
      </c>
      <c r="D606" s="29" t="s">
        <v>886</v>
      </c>
      <c r="E606" s="17" t="s">
        <v>887</v>
      </c>
      <c r="F606" s="14" t="s">
        <v>40</v>
      </c>
      <c r="G606" s="3" t="s">
        <v>41</v>
      </c>
      <c r="H606" s="108" t="s">
        <v>42</v>
      </c>
      <c r="I606" s="3" t="s">
        <v>43</v>
      </c>
      <c r="K606" s="19" t="s">
        <v>888</v>
      </c>
      <c r="L606" s="19"/>
      <c r="M606" s="17" t="s">
        <v>888</v>
      </c>
      <c r="N606" s="17" t="s">
        <v>76</v>
      </c>
      <c r="O606" s="17" t="s">
        <v>77</v>
      </c>
      <c r="P606" s="17" t="s">
        <v>92</v>
      </c>
      <c r="Q606" s="17" t="s">
        <v>105</v>
      </c>
      <c r="R606" s="24" t="n">
        <v>2772</v>
      </c>
      <c r="S606" s="24" t="n">
        <v>5700</v>
      </c>
      <c r="T606" s="21" t="n">
        <v>1</v>
      </c>
      <c r="U606" s="1" t="str">
        <f aca="false">D606&amp;"-"&amp;E606&amp;"-"&amp;M606&amp;"-"&amp;O606&amp;"-"&amp;P606&amp;"-"&amp;Q606</f>
        <v>FANTASIE-ENVISAGE UW FULL CUP SIDE-FL6912-BLACK-32-G</v>
      </c>
      <c r="W606" s="1" t="s">
        <v>113</v>
      </c>
    </row>
    <row r="607" customFormat="false" ht="15" hidden="true" customHeight="false" outlineLevel="0" collapsed="false">
      <c r="B607" s="17" t="s">
        <v>900</v>
      </c>
      <c r="C607" s="17" t="s">
        <v>37</v>
      </c>
      <c r="D607" s="29" t="s">
        <v>886</v>
      </c>
      <c r="E607" s="17" t="s">
        <v>887</v>
      </c>
      <c r="F607" s="14" t="s">
        <v>40</v>
      </c>
      <c r="G607" s="3" t="s">
        <v>41</v>
      </c>
      <c r="H607" s="108" t="s">
        <v>42</v>
      </c>
      <c r="I607" s="3" t="s">
        <v>43</v>
      </c>
      <c r="K607" s="19" t="s">
        <v>888</v>
      </c>
      <c r="L607" s="19"/>
      <c r="M607" s="17" t="s">
        <v>888</v>
      </c>
      <c r="N607" s="17" t="s">
        <v>889</v>
      </c>
      <c r="O607" s="17" t="s">
        <v>890</v>
      </c>
      <c r="P607" s="17" t="s">
        <v>92</v>
      </c>
      <c r="Q607" s="17" t="s">
        <v>143</v>
      </c>
      <c r="R607" s="24" t="n">
        <v>2772</v>
      </c>
      <c r="S607" s="24" t="n">
        <v>5700</v>
      </c>
      <c r="T607" s="21" t="n">
        <v>0</v>
      </c>
      <c r="U607" s="1" t="str">
        <f aca="false">D607&amp;"-"&amp;E607&amp;"-"&amp;M607&amp;"-"&amp;O607&amp;"-"&amp;P607&amp;"-"&amp;Q607</f>
        <v>FANTASIE-ENVISAGE UW FULL CUP SIDE-FL6912-ICE Blue-32-H</v>
      </c>
      <c r="W607" s="1" t="s">
        <v>113</v>
      </c>
    </row>
    <row r="608" customFormat="false" ht="15" hidden="true" customHeight="false" outlineLevel="0" collapsed="false">
      <c r="B608" s="17" t="s">
        <v>901</v>
      </c>
      <c r="C608" s="17" t="s">
        <v>37</v>
      </c>
      <c r="D608" s="29" t="s">
        <v>886</v>
      </c>
      <c r="E608" s="17" t="s">
        <v>887</v>
      </c>
      <c r="F608" s="14" t="s">
        <v>40</v>
      </c>
      <c r="G608" s="3" t="s">
        <v>41</v>
      </c>
      <c r="H608" s="108" t="s">
        <v>42</v>
      </c>
      <c r="I608" s="3" t="s">
        <v>43</v>
      </c>
      <c r="K608" s="19" t="s">
        <v>888</v>
      </c>
      <c r="L608" s="19"/>
      <c r="M608" s="17" t="s">
        <v>888</v>
      </c>
      <c r="N608" s="17" t="s">
        <v>889</v>
      </c>
      <c r="O608" s="17" t="s">
        <v>890</v>
      </c>
      <c r="P608" s="17" t="s">
        <v>134</v>
      </c>
      <c r="Q608" s="17" t="s">
        <v>66</v>
      </c>
      <c r="R608" s="24" t="n">
        <v>2772</v>
      </c>
      <c r="S608" s="24" t="n">
        <v>5700</v>
      </c>
      <c r="T608" s="21" t="n">
        <v>1</v>
      </c>
      <c r="U608" s="1" t="str">
        <f aca="false">D608&amp;"-"&amp;E608&amp;"-"&amp;M608&amp;"-"&amp;O608&amp;"-"&amp;P608&amp;"-"&amp;Q608</f>
        <v>FANTASIE-ENVISAGE UW FULL CUP SIDE-FL6912-ICE Blue-34-E</v>
      </c>
      <c r="W608" s="1" t="s">
        <v>113</v>
      </c>
    </row>
    <row r="609" customFormat="false" ht="15" hidden="true" customHeight="false" outlineLevel="0" collapsed="false">
      <c r="B609" s="17" t="s">
        <v>902</v>
      </c>
      <c r="C609" s="17" t="s">
        <v>37</v>
      </c>
      <c r="D609" s="29" t="s">
        <v>886</v>
      </c>
      <c r="E609" s="17" t="s">
        <v>887</v>
      </c>
      <c r="F609" s="14" t="s">
        <v>40</v>
      </c>
      <c r="G609" s="3" t="s">
        <v>41</v>
      </c>
      <c r="H609" s="108" t="s">
        <v>42</v>
      </c>
      <c r="I609" s="3" t="s">
        <v>43</v>
      </c>
      <c r="K609" s="19" t="s">
        <v>888</v>
      </c>
      <c r="L609" s="19"/>
      <c r="M609" s="17" t="s">
        <v>888</v>
      </c>
      <c r="N609" s="17" t="s">
        <v>889</v>
      </c>
      <c r="O609" s="17" t="s">
        <v>890</v>
      </c>
      <c r="P609" s="17" t="s">
        <v>134</v>
      </c>
      <c r="Q609" s="17" t="s">
        <v>50</v>
      </c>
      <c r="R609" s="24" t="n">
        <v>2772</v>
      </c>
      <c r="S609" s="24" t="n">
        <v>5700</v>
      </c>
      <c r="T609" s="21" t="n">
        <v>1</v>
      </c>
      <c r="U609" s="1" t="str">
        <f aca="false">D609&amp;"-"&amp;E609&amp;"-"&amp;M609&amp;"-"&amp;O609&amp;"-"&amp;P609&amp;"-"&amp;Q609</f>
        <v>FANTASIE-ENVISAGE UW FULL CUP SIDE-FL6912-ICE Blue-34-F</v>
      </c>
      <c r="W609" s="1" t="s">
        <v>113</v>
      </c>
    </row>
    <row r="610" customFormat="false" ht="15" hidden="true" customHeight="false" outlineLevel="0" collapsed="false">
      <c r="B610" s="17" t="s">
        <v>903</v>
      </c>
      <c r="C610" s="17" t="s">
        <v>37</v>
      </c>
      <c r="D610" s="29" t="s">
        <v>886</v>
      </c>
      <c r="E610" s="17" t="s">
        <v>887</v>
      </c>
      <c r="F610" s="14" t="s">
        <v>40</v>
      </c>
      <c r="G610" s="3" t="s">
        <v>41</v>
      </c>
      <c r="H610" s="108" t="s">
        <v>42</v>
      </c>
      <c r="I610" s="3" t="s">
        <v>43</v>
      </c>
      <c r="K610" s="19" t="s">
        <v>888</v>
      </c>
      <c r="L610" s="19"/>
      <c r="M610" s="17" t="s">
        <v>888</v>
      </c>
      <c r="N610" s="17" t="s">
        <v>889</v>
      </c>
      <c r="O610" s="17" t="s">
        <v>890</v>
      </c>
      <c r="P610" s="17" t="s">
        <v>134</v>
      </c>
      <c r="Q610" s="17" t="s">
        <v>62</v>
      </c>
      <c r="R610" s="24" t="n">
        <v>2772</v>
      </c>
      <c r="S610" s="24" t="n">
        <v>5700</v>
      </c>
      <c r="T610" s="21" t="n">
        <v>1</v>
      </c>
      <c r="U610" s="1" t="str">
        <f aca="false">D610&amp;"-"&amp;E610&amp;"-"&amp;M610&amp;"-"&amp;O610&amp;"-"&amp;P610&amp;"-"&amp;Q610</f>
        <v>FANTASIE-ENVISAGE UW FULL CUP SIDE-FL6912-ICE Blue-34-FF</v>
      </c>
      <c r="W610" s="1" t="s">
        <v>113</v>
      </c>
    </row>
    <row r="611" customFormat="false" ht="15" hidden="true" customHeight="false" outlineLevel="0" collapsed="false">
      <c r="B611" s="17" t="s">
        <v>904</v>
      </c>
      <c r="C611" s="17" t="s">
        <v>37</v>
      </c>
      <c r="D611" s="29" t="s">
        <v>886</v>
      </c>
      <c r="E611" s="17" t="s">
        <v>887</v>
      </c>
      <c r="F611" s="14" t="s">
        <v>40</v>
      </c>
      <c r="G611" s="3" t="s">
        <v>41</v>
      </c>
      <c r="H611" s="108" t="s">
        <v>42</v>
      </c>
      <c r="I611" s="3" t="s">
        <v>43</v>
      </c>
      <c r="K611" s="19" t="s">
        <v>888</v>
      </c>
      <c r="L611" s="19"/>
      <c r="M611" s="17" t="s">
        <v>888</v>
      </c>
      <c r="N611" s="17" t="s">
        <v>119</v>
      </c>
      <c r="O611" s="17" t="s">
        <v>465</v>
      </c>
      <c r="P611" s="17" t="s">
        <v>134</v>
      </c>
      <c r="Q611" s="17" t="s">
        <v>105</v>
      </c>
      <c r="R611" s="24" t="n">
        <v>2772</v>
      </c>
      <c r="S611" s="24" t="n">
        <v>5700</v>
      </c>
      <c r="T611" s="21" t="n">
        <v>1</v>
      </c>
      <c r="U611" s="1" t="str">
        <f aca="false">D611&amp;"-"&amp;E611&amp;"-"&amp;M611&amp;"-"&amp;O611&amp;"-"&amp;P611&amp;"-"&amp;Q611</f>
        <v>FANTASIE-ENVISAGE UW FULL CUP SIDE-FL6912-SKIN-34-G</v>
      </c>
      <c r="W611" s="1" t="s">
        <v>113</v>
      </c>
    </row>
    <row r="612" customFormat="false" ht="15" hidden="true" customHeight="false" outlineLevel="0" collapsed="false">
      <c r="B612" s="17" t="s">
        <v>905</v>
      </c>
      <c r="C612" s="17" t="s">
        <v>37</v>
      </c>
      <c r="D612" s="29" t="s">
        <v>886</v>
      </c>
      <c r="E612" s="17" t="s">
        <v>887</v>
      </c>
      <c r="F612" s="14" t="s">
        <v>40</v>
      </c>
      <c r="G612" s="3" t="s">
        <v>41</v>
      </c>
      <c r="H612" s="108" t="s">
        <v>42</v>
      </c>
      <c r="I612" s="3" t="s">
        <v>43</v>
      </c>
      <c r="K612" s="19" t="s">
        <v>888</v>
      </c>
      <c r="L612" s="19"/>
      <c r="M612" s="17" t="s">
        <v>888</v>
      </c>
      <c r="N612" s="17" t="s">
        <v>889</v>
      </c>
      <c r="O612" s="17" t="s">
        <v>890</v>
      </c>
      <c r="P612" s="17" t="s">
        <v>134</v>
      </c>
      <c r="Q612" s="17" t="s">
        <v>105</v>
      </c>
      <c r="R612" s="24" t="n">
        <v>2772</v>
      </c>
      <c r="S612" s="24" t="n">
        <v>5700</v>
      </c>
      <c r="T612" s="21" t="n">
        <v>1</v>
      </c>
      <c r="U612" s="1" t="str">
        <f aca="false">D612&amp;"-"&amp;E612&amp;"-"&amp;M612&amp;"-"&amp;O612&amp;"-"&amp;P612&amp;"-"&amp;Q612</f>
        <v>FANTASIE-ENVISAGE UW FULL CUP SIDE-FL6912-ICE Blue-34-G</v>
      </c>
      <c r="W612" s="1" t="s">
        <v>113</v>
      </c>
    </row>
    <row r="613" customFormat="false" ht="15" hidden="true" customHeight="false" outlineLevel="0" collapsed="false">
      <c r="B613" s="17" t="s">
        <v>906</v>
      </c>
      <c r="C613" s="17" t="s">
        <v>37</v>
      </c>
      <c r="D613" s="29" t="s">
        <v>886</v>
      </c>
      <c r="E613" s="17" t="s">
        <v>887</v>
      </c>
      <c r="F613" s="14" t="s">
        <v>40</v>
      </c>
      <c r="G613" s="3" t="s">
        <v>41</v>
      </c>
      <c r="H613" s="108" t="s">
        <v>42</v>
      </c>
      <c r="I613" s="3" t="s">
        <v>43</v>
      </c>
      <c r="K613" s="19" t="s">
        <v>888</v>
      </c>
      <c r="L613" s="19"/>
      <c r="M613" s="17" t="s">
        <v>888</v>
      </c>
      <c r="N613" s="17" t="s">
        <v>889</v>
      </c>
      <c r="O613" s="17" t="s">
        <v>890</v>
      </c>
      <c r="P613" s="17" t="s">
        <v>134</v>
      </c>
      <c r="Q613" s="17" t="s">
        <v>129</v>
      </c>
      <c r="R613" s="24" t="n">
        <v>2772</v>
      </c>
      <c r="S613" s="24" t="n">
        <v>5700</v>
      </c>
      <c r="T613" s="21" t="n">
        <v>1</v>
      </c>
      <c r="U613" s="1" t="str">
        <f aca="false">D613&amp;"-"&amp;E613&amp;"-"&amp;M613&amp;"-"&amp;O613&amp;"-"&amp;P613&amp;"-"&amp;Q613</f>
        <v>FANTASIE-ENVISAGE UW FULL CUP SIDE-FL6912-ICE Blue-34-GG</v>
      </c>
      <c r="W613" s="1" t="s">
        <v>113</v>
      </c>
    </row>
    <row r="614" customFormat="false" ht="15" hidden="true" customHeight="false" outlineLevel="0" collapsed="false">
      <c r="B614" s="17" t="s">
        <v>907</v>
      </c>
      <c r="C614" s="17" t="s">
        <v>37</v>
      </c>
      <c r="D614" s="29" t="s">
        <v>886</v>
      </c>
      <c r="E614" s="17" t="s">
        <v>887</v>
      </c>
      <c r="F614" s="14" t="s">
        <v>40</v>
      </c>
      <c r="G614" s="3" t="s">
        <v>41</v>
      </c>
      <c r="H614" s="108" t="s">
        <v>42</v>
      </c>
      <c r="I614" s="3" t="s">
        <v>43</v>
      </c>
      <c r="K614" s="19" t="s">
        <v>888</v>
      </c>
      <c r="L614" s="19"/>
      <c r="M614" s="17" t="s">
        <v>888</v>
      </c>
      <c r="N614" s="17" t="s">
        <v>908</v>
      </c>
      <c r="O614" s="17" t="s">
        <v>594</v>
      </c>
      <c r="P614" s="17" t="s">
        <v>65</v>
      </c>
      <c r="Q614" s="17" t="s">
        <v>50</v>
      </c>
      <c r="R614" s="24" t="n">
        <v>2772</v>
      </c>
      <c r="S614" s="24" t="n">
        <v>5700</v>
      </c>
      <c r="T614" s="21" t="n">
        <v>1</v>
      </c>
      <c r="U614" s="1" t="str">
        <f aca="false">D614&amp;"-"&amp;E614&amp;"-"&amp;M614&amp;"-"&amp;O614&amp;"-"&amp;P614&amp;"-"&amp;Q614</f>
        <v>FANTASIE-ENVISAGE UW FULL CUP SIDE-FL6912-PINK-36-F</v>
      </c>
      <c r="W614" s="1" t="s">
        <v>113</v>
      </c>
    </row>
    <row r="615" customFormat="false" ht="15" hidden="true" customHeight="false" outlineLevel="0" collapsed="false">
      <c r="B615" s="17" t="s">
        <v>909</v>
      </c>
      <c r="C615" s="17" t="s">
        <v>37</v>
      </c>
      <c r="D615" s="29" t="s">
        <v>886</v>
      </c>
      <c r="E615" s="17" t="s">
        <v>887</v>
      </c>
      <c r="F615" s="14" t="s">
        <v>40</v>
      </c>
      <c r="G615" s="3" t="s">
        <v>41</v>
      </c>
      <c r="H615" s="108" t="s">
        <v>42</v>
      </c>
      <c r="I615" s="3" t="s">
        <v>43</v>
      </c>
      <c r="K615" s="19" t="s">
        <v>888</v>
      </c>
      <c r="L615" s="19"/>
      <c r="M615" s="17" t="s">
        <v>888</v>
      </c>
      <c r="N615" s="17" t="s">
        <v>889</v>
      </c>
      <c r="O615" s="17" t="s">
        <v>890</v>
      </c>
      <c r="P615" s="17" t="s">
        <v>65</v>
      </c>
      <c r="Q615" s="17" t="s">
        <v>62</v>
      </c>
      <c r="R615" s="24" t="n">
        <v>2772</v>
      </c>
      <c r="S615" s="24" t="n">
        <v>5700</v>
      </c>
      <c r="T615" s="21" t="n">
        <v>0</v>
      </c>
      <c r="U615" s="1" t="str">
        <f aca="false">D615&amp;"-"&amp;E615&amp;"-"&amp;M615&amp;"-"&amp;O615&amp;"-"&amp;P615&amp;"-"&amp;Q615</f>
        <v>FANTASIE-ENVISAGE UW FULL CUP SIDE-FL6912-ICE Blue-36-FF</v>
      </c>
      <c r="W615" s="1" t="s">
        <v>113</v>
      </c>
    </row>
    <row r="616" customFormat="false" ht="15" hidden="true" customHeight="false" outlineLevel="0" collapsed="false">
      <c r="B616" s="17" t="s">
        <v>910</v>
      </c>
      <c r="C616" s="17" t="s">
        <v>37</v>
      </c>
      <c r="D616" s="29" t="s">
        <v>886</v>
      </c>
      <c r="E616" s="17" t="s">
        <v>887</v>
      </c>
      <c r="F616" s="14" t="s">
        <v>40</v>
      </c>
      <c r="G616" s="3" t="s">
        <v>41</v>
      </c>
      <c r="H616" s="108" t="s">
        <v>42</v>
      </c>
      <c r="I616" s="3" t="s">
        <v>43</v>
      </c>
      <c r="K616" s="19" t="s">
        <v>888</v>
      </c>
      <c r="L616" s="19"/>
      <c r="M616" s="17" t="s">
        <v>888</v>
      </c>
      <c r="N616" s="17" t="s">
        <v>911</v>
      </c>
      <c r="O616" s="21" t="s">
        <v>912</v>
      </c>
      <c r="P616" s="17" t="s">
        <v>134</v>
      </c>
      <c r="Q616" s="17" t="s">
        <v>129</v>
      </c>
      <c r="R616" s="24" t="n">
        <v>3042</v>
      </c>
      <c r="S616" s="24" t="n">
        <v>5700</v>
      </c>
      <c r="T616" s="21" t="n">
        <v>1</v>
      </c>
      <c r="U616" s="1" t="str">
        <f aca="false">D616&amp;"-"&amp;E616&amp;"-"&amp;M616&amp;"-"&amp;O616&amp;"-"&amp;P616&amp;"-"&amp;Q616</f>
        <v>FANTASIE-ENVISAGE UW FULL CUP SIDE-FL6912-Purple-34-GG</v>
      </c>
      <c r="W616" s="1" t="s">
        <v>113</v>
      </c>
    </row>
    <row r="617" customFormat="false" ht="15" hidden="true" customHeight="false" outlineLevel="0" collapsed="false">
      <c r="B617" s="17" t="s">
        <v>913</v>
      </c>
      <c r="C617" s="17" t="s">
        <v>37</v>
      </c>
      <c r="D617" s="29" t="s">
        <v>886</v>
      </c>
      <c r="E617" s="17" t="s">
        <v>887</v>
      </c>
      <c r="F617" s="14" t="s">
        <v>40</v>
      </c>
      <c r="G617" s="3" t="s">
        <v>41</v>
      </c>
      <c r="H617" s="108" t="s">
        <v>42</v>
      </c>
      <c r="I617" s="3" t="s">
        <v>43</v>
      </c>
      <c r="K617" s="19" t="s">
        <v>888</v>
      </c>
      <c r="L617" s="19"/>
      <c r="M617" s="17" t="s">
        <v>888</v>
      </c>
      <c r="N617" s="17" t="s">
        <v>889</v>
      </c>
      <c r="O617" s="17" t="s">
        <v>890</v>
      </c>
      <c r="P617" s="17" t="s">
        <v>65</v>
      </c>
      <c r="Q617" s="17" t="s">
        <v>129</v>
      </c>
      <c r="R617" s="24" t="n">
        <v>2772</v>
      </c>
      <c r="S617" s="24" t="n">
        <v>5700</v>
      </c>
      <c r="T617" s="21" t="n">
        <v>1</v>
      </c>
      <c r="U617" s="1" t="str">
        <f aca="false">D617&amp;"-"&amp;E617&amp;"-"&amp;M617&amp;"-"&amp;O617&amp;"-"&amp;P617&amp;"-"&amp;Q617</f>
        <v>FANTASIE-ENVISAGE UW FULL CUP SIDE-FL6912-ICE Blue-36-GG</v>
      </c>
      <c r="W617" s="1" t="s">
        <v>113</v>
      </c>
    </row>
    <row r="618" customFormat="false" ht="15" hidden="true" customHeight="false" outlineLevel="0" collapsed="false">
      <c r="B618" s="21" t="s">
        <v>885</v>
      </c>
      <c r="C618" s="17" t="s">
        <v>37</v>
      </c>
      <c r="D618" s="29" t="s">
        <v>886</v>
      </c>
      <c r="E618" s="17" t="s">
        <v>887</v>
      </c>
      <c r="F618" s="14" t="s">
        <v>40</v>
      </c>
      <c r="G618" s="3" t="s">
        <v>41</v>
      </c>
      <c r="H618" s="108" t="s">
        <v>42</v>
      </c>
      <c r="I618" s="3" t="s">
        <v>43</v>
      </c>
      <c r="K618" s="19" t="s">
        <v>888</v>
      </c>
      <c r="L618" s="19"/>
      <c r="M618" s="17" t="s">
        <v>888</v>
      </c>
      <c r="N618" s="17" t="s">
        <v>892</v>
      </c>
      <c r="O618" s="17" t="s">
        <v>893</v>
      </c>
      <c r="P618" s="17" t="s">
        <v>55</v>
      </c>
      <c r="Q618" s="17" t="s">
        <v>97</v>
      </c>
      <c r="R618" s="24" t="n">
        <v>2772</v>
      </c>
      <c r="S618" s="24" t="n">
        <v>5700</v>
      </c>
      <c r="T618" s="21" t="n">
        <v>1</v>
      </c>
      <c r="U618" s="1" t="str">
        <f aca="false">D618&amp;"-"&amp;E618&amp;"-"&amp;M618&amp;"-"&amp;O618&amp;"-"&amp;P618&amp;"-"&amp;Q618</f>
        <v>FANTASIE-ENVISAGE UW FULL CUP SIDE-FL6912-Dark SKIN-30-D</v>
      </c>
      <c r="W618" s="1" t="s">
        <v>113</v>
      </c>
    </row>
    <row r="619" customFormat="false" ht="15" hidden="true" customHeight="false" outlineLevel="0" collapsed="false">
      <c r="B619" s="17" t="s">
        <v>914</v>
      </c>
      <c r="C619" s="17" t="s">
        <v>37</v>
      </c>
      <c r="D619" s="29" t="s">
        <v>886</v>
      </c>
      <c r="E619" s="17" t="s">
        <v>887</v>
      </c>
      <c r="F619" s="14" t="s">
        <v>40</v>
      </c>
      <c r="G619" s="3" t="s">
        <v>41</v>
      </c>
      <c r="H619" s="108" t="s">
        <v>42</v>
      </c>
      <c r="I619" s="3" t="s">
        <v>43</v>
      </c>
      <c r="K619" s="19" t="s">
        <v>888</v>
      </c>
      <c r="L619" s="19"/>
      <c r="M619" s="17" t="s">
        <v>888</v>
      </c>
      <c r="N619" s="17" t="s">
        <v>892</v>
      </c>
      <c r="O619" s="17" t="s">
        <v>893</v>
      </c>
      <c r="P619" s="17" t="s">
        <v>55</v>
      </c>
      <c r="Q619" s="17" t="s">
        <v>129</v>
      </c>
      <c r="R619" s="24" t="n">
        <v>2772.97</v>
      </c>
      <c r="S619" s="24" t="n">
        <v>5700</v>
      </c>
      <c r="T619" s="21" t="n">
        <v>3</v>
      </c>
      <c r="U619" s="1" t="str">
        <f aca="false">D619&amp;"-"&amp;E619&amp;"-"&amp;M619&amp;"-"&amp;O619&amp;"-"&amp;P619&amp;"-"&amp;Q619</f>
        <v>FANTASIE-ENVISAGE UW FULL CUP SIDE-FL6912-Dark SKIN-30-GG</v>
      </c>
      <c r="W619" s="1" t="s">
        <v>113</v>
      </c>
    </row>
    <row r="620" customFormat="false" ht="15" hidden="true" customHeight="false" outlineLevel="0" collapsed="false">
      <c r="B620" s="17" t="s">
        <v>915</v>
      </c>
      <c r="C620" s="17" t="s">
        <v>37</v>
      </c>
      <c r="D620" s="29" t="s">
        <v>886</v>
      </c>
      <c r="E620" s="17" t="s">
        <v>887</v>
      </c>
      <c r="F620" s="14" t="s">
        <v>40</v>
      </c>
      <c r="G620" s="3" t="s">
        <v>41</v>
      </c>
      <c r="H620" s="108" t="s">
        <v>42</v>
      </c>
      <c r="I620" s="3" t="s">
        <v>43</v>
      </c>
      <c r="K620" s="19" t="s">
        <v>888</v>
      </c>
      <c r="L620" s="19"/>
      <c r="M620" s="17" t="s">
        <v>888</v>
      </c>
      <c r="N620" s="17" t="s">
        <v>892</v>
      </c>
      <c r="O620" s="17" t="s">
        <v>893</v>
      </c>
      <c r="P620" s="17" t="s">
        <v>55</v>
      </c>
      <c r="Q620" s="17" t="s">
        <v>143</v>
      </c>
      <c r="R620" s="24" t="n">
        <v>2772</v>
      </c>
      <c r="S620" s="24" t="n">
        <v>5700</v>
      </c>
      <c r="T620" s="21" t="n">
        <v>2</v>
      </c>
      <c r="U620" s="1" t="str">
        <f aca="false">D620&amp;"-"&amp;E620&amp;"-"&amp;M620&amp;"-"&amp;O620&amp;"-"&amp;P620&amp;"-"&amp;Q620</f>
        <v>FANTASIE-ENVISAGE UW FULL CUP SIDE-FL6912-Dark SKIN-30-H</v>
      </c>
      <c r="W620" s="1" t="s">
        <v>113</v>
      </c>
    </row>
    <row r="621" customFormat="false" ht="15" hidden="true" customHeight="false" outlineLevel="0" collapsed="false">
      <c r="B621" s="17" t="s">
        <v>916</v>
      </c>
      <c r="C621" s="17" t="s">
        <v>37</v>
      </c>
      <c r="D621" s="29" t="s">
        <v>886</v>
      </c>
      <c r="E621" s="17" t="s">
        <v>887</v>
      </c>
      <c r="F621" s="14" t="s">
        <v>40</v>
      </c>
      <c r="G621" s="3" t="s">
        <v>41</v>
      </c>
      <c r="H621" s="108" t="s">
        <v>42</v>
      </c>
      <c r="I621" s="3" t="s">
        <v>43</v>
      </c>
      <c r="K621" s="19" t="s">
        <v>888</v>
      </c>
      <c r="L621" s="19"/>
      <c r="M621" s="17" t="s">
        <v>888</v>
      </c>
      <c r="N621" s="17" t="s">
        <v>892</v>
      </c>
      <c r="O621" s="17" t="s">
        <v>893</v>
      </c>
      <c r="P621" s="17" t="s">
        <v>92</v>
      </c>
      <c r="Q621" s="17" t="s">
        <v>66</v>
      </c>
      <c r="R621" s="24" t="n">
        <v>2772.97</v>
      </c>
      <c r="S621" s="24" t="n">
        <v>5700</v>
      </c>
      <c r="T621" s="21" t="n">
        <v>1</v>
      </c>
      <c r="U621" s="1" t="str">
        <f aca="false">D621&amp;"-"&amp;E621&amp;"-"&amp;M621&amp;"-"&amp;O621&amp;"-"&amp;P621&amp;"-"&amp;Q621</f>
        <v>FANTASIE-ENVISAGE UW FULL CUP SIDE-FL6912-Dark SKIN-32-E</v>
      </c>
      <c r="W621" s="1" t="s">
        <v>113</v>
      </c>
    </row>
    <row r="622" customFormat="false" ht="15" hidden="true" customHeight="false" outlineLevel="0" collapsed="false">
      <c r="B622" s="17" t="s">
        <v>917</v>
      </c>
      <c r="C622" s="17" t="s">
        <v>37</v>
      </c>
      <c r="D622" s="29" t="s">
        <v>886</v>
      </c>
      <c r="E622" s="17" t="s">
        <v>887</v>
      </c>
      <c r="F622" s="14" t="s">
        <v>40</v>
      </c>
      <c r="G622" s="3" t="s">
        <v>41</v>
      </c>
      <c r="H622" s="108" t="s">
        <v>42</v>
      </c>
      <c r="I622" s="3" t="s">
        <v>43</v>
      </c>
      <c r="K622" s="19" t="s">
        <v>888</v>
      </c>
      <c r="L622" s="19"/>
      <c r="M622" s="17" t="s">
        <v>888</v>
      </c>
      <c r="N622" s="17" t="s">
        <v>911</v>
      </c>
      <c r="O622" s="17" t="s">
        <v>588</v>
      </c>
      <c r="P622" s="17" t="s">
        <v>92</v>
      </c>
      <c r="Q622" s="17" t="s">
        <v>62</v>
      </c>
      <c r="R622" s="24" t="n">
        <v>2772.97</v>
      </c>
      <c r="S622" s="24" t="n">
        <v>5700</v>
      </c>
      <c r="T622" s="21" t="n">
        <v>1</v>
      </c>
      <c r="U622" s="1" t="str">
        <f aca="false">D622&amp;"-"&amp;E622&amp;"-"&amp;M622&amp;"-"&amp;O622&amp;"-"&amp;P622&amp;"-"&amp;Q622</f>
        <v>FANTASIE-ENVISAGE UW FULL CUP SIDE-FL6912-PURPLE-32-FF</v>
      </c>
      <c r="W622" s="1" t="s">
        <v>113</v>
      </c>
    </row>
    <row r="623" customFormat="false" ht="15" hidden="true" customHeight="false" outlineLevel="0" collapsed="false">
      <c r="B623" s="17" t="s">
        <v>918</v>
      </c>
      <c r="C623" s="17" t="s">
        <v>37</v>
      </c>
      <c r="D623" s="29" t="s">
        <v>886</v>
      </c>
      <c r="E623" s="17" t="s">
        <v>887</v>
      </c>
      <c r="F623" s="14" t="s">
        <v>40</v>
      </c>
      <c r="G623" s="3" t="s">
        <v>41</v>
      </c>
      <c r="H623" s="108" t="s">
        <v>42</v>
      </c>
      <c r="I623" s="3" t="s">
        <v>43</v>
      </c>
      <c r="K623" s="19" t="s">
        <v>888</v>
      </c>
      <c r="L623" s="19"/>
      <c r="M623" s="17" t="s">
        <v>888</v>
      </c>
      <c r="N623" s="17" t="s">
        <v>892</v>
      </c>
      <c r="O623" s="17" t="s">
        <v>893</v>
      </c>
      <c r="P623" s="17" t="s">
        <v>92</v>
      </c>
      <c r="Q623" s="17" t="s">
        <v>62</v>
      </c>
      <c r="R623" s="24" t="n">
        <v>2772</v>
      </c>
      <c r="S623" s="24" t="n">
        <v>5700</v>
      </c>
      <c r="T623" s="21" t="n">
        <v>0</v>
      </c>
      <c r="U623" s="1" t="str">
        <f aca="false">D623&amp;"-"&amp;E623&amp;"-"&amp;M623&amp;"-"&amp;O623&amp;"-"&amp;P623&amp;"-"&amp;Q623</f>
        <v>FANTASIE-ENVISAGE UW FULL CUP SIDE-FL6912-Dark SKIN-32-FF</v>
      </c>
      <c r="W623" s="1" t="s">
        <v>113</v>
      </c>
    </row>
    <row r="624" customFormat="false" ht="15" hidden="true" customHeight="false" outlineLevel="0" collapsed="false">
      <c r="B624" s="17" t="s">
        <v>919</v>
      </c>
      <c r="C624" s="17" t="s">
        <v>37</v>
      </c>
      <c r="D624" s="29" t="s">
        <v>886</v>
      </c>
      <c r="E624" s="17" t="s">
        <v>887</v>
      </c>
      <c r="F624" s="14" t="s">
        <v>40</v>
      </c>
      <c r="G624" s="3" t="s">
        <v>41</v>
      </c>
      <c r="H624" s="108" t="s">
        <v>42</v>
      </c>
      <c r="I624" s="3" t="s">
        <v>43</v>
      </c>
      <c r="K624" s="19" t="s">
        <v>888</v>
      </c>
      <c r="L624" s="19"/>
      <c r="M624" s="17" t="s">
        <v>888</v>
      </c>
      <c r="N624" s="17" t="s">
        <v>119</v>
      </c>
      <c r="O624" s="17" t="s">
        <v>465</v>
      </c>
      <c r="P624" s="17" t="s">
        <v>92</v>
      </c>
      <c r="Q624" s="17" t="s">
        <v>105</v>
      </c>
      <c r="R624" s="24" t="n">
        <v>2772</v>
      </c>
      <c r="S624" s="24" t="n">
        <v>5700</v>
      </c>
      <c r="T624" s="21" t="n">
        <v>1</v>
      </c>
      <c r="U624" s="1" t="str">
        <f aca="false">D624&amp;"-"&amp;E624&amp;"-"&amp;M624&amp;"-"&amp;O624&amp;"-"&amp;P624&amp;"-"&amp;Q624</f>
        <v>FANTASIE-ENVISAGE UW FULL CUP SIDE-FL6912-SKIN-32-G</v>
      </c>
      <c r="W624" s="1" t="s">
        <v>113</v>
      </c>
    </row>
    <row r="625" customFormat="false" ht="15" hidden="true" customHeight="false" outlineLevel="0" collapsed="false">
      <c r="B625" s="17" t="s">
        <v>920</v>
      </c>
      <c r="C625" s="17" t="s">
        <v>37</v>
      </c>
      <c r="D625" s="29" t="s">
        <v>886</v>
      </c>
      <c r="E625" s="17" t="s">
        <v>887</v>
      </c>
      <c r="F625" s="14" t="s">
        <v>40</v>
      </c>
      <c r="G625" s="3" t="s">
        <v>41</v>
      </c>
      <c r="H625" s="108" t="s">
        <v>42</v>
      </c>
      <c r="I625" s="3" t="s">
        <v>43</v>
      </c>
      <c r="K625" s="19" t="s">
        <v>888</v>
      </c>
      <c r="L625" s="19"/>
      <c r="M625" s="17" t="s">
        <v>888</v>
      </c>
      <c r="N625" s="17" t="s">
        <v>76</v>
      </c>
      <c r="O625" s="17" t="s">
        <v>77</v>
      </c>
      <c r="P625" s="17" t="s">
        <v>92</v>
      </c>
      <c r="Q625" s="17" t="s">
        <v>129</v>
      </c>
      <c r="R625" s="24" t="n">
        <v>2268.97</v>
      </c>
      <c r="S625" s="24" t="n">
        <v>5700</v>
      </c>
      <c r="T625" s="21" t="n">
        <v>1</v>
      </c>
      <c r="U625" s="1" t="str">
        <f aca="false">D625&amp;"-"&amp;E625&amp;"-"&amp;M625&amp;"-"&amp;O625&amp;"-"&amp;P625&amp;"-"&amp;Q625</f>
        <v>FANTASIE-ENVISAGE UW FULL CUP SIDE-FL6912-BLACK-32-GG</v>
      </c>
      <c r="W625" s="1" t="s">
        <v>113</v>
      </c>
    </row>
    <row r="626" customFormat="false" ht="15" hidden="true" customHeight="false" outlineLevel="0" collapsed="false">
      <c r="B626" s="17" t="s">
        <v>921</v>
      </c>
      <c r="C626" s="17" t="s">
        <v>37</v>
      </c>
      <c r="D626" s="29" t="s">
        <v>886</v>
      </c>
      <c r="E626" s="17" t="s">
        <v>887</v>
      </c>
      <c r="F626" s="14" t="s">
        <v>40</v>
      </c>
      <c r="G626" s="3" t="s">
        <v>41</v>
      </c>
      <c r="H626" s="108" t="s">
        <v>42</v>
      </c>
      <c r="I626" s="3" t="s">
        <v>43</v>
      </c>
      <c r="K626" s="19" t="s">
        <v>888</v>
      </c>
      <c r="L626" s="19"/>
      <c r="M626" s="17" t="s">
        <v>888</v>
      </c>
      <c r="N626" s="17" t="s">
        <v>76</v>
      </c>
      <c r="O626" s="17" t="s">
        <v>77</v>
      </c>
      <c r="P626" s="17" t="s">
        <v>92</v>
      </c>
      <c r="Q626" s="17" t="s">
        <v>129</v>
      </c>
      <c r="R626" s="24" t="n">
        <v>2268.97</v>
      </c>
      <c r="S626" s="24" t="n">
        <v>5700</v>
      </c>
      <c r="T626" s="24" t="n">
        <v>1</v>
      </c>
      <c r="U626" s="1" t="str">
        <f aca="false">D626&amp;"-"&amp;E626&amp;"-"&amp;M626&amp;"-"&amp;O626&amp;"-"&amp;P626&amp;"-"&amp;Q626</f>
        <v>FANTASIE-ENVISAGE UW FULL CUP SIDE-FL6912-BLACK-32-GG</v>
      </c>
      <c r="W626" s="1" t="s">
        <v>113</v>
      </c>
    </row>
    <row r="627" customFormat="false" ht="15" hidden="true" customHeight="false" outlineLevel="0" collapsed="false">
      <c r="B627" s="17" t="s">
        <v>922</v>
      </c>
      <c r="C627" s="17" t="s">
        <v>37</v>
      </c>
      <c r="D627" s="29" t="s">
        <v>886</v>
      </c>
      <c r="E627" s="17" t="s">
        <v>887</v>
      </c>
      <c r="F627" s="14" t="s">
        <v>40</v>
      </c>
      <c r="G627" s="3" t="s">
        <v>41</v>
      </c>
      <c r="H627" s="108" t="s">
        <v>42</v>
      </c>
      <c r="I627" s="3" t="s">
        <v>43</v>
      </c>
      <c r="K627" s="19" t="s">
        <v>888</v>
      </c>
      <c r="L627" s="19"/>
      <c r="M627" s="17" t="s">
        <v>888</v>
      </c>
      <c r="N627" s="17" t="s">
        <v>892</v>
      </c>
      <c r="O627" s="17" t="s">
        <v>893</v>
      </c>
      <c r="P627" s="17" t="s">
        <v>134</v>
      </c>
      <c r="Q627" s="17" t="s">
        <v>97</v>
      </c>
      <c r="R627" s="24" t="n">
        <v>2772</v>
      </c>
      <c r="S627" s="24" t="n">
        <v>5700</v>
      </c>
      <c r="T627" s="21" t="n">
        <v>1</v>
      </c>
      <c r="U627" s="1" t="str">
        <f aca="false">D627&amp;"-"&amp;E627&amp;"-"&amp;M627&amp;"-"&amp;O627&amp;"-"&amp;P627&amp;"-"&amp;Q627</f>
        <v>FANTASIE-ENVISAGE UW FULL CUP SIDE-FL6912-Dark SKIN-34-D</v>
      </c>
      <c r="W627" s="1" t="s">
        <v>113</v>
      </c>
    </row>
    <row r="628" customFormat="false" ht="15" hidden="true" customHeight="false" outlineLevel="0" collapsed="false">
      <c r="B628" s="17" t="s">
        <v>923</v>
      </c>
      <c r="C628" s="17" t="s">
        <v>37</v>
      </c>
      <c r="D628" s="29" t="s">
        <v>886</v>
      </c>
      <c r="E628" s="17" t="s">
        <v>887</v>
      </c>
      <c r="F628" s="14" t="s">
        <v>40</v>
      </c>
      <c r="G628" s="3" t="s">
        <v>41</v>
      </c>
      <c r="H628" s="108" t="s">
        <v>42</v>
      </c>
      <c r="I628" s="3" t="s">
        <v>43</v>
      </c>
      <c r="K628" s="19" t="s">
        <v>888</v>
      </c>
      <c r="L628" s="19"/>
      <c r="M628" s="17" t="s">
        <v>888</v>
      </c>
      <c r="N628" s="17" t="s">
        <v>119</v>
      </c>
      <c r="O628" s="17" t="s">
        <v>465</v>
      </c>
      <c r="P628" s="17" t="s">
        <v>134</v>
      </c>
      <c r="Q628" s="17" t="s">
        <v>56</v>
      </c>
      <c r="R628" s="24" t="n">
        <v>2772</v>
      </c>
      <c r="S628" s="24" t="n">
        <v>5700</v>
      </c>
      <c r="T628" s="21" t="n">
        <v>1</v>
      </c>
      <c r="U628" s="1" t="str">
        <f aca="false">D628&amp;"-"&amp;E628&amp;"-"&amp;M628&amp;"-"&amp;O628&amp;"-"&amp;P628&amp;"-"&amp;Q628</f>
        <v>FANTASIE-ENVISAGE UW FULL CUP SIDE-FL6912-SKIN-34-DD</v>
      </c>
      <c r="W628" s="1" t="s">
        <v>113</v>
      </c>
    </row>
    <row r="629" customFormat="false" ht="15" hidden="true" customHeight="false" outlineLevel="0" collapsed="false">
      <c r="B629" s="17" t="s">
        <v>924</v>
      </c>
      <c r="C629" s="17" t="s">
        <v>37</v>
      </c>
      <c r="D629" s="29" t="s">
        <v>886</v>
      </c>
      <c r="E629" s="17" t="s">
        <v>887</v>
      </c>
      <c r="F629" s="14" t="s">
        <v>40</v>
      </c>
      <c r="G629" s="3" t="s">
        <v>41</v>
      </c>
      <c r="H629" s="108" t="s">
        <v>42</v>
      </c>
      <c r="I629" s="3" t="s">
        <v>43</v>
      </c>
      <c r="K629" s="19" t="s">
        <v>888</v>
      </c>
      <c r="L629" s="19"/>
      <c r="M629" s="17" t="s">
        <v>888</v>
      </c>
      <c r="N629" s="17" t="s">
        <v>76</v>
      </c>
      <c r="O629" s="17" t="s">
        <v>77</v>
      </c>
      <c r="P629" s="17" t="s">
        <v>134</v>
      </c>
      <c r="Q629" s="17" t="s">
        <v>56</v>
      </c>
      <c r="R629" s="24" t="n">
        <v>2772</v>
      </c>
      <c r="S629" s="24" t="n">
        <v>5700</v>
      </c>
      <c r="T629" s="21" t="n">
        <v>1</v>
      </c>
      <c r="U629" s="1" t="str">
        <f aca="false">D629&amp;"-"&amp;E629&amp;"-"&amp;M629&amp;"-"&amp;O629&amp;"-"&amp;P629&amp;"-"&amp;Q629</f>
        <v>FANTASIE-ENVISAGE UW FULL CUP SIDE-FL6912-BLACK-34-DD</v>
      </c>
      <c r="W629" s="1" t="s">
        <v>113</v>
      </c>
    </row>
    <row r="630" customFormat="false" ht="15" hidden="true" customHeight="false" outlineLevel="0" collapsed="false">
      <c r="B630" s="17" t="s">
        <v>925</v>
      </c>
      <c r="C630" s="17" t="s">
        <v>37</v>
      </c>
      <c r="D630" s="29" t="s">
        <v>886</v>
      </c>
      <c r="E630" s="17" t="s">
        <v>887</v>
      </c>
      <c r="F630" s="14" t="s">
        <v>40</v>
      </c>
      <c r="G630" s="3" t="s">
        <v>41</v>
      </c>
      <c r="H630" s="108" t="s">
        <v>42</v>
      </c>
      <c r="I630" s="3" t="s">
        <v>43</v>
      </c>
      <c r="K630" s="19" t="s">
        <v>888</v>
      </c>
      <c r="L630" s="19"/>
      <c r="M630" s="17" t="s">
        <v>888</v>
      </c>
      <c r="N630" s="17" t="s">
        <v>926</v>
      </c>
      <c r="O630" s="17" t="s">
        <v>927</v>
      </c>
      <c r="P630" s="17" t="s">
        <v>134</v>
      </c>
      <c r="Q630" s="17" t="s">
        <v>66</v>
      </c>
      <c r="R630" s="24" t="n">
        <v>2772.97</v>
      </c>
      <c r="S630" s="24" t="n">
        <v>5700</v>
      </c>
      <c r="T630" s="21" t="n">
        <v>1</v>
      </c>
      <c r="U630" s="1" t="str">
        <f aca="false">D630&amp;"-"&amp;E630&amp;"-"&amp;M630&amp;"-"&amp;O630&amp;"-"&amp;P630&amp;"-"&amp;Q630</f>
        <v>FANTASIE-ENVISAGE UW FULL CUP SIDE-FL6912-DENIM BLUE-34-E</v>
      </c>
      <c r="W630" s="1" t="s">
        <v>113</v>
      </c>
    </row>
    <row r="631" customFormat="false" ht="15" hidden="true" customHeight="false" outlineLevel="0" collapsed="false">
      <c r="B631" s="17" t="s">
        <v>928</v>
      </c>
      <c r="C631" s="17" t="s">
        <v>37</v>
      </c>
      <c r="D631" s="29" t="s">
        <v>886</v>
      </c>
      <c r="E631" s="17" t="s">
        <v>887</v>
      </c>
      <c r="F631" s="14" t="s">
        <v>40</v>
      </c>
      <c r="G631" s="3" t="s">
        <v>41</v>
      </c>
      <c r="H631" s="108" t="s">
        <v>42</v>
      </c>
      <c r="I631" s="3" t="s">
        <v>43</v>
      </c>
      <c r="K631" s="19" t="s">
        <v>888</v>
      </c>
      <c r="L631" s="19"/>
      <c r="M631" s="17" t="s">
        <v>888</v>
      </c>
      <c r="N631" s="17" t="s">
        <v>929</v>
      </c>
      <c r="O631" s="17" t="s">
        <v>528</v>
      </c>
      <c r="P631" s="17" t="s">
        <v>134</v>
      </c>
      <c r="Q631" s="17" t="s">
        <v>66</v>
      </c>
      <c r="R631" s="24" t="n">
        <v>2772</v>
      </c>
      <c r="S631" s="24" t="n">
        <v>5700</v>
      </c>
      <c r="T631" s="21" t="n">
        <v>1</v>
      </c>
      <c r="U631" s="1" t="str">
        <f aca="false">D631&amp;"-"&amp;E631&amp;"-"&amp;M631&amp;"-"&amp;O631&amp;"-"&amp;P631&amp;"-"&amp;Q631</f>
        <v>FANTASIE-ENVISAGE UW FULL CUP SIDE-FL6912-RED-34-E</v>
      </c>
      <c r="W631" s="1" t="s">
        <v>113</v>
      </c>
    </row>
    <row r="632" customFormat="false" ht="15" hidden="true" customHeight="false" outlineLevel="0" collapsed="false">
      <c r="B632" s="17" t="s">
        <v>930</v>
      </c>
      <c r="C632" s="17" t="s">
        <v>37</v>
      </c>
      <c r="D632" s="29" t="s">
        <v>886</v>
      </c>
      <c r="E632" s="17" t="s">
        <v>887</v>
      </c>
      <c r="F632" s="14" t="s">
        <v>40</v>
      </c>
      <c r="G632" s="3" t="s">
        <v>41</v>
      </c>
      <c r="H632" s="108" t="s">
        <v>42</v>
      </c>
      <c r="I632" s="3" t="s">
        <v>43</v>
      </c>
      <c r="K632" s="19" t="s">
        <v>888</v>
      </c>
      <c r="L632" s="19"/>
      <c r="M632" s="17" t="s">
        <v>888</v>
      </c>
      <c r="N632" s="17" t="s">
        <v>76</v>
      </c>
      <c r="O632" s="17" t="s">
        <v>77</v>
      </c>
      <c r="P632" s="17" t="s">
        <v>134</v>
      </c>
      <c r="Q632" s="17" t="s">
        <v>66</v>
      </c>
      <c r="R632" s="24" t="n">
        <v>2772</v>
      </c>
      <c r="S632" s="24" t="n">
        <v>5700</v>
      </c>
      <c r="T632" s="21" t="n">
        <v>1</v>
      </c>
      <c r="U632" s="1" t="str">
        <f aca="false">D632&amp;"-"&amp;E632&amp;"-"&amp;M632&amp;"-"&amp;O632&amp;"-"&amp;P632&amp;"-"&amp;Q632</f>
        <v>FANTASIE-ENVISAGE UW FULL CUP SIDE-FL6912-BLACK-34-E</v>
      </c>
      <c r="W632" s="1" t="s">
        <v>113</v>
      </c>
    </row>
    <row r="633" customFormat="false" ht="15" hidden="true" customHeight="false" outlineLevel="0" collapsed="false">
      <c r="B633" s="17" t="s">
        <v>931</v>
      </c>
      <c r="C633" s="17" t="s">
        <v>37</v>
      </c>
      <c r="D633" s="29" t="s">
        <v>886</v>
      </c>
      <c r="E633" s="17" t="s">
        <v>887</v>
      </c>
      <c r="F633" s="14" t="s">
        <v>40</v>
      </c>
      <c r="G633" s="3" t="s">
        <v>41</v>
      </c>
      <c r="H633" s="108" t="s">
        <v>42</v>
      </c>
      <c r="I633" s="3" t="s">
        <v>43</v>
      </c>
      <c r="K633" s="19" t="s">
        <v>888</v>
      </c>
      <c r="L633" s="19"/>
      <c r="M633" s="17" t="s">
        <v>888</v>
      </c>
      <c r="N633" s="17" t="s">
        <v>911</v>
      </c>
      <c r="O633" s="21" t="s">
        <v>912</v>
      </c>
      <c r="P633" s="17" t="s">
        <v>134</v>
      </c>
      <c r="Q633" s="17" t="s">
        <v>50</v>
      </c>
      <c r="R633" s="24" t="n">
        <v>3042</v>
      </c>
      <c r="S633" s="24" t="n">
        <v>5700</v>
      </c>
      <c r="T633" s="21" t="n">
        <v>1</v>
      </c>
      <c r="U633" s="1" t="str">
        <f aca="false">D633&amp;"-"&amp;E633&amp;"-"&amp;M633&amp;"-"&amp;O633&amp;"-"&amp;P633&amp;"-"&amp;Q633</f>
        <v>FANTASIE-ENVISAGE UW FULL CUP SIDE-FL6912-Purple-34-F</v>
      </c>
      <c r="W633" s="1" t="s">
        <v>113</v>
      </c>
    </row>
    <row r="634" customFormat="false" ht="15" hidden="true" customHeight="false" outlineLevel="0" collapsed="false">
      <c r="B634" s="17" t="s">
        <v>932</v>
      </c>
      <c r="C634" s="17" t="s">
        <v>37</v>
      </c>
      <c r="D634" s="29" t="s">
        <v>886</v>
      </c>
      <c r="E634" s="17" t="s">
        <v>887</v>
      </c>
      <c r="F634" s="14" t="s">
        <v>40</v>
      </c>
      <c r="G634" s="3" t="s">
        <v>41</v>
      </c>
      <c r="H634" s="108" t="s">
        <v>42</v>
      </c>
      <c r="I634" s="3" t="s">
        <v>43</v>
      </c>
      <c r="K634" s="19" t="s">
        <v>888</v>
      </c>
      <c r="L634" s="19"/>
      <c r="M634" s="17" t="s">
        <v>888</v>
      </c>
      <c r="N634" s="17" t="s">
        <v>119</v>
      </c>
      <c r="O634" s="17" t="s">
        <v>465</v>
      </c>
      <c r="P634" s="17" t="s">
        <v>134</v>
      </c>
      <c r="Q634" s="17" t="s">
        <v>50</v>
      </c>
      <c r="R634" s="24" t="n">
        <v>2772</v>
      </c>
      <c r="S634" s="24" t="n">
        <v>5700</v>
      </c>
      <c r="T634" s="21" t="n">
        <v>1</v>
      </c>
      <c r="U634" s="1" t="str">
        <f aca="false">D634&amp;"-"&amp;E634&amp;"-"&amp;M634&amp;"-"&amp;O634&amp;"-"&amp;P634&amp;"-"&amp;Q634</f>
        <v>FANTASIE-ENVISAGE UW FULL CUP SIDE-FL6912-SKIN-34-F</v>
      </c>
      <c r="W634" s="1" t="s">
        <v>113</v>
      </c>
    </row>
    <row r="635" customFormat="false" ht="15" hidden="true" customHeight="false" outlineLevel="0" collapsed="false">
      <c r="B635" s="17" t="s">
        <v>933</v>
      </c>
      <c r="C635" s="17" t="s">
        <v>37</v>
      </c>
      <c r="D635" s="29" t="s">
        <v>886</v>
      </c>
      <c r="E635" s="17" t="s">
        <v>887</v>
      </c>
      <c r="F635" s="14" t="s">
        <v>40</v>
      </c>
      <c r="G635" s="3" t="s">
        <v>41</v>
      </c>
      <c r="H635" s="108" t="s">
        <v>42</v>
      </c>
      <c r="I635" s="3" t="s">
        <v>43</v>
      </c>
      <c r="K635" s="19" t="s">
        <v>888</v>
      </c>
      <c r="L635" s="19"/>
      <c r="M635" s="17" t="s">
        <v>888</v>
      </c>
      <c r="N635" s="17" t="s">
        <v>76</v>
      </c>
      <c r="O635" s="17" t="s">
        <v>77</v>
      </c>
      <c r="P635" s="17" t="s">
        <v>134</v>
      </c>
      <c r="Q635" s="17" t="s">
        <v>50</v>
      </c>
      <c r="R635" s="24" t="n">
        <v>2772.38</v>
      </c>
      <c r="S635" s="24" t="n">
        <v>5700</v>
      </c>
      <c r="T635" s="21" t="n">
        <v>2</v>
      </c>
      <c r="U635" s="1" t="str">
        <f aca="false">D635&amp;"-"&amp;E635&amp;"-"&amp;M635&amp;"-"&amp;O635&amp;"-"&amp;P635&amp;"-"&amp;Q635</f>
        <v>FANTASIE-ENVISAGE UW FULL CUP SIDE-FL6912-BLACK-34-F</v>
      </c>
      <c r="W635" s="1" t="s">
        <v>113</v>
      </c>
    </row>
    <row r="636" customFormat="false" ht="15" hidden="true" customHeight="false" outlineLevel="0" collapsed="false">
      <c r="B636" s="17" t="s">
        <v>934</v>
      </c>
      <c r="C636" s="17" t="s">
        <v>37</v>
      </c>
      <c r="D636" s="29" t="s">
        <v>886</v>
      </c>
      <c r="E636" s="17" t="s">
        <v>887</v>
      </c>
      <c r="F636" s="14" t="s">
        <v>40</v>
      </c>
      <c r="G636" s="3" t="s">
        <v>41</v>
      </c>
      <c r="H636" s="108" t="s">
        <v>42</v>
      </c>
      <c r="I636" s="3" t="s">
        <v>43</v>
      </c>
      <c r="K636" s="19" t="s">
        <v>888</v>
      </c>
      <c r="L636" s="19"/>
      <c r="M636" s="17" t="s">
        <v>888</v>
      </c>
      <c r="N636" s="17" t="s">
        <v>929</v>
      </c>
      <c r="O636" s="17" t="s">
        <v>528</v>
      </c>
      <c r="P636" s="17" t="s">
        <v>134</v>
      </c>
      <c r="Q636" s="17" t="s">
        <v>50</v>
      </c>
      <c r="R636" s="24" t="n">
        <v>2772</v>
      </c>
      <c r="S636" s="24" t="n">
        <v>5700</v>
      </c>
      <c r="T636" s="21" t="n">
        <v>1</v>
      </c>
      <c r="U636" s="1" t="str">
        <f aca="false">D636&amp;"-"&amp;E636&amp;"-"&amp;M636&amp;"-"&amp;O636&amp;"-"&amp;P636&amp;"-"&amp;Q636</f>
        <v>FANTASIE-ENVISAGE UW FULL CUP SIDE-FL6912-RED-34-F</v>
      </c>
      <c r="W636" s="1" t="s">
        <v>113</v>
      </c>
    </row>
    <row r="637" customFormat="false" ht="15" hidden="true" customHeight="false" outlineLevel="0" collapsed="false">
      <c r="B637" s="17" t="s">
        <v>935</v>
      </c>
      <c r="C637" s="17" t="s">
        <v>37</v>
      </c>
      <c r="D637" s="29" t="s">
        <v>886</v>
      </c>
      <c r="E637" s="17" t="s">
        <v>887</v>
      </c>
      <c r="F637" s="14" t="s">
        <v>40</v>
      </c>
      <c r="G637" s="3" t="s">
        <v>41</v>
      </c>
      <c r="H637" s="108" t="s">
        <v>42</v>
      </c>
      <c r="I637" s="3" t="s">
        <v>43</v>
      </c>
      <c r="K637" s="19" t="s">
        <v>888</v>
      </c>
      <c r="L637" s="19"/>
      <c r="M637" s="17" t="s">
        <v>888</v>
      </c>
      <c r="N637" s="17" t="s">
        <v>926</v>
      </c>
      <c r="O637" s="17" t="s">
        <v>927</v>
      </c>
      <c r="P637" s="17" t="s">
        <v>134</v>
      </c>
      <c r="Q637" s="17" t="s">
        <v>62</v>
      </c>
      <c r="R637" s="24" t="n">
        <v>2772</v>
      </c>
      <c r="S637" s="24" t="n">
        <v>5700</v>
      </c>
      <c r="T637" s="21" t="n">
        <v>4</v>
      </c>
      <c r="U637" s="1" t="str">
        <f aca="false">D637&amp;"-"&amp;E637&amp;"-"&amp;M637&amp;"-"&amp;O637&amp;"-"&amp;P637&amp;"-"&amp;Q637</f>
        <v>FANTASIE-ENVISAGE UW FULL CUP SIDE-FL6912-DENIM BLUE-34-FF</v>
      </c>
      <c r="W637" s="1" t="s">
        <v>113</v>
      </c>
    </row>
    <row r="638" customFormat="false" ht="15" hidden="true" customHeight="false" outlineLevel="0" collapsed="false">
      <c r="B638" s="17" t="s">
        <v>936</v>
      </c>
      <c r="C638" s="17" t="s">
        <v>37</v>
      </c>
      <c r="D638" s="29" t="s">
        <v>886</v>
      </c>
      <c r="E638" s="17" t="s">
        <v>887</v>
      </c>
      <c r="F638" s="14" t="s">
        <v>40</v>
      </c>
      <c r="G638" s="3" t="s">
        <v>41</v>
      </c>
      <c r="H638" s="108" t="s">
        <v>42</v>
      </c>
      <c r="I638" s="3" t="s">
        <v>43</v>
      </c>
      <c r="K638" s="19" t="s">
        <v>888</v>
      </c>
      <c r="L638" s="19"/>
      <c r="M638" s="17" t="s">
        <v>888</v>
      </c>
      <c r="N638" s="17" t="s">
        <v>911</v>
      </c>
      <c r="O638" s="21" t="s">
        <v>912</v>
      </c>
      <c r="P638" s="17" t="s">
        <v>134</v>
      </c>
      <c r="Q638" s="17" t="s">
        <v>62</v>
      </c>
      <c r="R638" s="24" t="n">
        <v>3042</v>
      </c>
      <c r="S638" s="24" t="n">
        <v>5700</v>
      </c>
      <c r="T638" s="21" t="n">
        <v>1</v>
      </c>
      <c r="U638" s="1" t="str">
        <f aca="false">D638&amp;"-"&amp;E638&amp;"-"&amp;M638&amp;"-"&amp;O638&amp;"-"&amp;P638&amp;"-"&amp;Q638</f>
        <v>FANTASIE-ENVISAGE UW FULL CUP SIDE-FL6912-Purple-34-FF</v>
      </c>
      <c r="W638" s="1" t="s">
        <v>113</v>
      </c>
    </row>
    <row r="639" customFormat="false" ht="15" hidden="true" customHeight="false" outlineLevel="0" collapsed="false">
      <c r="B639" s="17" t="s">
        <v>937</v>
      </c>
      <c r="C639" s="17" t="s">
        <v>37</v>
      </c>
      <c r="D639" s="29" t="s">
        <v>886</v>
      </c>
      <c r="E639" s="17" t="s">
        <v>887</v>
      </c>
      <c r="F639" s="14" t="s">
        <v>40</v>
      </c>
      <c r="G639" s="3" t="s">
        <v>41</v>
      </c>
      <c r="H639" s="108" t="s">
        <v>42</v>
      </c>
      <c r="I639" s="3" t="s">
        <v>43</v>
      </c>
      <c r="K639" s="19" t="s">
        <v>888</v>
      </c>
      <c r="L639" s="19"/>
      <c r="M639" s="17" t="s">
        <v>888</v>
      </c>
      <c r="N639" s="17" t="s">
        <v>76</v>
      </c>
      <c r="O639" s="17" t="s">
        <v>77</v>
      </c>
      <c r="P639" s="17" t="s">
        <v>134</v>
      </c>
      <c r="Q639" s="17" t="s">
        <v>105</v>
      </c>
      <c r="R639" s="24" t="n">
        <v>2772</v>
      </c>
      <c r="S639" s="24" t="n">
        <v>5700</v>
      </c>
      <c r="T639" s="21" t="n">
        <v>0</v>
      </c>
      <c r="U639" s="1" t="str">
        <f aca="false">D639&amp;"-"&amp;E639&amp;"-"&amp;M639&amp;"-"&amp;O639&amp;"-"&amp;P639&amp;"-"&amp;Q639</f>
        <v>FANTASIE-ENVISAGE UW FULL CUP SIDE-FL6912-BLACK-34-G</v>
      </c>
      <c r="W639" s="1" t="s">
        <v>113</v>
      </c>
    </row>
    <row r="640" customFormat="false" ht="15" hidden="true" customHeight="false" outlineLevel="0" collapsed="false">
      <c r="B640" s="17" t="s">
        <v>938</v>
      </c>
      <c r="C640" s="17" t="s">
        <v>37</v>
      </c>
      <c r="D640" s="29" t="s">
        <v>886</v>
      </c>
      <c r="E640" s="17" t="s">
        <v>887</v>
      </c>
      <c r="F640" s="14" t="s">
        <v>40</v>
      </c>
      <c r="G640" s="3" t="s">
        <v>41</v>
      </c>
      <c r="H640" s="108" t="s">
        <v>42</v>
      </c>
      <c r="I640" s="3" t="s">
        <v>43</v>
      </c>
      <c r="K640" s="19" t="s">
        <v>888</v>
      </c>
      <c r="L640" s="19"/>
      <c r="M640" s="17" t="s">
        <v>888</v>
      </c>
      <c r="N640" s="17" t="s">
        <v>929</v>
      </c>
      <c r="O640" s="17" t="s">
        <v>528</v>
      </c>
      <c r="P640" s="17" t="s">
        <v>134</v>
      </c>
      <c r="Q640" s="17" t="s">
        <v>129</v>
      </c>
      <c r="R640" s="24" t="n">
        <v>2772</v>
      </c>
      <c r="S640" s="24" t="n">
        <v>5700</v>
      </c>
      <c r="T640" s="21" t="n">
        <v>1</v>
      </c>
      <c r="U640" s="1" t="str">
        <f aca="false">D640&amp;"-"&amp;E640&amp;"-"&amp;M640&amp;"-"&amp;O640&amp;"-"&amp;P640&amp;"-"&amp;Q640</f>
        <v>FANTASIE-ENVISAGE UW FULL CUP SIDE-FL6912-RED-34-GG</v>
      </c>
      <c r="W640" s="1" t="s">
        <v>113</v>
      </c>
    </row>
    <row r="641" customFormat="false" ht="15" hidden="true" customHeight="false" outlineLevel="0" collapsed="false">
      <c r="B641" s="17" t="s">
        <v>939</v>
      </c>
      <c r="C641" s="17" t="s">
        <v>37</v>
      </c>
      <c r="D641" s="29" t="s">
        <v>886</v>
      </c>
      <c r="E641" s="17" t="s">
        <v>887</v>
      </c>
      <c r="F641" s="14" t="s">
        <v>40</v>
      </c>
      <c r="G641" s="3" t="s">
        <v>41</v>
      </c>
      <c r="H641" s="108" t="s">
        <v>42</v>
      </c>
      <c r="I641" s="3" t="s">
        <v>43</v>
      </c>
      <c r="K641" s="19" t="s">
        <v>888</v>
      </c>
      <c r="L641" s="19"/>
      <c r="M641" s="17" t="s">
        <v>888</v>
      </c>
      <c r="N641" s="17" t="s">
        <v>929</v>
      </c>
      <c r="O641" s="17" t="s">
        <v>528</v>
      </c>
      <c r="P641" s="17" t="s">
        <v>134</v>
      </c>
      <c r="Q641" s="17" t="s">
        <v>143</v>
      </c>
      <c r="R641" s="24" t="n">
        <v>2772</v>
      </c>
      <c r="S641" s="24" t="n">
        <v>5700</v>
      </c>
      <c r="T641" s="21" t="n">
        <v>1</v>
      </c>
      <c r="U641" s="1" t="str">
        <f aca="false">D641&amp;"-"&amp;E641&amp;"-"&amp;M641&amp;"-"&amp;O641&amp;"-"&amp;P641&amp;"-"&amp;Q641</f>
        <v>FANTASIE-ENVISAGE UW FULL CUP SIDE-FL6912-RED-34-H</v>
      </c>
      <c r="W641" s="1" t="s">
        <v>113</v>
      </c>
    </row>
    <row r="642" customFormat="false" ht="15" hidden="true" customHeight="false" outlineLevel="0" collapsed="false">
      <c r="B642" s="17" t="s">
        <v>940</v>
      </c>
      <c r="C642" s="17" t="s">
        <v>37</v>
      </c>
      <c r="D642" s="29" t="s">
        <v>886</v>
      </c>
      <c r="E642" s="17" t="s">
        <v>887</v>
      </c>
      <c r="F642" s="14" t="s">
        <v>40</v>
      </c>
      <c r="G642" s="3" t="s">
        <v>41</v>
      </c>
      <c r="H642" s="108" t="s">
        <v>42</v>
      </c>
      <c r="I642" s="3" t="s">
        <v>43</v>
      </c>
      <c r="K642" s="19" t="s">
        <v>888</v>
      </c>
      <c r="L642" s="19"/>
      <c r="M642" s="17" t="s">
        <v>888</v>
      </c>
      <c r="N642" s="17" t="s">
        <v>119</v>
      </c>
      <c r="O642" s="17" t="s">
        <v>465</v>
      </c>
      <c r="P642" s="17" t="s">
        <v>65</v>
      </c>
      <c r="Q642" s="17" t="s">
        <v>56</v>
      </c>
      <c r="R642" s="24" t="n">
        <v>2700</v>
      </c>
      <c r="S642" s="24" t="n">
        <v>5700</v>
      </c>
      <c r="T642" s="21" t="n">
        <v>1</v>
      </c>
      <c r="U642" s="1" t="str">
        <f aca="false">D642&amp;"-"&amp;E642&amp;"-"&amp;M642&amp;"-"&amp;O642&amp;"-"&amp;P642&amp;"-"&amp;Q642</f>
        <v>FANTASIE-ENVISAGE UW FULL CUP SIDE-FL6912-SKIN-36-DD</v>
      </c>
      <c r="W642" s="1" t="s">
        <v>113</v>
      </c>
    </row>
    <row r="643" customFormat="false" ht="15" hidden="true" customHeight="false" outlineLevel="0" collapsed="false">
      <c r="B643" s="17" t="s">
        <v>941</v>
      </c>
      <c r="C643" s="17" t="s">
        <v>37</v>
      </c>
      <c r="D643" s="29" t="s">
        <v>886</v>
      </c>
      <c r="E643" s="17" t="s">
        <v>887</v>
      </c>
      <c r="F643" s="14" t="s">
        <v>40</v>
      </c>
      <c r="G643" s="3" t="s">
        <v>41</v>
      </c>
      <c r="H643" s="108" t="s">
        <v>42</v>
      </c>
      <c r="I643" s="3" t="s">
        <v>43</v>
      </c>
      <c r="K643" s="19" t="s">
        <v>888</v>
      </c>
      <c r="L643" s="19"/>
      <c r="M643" s="17" t="s">
        <v>888</v>
      </c>
      <c r="N643" s="17" t="s">
        <v>76</v>
      </c>
      <c r="O643" s="17" t="s">
        <v>77</v>
      </c>
      <c r="P643" s="17" t="s">
        <v>65</v>
      </c>
      <c r="Q643" s="17" t="s">
        <v>66</v>
      </c>
      <c r="R643" s="24" t="n">
        <v>2772</v>
      </c>
      <c r="S643" s="24" t="n">
        <v>5700</v>
      </c>
      <c r="T643" s="21" t="n">
        <v>1</v>
      </c>
      <c r="U643" s="1" t="str">
        <f aca="false">D643&amp;"-"&amp;E643&amp;"-"&amp;M643&amp;"-"&amp;O643&amp;"-"&amp;P643&amp;"-"&amp;Q643</f>
        <v>FANTASIE-ENVISAGE UW FULL CUP SIDE-FL6912-BLACK-36-E</v>
      </c>
      <c r="W643" s="1" t="s">
        <v>113</v>
      </c>
    </row>
    <row r="644" customFormat="false" ht="15" hidden="true" customHeight="false" outlineLevel="0" collapsed="false">
      <c r="B644" s="17" t="s">
        <v>942</v>
      </c>
      <c r="C644" s="17" t="s">
        <v>37</v>
      </c>
      <c r="D644" s="29" t="s">
        <v>886</v>
      </c>
      <c r="E644" s="17" t="s">
        <v>887</v>
      </c>
      <c r="F644" s="14" t="s">
        <v>40</v>
      </c>
      <c r="G644" s="3" t="s">
        <v>41</v>
      </c>
      <c r="H644" s="108" t="s">
        <v>42</v>
      </c>
      <c r="I644" s="3" t="s">
        <v>43</v>
      </c>
      <c r="K644" s="19" t="s">
        <v>888</v>
      </c>
      <c r="L644" s="19"/>
      <c r="M644" s="17" t="s">
        <v>888</v>
      </c>
      <c r="N644" s="17" t="s">
        <v>119</v>
      </c>
      <c r="O644" s="17" t="s">
        <v>465</v>
      </c>
      <c r="P644" s="17" t="s">
        <v>65</v>
      </c>
      <c r="Q644" s="17" t="s">
        <v>66</v>
      </c>
      <c r="R644" s="24" t="n">
        <v>3042</v>
      </c>
      <c r="S644" s="24" t="n">
        <v>5700</v>
      </c>
      <c r="T644" s="24" t="n">
        <v>0</v>
      </c>
      <c r="U644" s="1" t="str">
        <f aca="false">D644&amp;"-"&amp;E644&amp;"-"&amp;M644&amp;"-"&amp;O644&amp;"-"&amp;P644&amp;"-"&amp;Q644</f>
        <v>FANTASIE-ENVISAGE UW FULL CUP SIDE-FL6912-SKIN-36-E</v>
      </c>
      <c r="W644" s="1" t="s">
        <v>113</v>
      </c>
    </row>
    <row r="645" customFormat="false" ht="15" hidden="true" customHeight="false" outlineLevel="0" collapsed="false">
      <c r="B645" s="17" t="s">
        <v>943</v>
      </c>
      <c r="C645" s="17" t="s">
        <v>37</v>
      </c>
      <c r="D645" s="29" t="s">
        <v>886</v>
      </c>
      <c r="E645" s="17" t="s">
        <v>887</v>
      </c>
      <c r="F645" s="14" t="s">
        <v>40</v>
      </c>
      <c r="G645" s="3" t="s">
        <v>41</v>
      </c>
      <c r="H645" s="108" t="s">
        <v>42</v>
      </c>
      <c r="I645" s="3" t="s">
        <v>43</v>
      </c>
      <c r="K645" s="19" t="s">
        <v>888</v>
      </c>
      <c r="L645" s="19"/>
      <c r="M645" s="17" t="s">
        <v>888</v>
      </c>
      <c r="N645" s="17" t="s">
        <v>892</v>
      </c>
      <c r="O645" s="17" t="s">
        <v>893</v>
      </c>
      <c r="P645" s="17" t="s">
        <v>65</v>
      </c>
      <c r="Q645" s="17" t="s">
        <v>62</v>
      </c>
      <c r="R645" s="24" t="n">
        <v>2772</v>
      </c>
      <c r="S645" s="24" t="n">
        <v>5700</v>
      </c>
      <c r="T645" s="24" t="n">
        <v>2</v>
      </c>
      <c r="U645" s="1" t="str">
        <f aca="false">D645&amp;"-"&amp;E645&amp;"-"&amp;M645&amp;"-"&amp;O645&amp;"-"&amp;P645&amp;"-"&amp;Q645</f>
        <v>FANTASIE-ENVISAGE UW FULL CUP SIDE-FL6912-Dark SKIN-36-FF</v>
      </c>
      <c r="W645" s="1" t="s">
        <v>113</v>
      </c>
    </row>
    <row r="646" customFormat="false" ht="15" hidden="true" customHeight="false" outlineLevel="0" collapsed="false">
      <c r="B646" s="17" t="s">
        <v>944</v>
      </c>
      <c r="C646" s="17" t="s">
        <v>37</v>
      </c>
      <c r="D646" s="29" t="s">
        <v>886</v>
      </c>
      <c r="E646" s="17" t="s">
        <v>887</v>
      </c>
      <c r="F646" s="14" t="s">
        <v>40</v>
      </c>
      <c r="G646" s="3" t="s">
        <v>41</v>
      </c>
      <c r="H646" s="108" t="s">
        <v>42</v>
      </c>
      <c r="I646" s="3" t="s">
        <v>43</v>
      </c>
      <c r="K646" s="19" t="s">
        <v>888</v>
      </c>
      <c r="L646" s="19"/>
      <c r="M646" s="17" t="s">
        <v>888</v>
      </c>
      <c r="N646" s="17" t="s">
        <v>911</v>
      </c>
      <c r="O646" s="21" t="s">
        <v>912</v>
      </c>
      <c r="P646" s="17" t="s">
        <v>65</v>
      </c>
      <c r="Q646" s="17" t="s">
        <v>62</v>
      </c>
      <c r="R646" s="24" t="n">
        <v>3042</v>
      </c>
      <c r="S646" s="24" t="n">
        <v>5700</v>
      </c>
      <c r="T646" s="24" t="n">
        <v>1</v>
      </c>
      <c r="U646" s="1" t="str">
        <f aca="false">D646&amp;"-"&amp;E646&amp;"-"&amp;M646&amp;"-"&amp;O646&amp;"-"&amp;P646&amp;"-"&amp;Q646</f>
        <v>FANTASIE-ENVISAGE UW FULL CUP SIDE-FL6912-Purple-36-FF</v>
      </c>
      <c r="W646" s="1" t="s">
        <v>113</v>
      </c>
    </row>
    <row r="647" customFormat="false" ht="15" hidden="true" customHeight="false" outlineLevel="0" collapsed="false">
      <c r="B647" s="17" t="s">
        <v>945</v>
      </c>
      <c r="C647" s="17" t="s">
        <v>37</v>
      </c>
      <c r="D647" s="29" t="s">
        <v>886</v>
      </c>
      <c r="E647" s="17" t="s">
        <v>887</v>
      </c>
      <c r="F647" s="14" t="s">
        <v>40</v>
      </c>
      <c r="G647" s="3" t="s">
        <v>41</v>
      </c>
      <c r="H647" s="108" t="s">
        <v>42</v>
      </c>
      <c r="I647" s="3" t="s">
        <v>43</v>
      </c>
      <c r="K647" s="19" t="s">
        <v>888</v>
      </c>
      <c r="L647" s="19"/>
      <c r="M647" s="17" t="s">
        <v>888</v>
      </c>
      <c r="N647" s="17" t="s">
        <v>911</v>
      </c>
      <c r="O647" s="21" t="s">
        <v>912</v>
      </c>
      <c r="P647" s="17" t="s">
        <v>65</v>
      </c>
      <c r="Q647" s="17" t="s">
        <v>105</v>
      </c>
      <c r="R647" s="24" t="n">
        <v>3042</v>
      </c>
      <c r="S647" s="24" t="n">
        <v>5700</v>
      </c>
      <c r="T647" s="21" t="n">
        <v>0</v>
      </c>
      <c r="U647" s="1" t="str">
        <f aca="false">D647&amp;"-"&amp;E647&amp;"-"&amp;M647&amp;"-"&amp;O647&amp;"-"&amp;P647&amp;"-"&amp;Q647</f>
        <v>FANTASIE-ENVISAGE UW FULL CUP SIDE-FL6912-Purple-36-G</v>
      </c>
      <c r="W647" s="1" t="s">
        <v>113</v>
      </c>
    </row>
    <row r="648" customFormat="false" ht="15" hidden="true" customHeight="false" outlineLevel="0" collapsed="false">
      <c r="B648" s="17" t="s">
        <v>946</v>
      </c>
      <c r="C648" s="17" t="s">
        <v>37</v>
      </c>
      <c r="D648" s="29" t="s">
        <v>886</v>
      </c>
      <c r="E648" s="17" t="s">
        <v>887</v>
      </c>
      <c r="F648" s="14" t="s">
        <v>40</v>
      </c>
      <c r="G648" s="3" t="s">
        <v>41</v>
      </c>
      <c r="H648" s="108" t="s">
        <v>42</v>
      </c>
      <c r="I648" s="3" t="s">
        <v>43</v>
      </c>
      <c r="K648" s="19" t="s">
        <v>888</v>
      </c>
      <c r="L648" s="19"/>
      <c r="M648" s="17" t="s">
        <v>888</v>
      </c>
      <c r="N648" s="17" t="s">
        <v>892</v>
      </c>
      <c r="O648" s="17" t="s">
        <v>893</v>
      </c>
      <c r="P648" s="17" t="s">
        <v>65</v>
      </c>
      <c r="Q648" s="17" t="s">
        <v>105</v>
      </c>
      <c r="R648" s="24" t="n">
        <v>2772</v>
      </c>
      <c r="S648" s="24" t="n">
        <v>5700</v>
      </c>
      <c r="T648" s="21" t="n">
        <v>5</v>
      </c>
      <c r="U648" s="1" t="str">
        <f aca="false">D648&amp;"-"&amp;E648&amp;"-"&amp;M648&amp;"-"&amp;O648&amp;"-"&amp;P648&amp;"-"&amp;Q648</f>
        <v>FANTASIE-ENVISAGE UW FULL CUP SIDE-FL6912-Dark SKIN-36-G</v>
      </c>
      <c r="W648" s="1" t="s">
        <v>113</v>
      </c>
    </row>
    <row r="649" customFormat="false" ht="15" hidden="true" customHeight="false" outlineLevel="0" collapsed="false">
      <c r="B649" s="17" t="s">
        <v>947</v>
      </c>
      <c r="C649" s="17" t="s">
        <v>37</v>
      </c>
      <c r="D649" s="29" t="s">
        <v>886</v>
      </c>
      <c r="E649" s="17" t="s">
        <v>887</v>
      </c>
      <c r="F649" s="14" t="s">
        <v>40</v>
      </c>
      <c r="G649" s="3" t="s">
        <v>41</v>
      </c>
      <c r="H649" s="108" t="s">
        <v>42</v>
      </c>
      <c r="I649" s="3" t="s">
        <v>43</v>
      </c>
      <c r="K649" s="19" t="s">
        <v>888</v>
      </c>
      <c r="L649" s="19"/>
      <c r="M649" s="17" t="s">
        <v>888</v>
      </c>
      <c r="N649" s="17" t="s">
        <v>926</v>
      </c>
      <c r="O649" s="17" t="s">
        <v>927</v>
      </c>
      <c r="P649" s="17" t="s">
        <v>65</v>
      </c>
      <c r="Q649" s="17" t="s">
        <v>105</v>
      </c>
      <c r="R649" s="24" t="n">
        <v>2772</v>
      </c>
      <c r="S649" s="24" t="n">
        <v>5700</v>
      </c>
      <c r="T649" s="21" t="n">
        <v>1</v>
      </c>
      <c r="U649" s="1" t="str">
        <f aca="false">D649&amp;"-"&amp;E649&amp;"-"&amp;M649&amp;"-"&amp;O649&amp;"-"&amp;P649&amp;"-"&amp;Q649</f>
        <v>FANTASIE-ENVISAGE UW FULL CUP SIDE-FL6912-DENIM BLUE-36-G</v>
      </c>
      <c r="W649" s="1" t="s">
        <v>113</v>
      </c>
    </row>
    <row r="650" customFormat="false" ht="15" hidden="true" customHeight="false" outlineLevel="0" collapsed="false">
      <c r="B650" s="17" t="s">
        <v>948</v>
      </c>
      <c r="C650" s="17" t="s">
        <v>37</v>
      </c>
      <c r="D650" s="29" t="s">
        <v>886</v>
      </c>
      <c r="E650" s="17" t="s">
        <v>887</v>
      </c>
      <c r="F650" s="14" t="s">
        <v>40</v>
      </c>
      <c r="G650" s="3" t="s">
        <v>41</v>
      </c>
      <c r="H650" s="108" t="s">
        <v>42</v>
      </c>
      <c r="I650" s="3" t="s">
        <v>43</v>
      </c>
      <c r="K650" s="19" t="s">
        <v>888</v>
      </c>
      <c r="L650" s="19"/>
      <c r="M650" s="17" t="s">
        <v>888</v>
      </c>
      <c r="N650" s="17" t="s">
        <v>892</v>
      </c>
      <c r="O650" s="17" t="s">
        <v>893</v>
      </c>
      <c r="P650" s="17" t="s">
        <v>417</v>
      </c>
      <c r="Q650" s="17" t="s">
        <v>56</v>
      </c>
      <c r="R650" s="24" t="n">
        <v>2772</v>
      </c>
      <c r="S650" s="24" t="n">
        <v>5700</v>
      </c>
      <c r="T650" s="21" t="n">
        <v>1</v>
      </c>
      <c r="U650" s="1" t="str">
        <f aca="false">D650&amp;"-"&amp;E650&amp;"-"&amp;M650&amp;"-"&amp;O650&amp;"-"&amp;P650&amp;"-"&amp;Q650</f>
        <v>FANTASIE-ENVISAGE UW FULL CUP SIDE-FL6912-Dark SKIN-40-DD</v>
      </c>
      <c r="W650" s="1" t="s">
        <v>113</v>
      </c>
    </row>
    <row r="651" customFormat="false" ht="15" hidden="true" customHeight="false" outlineLevel="0" collapsed="false">
      <c r="B651" s="17" t="s">
        <v>949</v>
      </c>
      <c r="C651" s="17" t="s">
        <v>37</v>
      </c>
      <c r="D651" s="29" t="s">
        <v>886</v>
      </c>
      <c r="E651" s="17" t="s">
        <v>887</v>
      </c>
      <c r="F651" s="14" t="s">
        <v>40</v>
      </c>
      <c r="G651" s="3" t="s">
        <v>41</v>
      </c>
      <c r="H651" s="108" t="s">
        <v>42</v>
      </c>
      <c r="I651" s="3" t="s">
        <v>43</v>
      </c>
      <c r="K651" s="19" t="s">
        <v>888</v>
      </c>
      <c r="L651" s="19"/>
      <c r="M651" s="17" t="s">
        <v>888</v>
      </c>
      <c r="N651" s="17" t="s">
        <v>892</v>
      </c>
      <c r="O651" s="17" t="s">
        <v>893</v>
      </c>
      <c r="P651" s="17" t="s">
        <v>417</v>
      </c>
      <c r="Q651" s="17" t="s">
        <v>66</v>
      </c>
      <c r="R651" s="24" t="n">
        <v>2772</v>
      </c>
      <c r="S651" s="24" t="n">
        <v>5700</v>
      </c>
      <c r="T651" s="21" t="n">
        <v>3</v>
      </c>
      <c r="U651" s="1" t="str">
        <f aca="false">D651&amp;"-"&amp;E651&amp;"-"&amp;M651&amp;"-"&amp;O651&amp;"-"&amp;P651&amp;"-"&amp;Q651</f>
        <v>FANTASIE-ENVISAGE UW FULL CUP SIDE-FL6912-Dark SKIN-40-E</v>
      </c>
      <c r="W651" s="1" t="s">
        <v>113</v>
      </c>
    </row>
    <row r="652" customFormat="false" ht="15" hidden="true" customHeight="false" outlineLevel="0" collapsed="false">
      <c r="B652" s="17" t="s">
        <v>950</v>
      </c>
      <c r="C652" s="17" t="s">
        <v>37</v>
      </c>
      <c r="D652" s="29" t="s">
        <v>886</v>
      </c>
      <c r="E652" s="17" t="s">
        <v>887</v>
      </c>
      <c r="F652" s="14" t="s">
        <v>40</v>
      </c>
      <c r="G652" s="3" t="s">
        <v>41</v>
      </c>
      <c r="H652" s="108" t="s">
        <v>42</v>
      </c>
      <c r="I652" s="3" t="s">
        <v>43</v>
      </c>
      <c r="K652" s="19" t="s">
        <v>888</v>
      </c>
      <c r="L652" s="19"/>
      <c r="M652" s="17" t="s">
        <v>888</v>
      </c>
      <c r="N652" s="17" t="s">
        <v>892</v>
      </c>
      <c r="O652" s="17" t="s">
        <v>893</v>
      </c>
      <c r="P652" s="17" t="s">
        <v>417</v>
      </c>
      <c r="Q652" s="17" t="s">
        <v>50</v>
      </c>
      <c r="R652" s="24" t="n">
        <v>2772</v>
      </c>
      <c r="S652" s="24" t="n">
        <v>5700</v>
      </c>
      <c r="T652" s="21" t="n">
        <v>2</v>
      </c>
      <c r="U652" s="1" t="str">
        <f aca="false">D652&amp;"-"&amp;E652&amp;"-"&amp;M652&amp;"-"&amp;O652&amp;"-"&amp;P652&amp;"-"&amp;Q652</f>
        <v>FANTASIE-ENVISAGE UW FULL CUP SIDE-FL6912-Dark SKIN-40-F</v>
      </c>
      <c r="W652" s="1" t="s">
        <v>113</v>
      </c>
    </row>
    <row r="653" customFormat="false" ht="15" hidden="true" customHeight="false" outlineLevel="0" collapsed="false">
      <c r="B653" s="17" t="s">
        <v>951</v>
      </c>
      <c r="C653" s="17" t="s">
        <v>37</v>
      </c>
      <c r="D653" s="29" t="s">
        <v>886</v>
      </c>
      <c r="E653" s="17" t="s">
        <v>887</v>
      </c>
      <c r="F653" s="14" t="s">
        <v>40</v>
      </c>
      <c r="G653" s="3" t="s">
        <v>41</v>
      </c>
      <c r="H653" s="108" t="s">
        <v>42</v>
      </c>
      <c r="I653" s="3" t="s">
        <v>43</v>
      </c>
      <c r="K653" s="19" t="s">
        <v>888</v>
      </c>
      <c r="L653" s="19"/>
      <c r="M653" s="17" t="s">
        <v>888</v>
      </c>
      <c r="N653" s="17" t="s">
        <v>926</v>
      </c>
      <c r="O653" s="17" t="s">
        <v>927</v>
      </c>
      <c r="P653" s="17" t="s">
        <v>417</v>
      </c>
      <c r="Q653" s="17" t="s">
        <v>50</v>
      </c>
      <c r="R653" s="24" t="n">
        <v>2772</v>
      </c>
      <c r="S653" s="24" t="n">
        <v>5700</v>
      </c>
      <c r="T653" s="21" t="n">
        <v>1</v>
      </c>
      <c r="U653" s="1" t="str">
        <f aca="false">D653&amp;"-"&amp;E653&amp;"-"&amp;M653&amp;"-"&amp;O653&amp;"-"&amp;P653&amp;"-"&amp;Q653</f>
        <v>FANTASIE-ENVISAGE UW FULL CUP SIDE-FL6912-DENIM BLUE-40-F</v>
      </c>
      <c r="W653" s="1" t="s">
        <v>113</v>
      </c>
    </row>
    <row r="654" customFormat="false" ht="15" hidden="true" customHeight="false" outlineLevel="0" collapsed="false">
      <c r="B654" s="17" t="s">
        <v>952</v>
      </c>
      <c r="C654" s="17" t="s">
        <v>37</v>
      </c>
      <c r="D654" s="29" t="s">
        <v>886</v>
      </c>
      <c r="E654" s="17" t="s">
        <v>887</v>
      </c>
      <c r="F654" s="14" t="s">
        <v>40</v>
      </c>
      <c r="G654" s="3" t="s">
        <v>41</v>
      </c>
      <c r="H654" s="108" t="s">
        <v>42</v>
      </c>
      <c r="I654" s="3" t="s">
        <v>43</v>
      </c>
      <c r="K654" s="19" t="s">
        <v>888</v>
      </c>
      <c r="L654" s="19"/>
      <c r="M654" s="17" t="s">
        <v>888</v>
      </c>
      <c r="N654" s="17" t="s">
        <v>911</v>
      </c>
      <c r="O654" s="21" t="s">
        <v>912</v>
      </c>
      <c r="P654" s="17" t="s">
        <v>417</v>
      </c>
      <c r="Q654" s="17" t="s">
        <v>62</v>
      </c>
      <c r="R654" s="24" t="n">
        <v>3042</v>
      </c>
      <c r="S654" s="24" t="n">
        <v>5700</v>
      </c>
      <c r="T654" s="21" t="n">
        <v>2</v>
      </c>
      <c r="U654" s="1" t="str">
        <f aca="false">D654&amp;"-"&amp;E654&amp;"-"&amp;M654&amp;"-"&amp;O654&amp;"-"&amp;P654&amp;"-"&amp;Q654</f>
        <v>FANTASIE-ENVISAGE UW FULL CUP SIDE-FL6912-Purple-40-FF</v>
      </c>
      <c r="W654" s="1" t="s">
        <v>113</v>
      </c>
    </row>
    <row r="655" customFormat="false" ht="15" hidden="true" customHeight="false" outlineLevel="0" collapsed="false">
      <c r="B655" s="17" t="s">
        <v>953</v>
      </c>
      <c r="C655" s="17" t="s">
        <v>37</v>
      </c>
      <c r="D655" s="29" t="s">
        <v>886</v>
      </c>
      <c r="E655" s="17" t="s">
        <v>887</v>
      </c>
      <c r="F655" s="14" t="s">
        <v>40</v>
      </c>
      <c r="G655" s="3" t="s">
        <v>41</v>
      </c>
      <c r="H655" s="108" t="s">
        <v>42</v>
      </c>
      <c r="I655" s="3" t="s">
        <v>43</v>
      </c>
      <c r="K655" s="19" t="s">
        <v>888</v>
      </c>
      <c r="L655" s="19"/>
      <c r="M655" s="17" t="s">
        <v>888</v>
      </c>
      <c r="N655" s="17" t="s">
        <v>926</v>
      </c>
      <c r="O655" s="17" t="s">
        <v>927</v>
      </c>
      <c r="P655" s="17" t="s">
        <v>154</v>
      </c>
      <c r="Q655" s="17" t="s">
        <v>66</v>
      </c>
      <c r="R655" s="24" t="n">
        <v>2772</v>
      </c>
      <c r="S655" s="24" t="n">
        <v>5700</v>
      </c>
      <c r="T655" s="21" t="n">
        <v>2</v>
      </c>
      <c r="U655" s="1" t="str">
        <f aca="false">D655&amp;"-"&amp;E655&amp;"-"&amp;M655&amp;"-"&amp;O655&amp;"-"&amp;P655&amp;"-"&amp;Q655</f>
        <v>FANTASIE-ENVISAGE UW FULL CUP SIDE-FL6912-DENIM BLUE-38-E</v>
      </c>
      <c r="W655" s="1" t="s">
        <v>113</v>
      </c>
    </row>
    <row r="656" customFormat="false" ht="15" hidden="true" customHeight="false" outlineLevel="0" collapsed="false">
      <c r="B656" s="17" t="s">
        <v>954</v>
      </c>
      <c r="C656" s="17" t="s">
        <v>37</v>
      </c>
      <c r="D656" s="29" t="s">
        <v>886</v>
      </c>
      <c r="E656" s="17" t="s">
        <v>887</v>
      </c>
      <c r="F656" s="14" t="s">
        <v>40</v>
      </c>
      <c r="G656" s="3" t="s">
        <v>41</v>
      </c>
      <c r="H656" s="108" t="s">
        <v>42</v>
      </c>
      <c r="I656" s="3" t="s">
        <v>43</v>
      </c>
      <c r="K656" s="19" t="s">
        <v>888</v>
      </c>
      <c r="L656" s="19"/>
      <c r="M656" s="17" t="s">
        <v>888</v>
      </c>
      <c r="N656" s="17" t="s">
        <v>929</v>
      </c>
      <c r="O656" s="17" t="s">
        <v>528</v>
      </c>
      <c r="P656" s="17" t="s">
        <v>154</v>
      </c>
      <c r="Q656" s="17" t="s">
        <v>50</v>
      </c>
      <c r="R656" s="24" t="n">
        <v>2772</v>
      </c>
      <c r="S656" s="24" t="n">
        <v>5700</v>
      </c>
      <c r="T656" s="21" t="n">
        <v>1</v>
      </c>
      <c r="U656" s="1" t="str">
        <f aca="false">D656&amp;"-"&amp;E656&amp;"-"&amp;M656&amp;"-"&amp;O656&amp;"-"&amp;P656&amp;"-"&amp;Q656</f>
        <v>FANTASIE-ENVISAGE UW FULL CUP SIDE-FL6912-RED-38-F</v>
      </c>
      <c r="W656" s="1" t="s">
        <v>113</v>
      </c>
    </row>
    <row r="657" customFormat="false" ht="15" hidden="true" customHeight="false" outlineLevel="0" collapsed="false">
      <c r="B657" s="17" t="s">
        <v>955</v>
      </c>
      <c r="C657" s="17" t="s">
        <v>37</v>
      </c>
      <c r="D657" s="29" t="s">
        <v>886</v>
      </c>
      <c r="E657" s="17" t="s">
        <v>887</v>
      </c>
      <c r="F657" s="14" t="s">
        <v>40</v>
      </c>
      <c r="G657" s="3" t="s">
        <v>41</v>
      </c>
      <c r="H657" s="108" t="s">
        <v>42</v>
      </c>
      <c r="I657" s="3" t="s">
        <v>43</v>
      </c>
      <c r="K657" s="19" t="s">
        <v>888</v>
      </c>
      <c r="L657" s="19"/>
      <c r="M657" s="17" t="s">
        <v>888</v>
      </c>
      <c r="N657" s="17" t="s">
        <v>892</v>
      </c>
      <c r="O657" s="17" t="s">
        <v>893</v>
      </c>
      <c r="P657" s="17" t="s">
        <v>154</v>
      </c>
      <c r="Q657" s="17" t="s">
        <v>50</v>
      </c>
      <c r="R657" s="24" t="n">
        <v>2772</v>
      </c>
      <c r="S657" s="24" t="n">
        <v>5700</v>
      </c>
      <c r="T657" s="24" t="n">
        <v>1</v>
      </c>
      <c r="U657" s="1" t="str">
        <f aca="false">D657&amp;"-"&amp;E657&amp;"-"&amp;M657&amp;"-"&amp;O657&amp;"-"&amp;P657&amp;"-"&amp;Q657</f>
        <v>FANTASIE-ENVISAGE UW FULL CUP SIDE-FL6912-Dark SKIN-38-F</v>
      </c>
      <c r="W657" s="1" t="s">
        <v>113</v>
      </c>
    </row>
    <row r="658" customFormat="false" ht="15" hidden="true" customHeight="false" outlineLevel="0" collapsed="false">
      <c r="B658" s="17" t="s">
        <v>956</v>
      </c>
      <c r="C658" s="17" t="s">
        <v>37</v>
      </c>
      <c r="D658" s="29" t="s">
        <v>886</v>
      </c>
      <c r="E658" s="17" t="s">
        <v>887</v>
      </c>
      <c r="F658" s="14" t="s">
        <v>40</v>
      </c>
      <c r="G658" s="3" t="s">
        <v>41</v>
      </c>
      <c r="H658" s="108" t="s">
        <v>42</v>
      </c>
      <c r="I658" s="3" t="s">
        <v>43</v>
      </c>
      <c r="K658" s="19" t="s">
        <v>888</v>
      </c>
      <c r="L658" s="19"/>
      <c r="M658" s="17" t="s">
        <v>888</v>
      </c>
      <c r="N658" s="17" t="s">
        <v>119</v>
      </c>
      <c r="O658" s="17" t="s">
        <v>465</v>
      </c>
      <c r="P658" s="17" t="s">
        <v>154</v>
      </c>
      <c r="Q658" s="17" t="s">
        <v>62</v>
      </c>
      <c r="R658" s="24" t="n">
        <v>2772</v>
      </c>
      <c r="S658" s="24" t="n">
        <v>5700</v>
      </c>
      <c r="T658" s="24" t="n">
        <v>1</v>
      </c>
      <c r="U658" s="1" t="str">
        <f aca="false">D658&amp;"-"&amp;E658&amp;"-"&amp;M658&amp;"-"&amp;O658&amp;"-"&amp;P658&amp;"-"&amp;Q658</f>
        <v>FANTASIE-ENVISAGE UW FULL CUP SIDE-FL6912-SKIN-38-FF</v>
      </c>
      <c r="W658" s="1" t="s">
        <v>113</v>
      </c>
    </row>
    <row r="659" customFormat="false" ht="15" hidden="true" customHeight="false" outlineLevel="0" collapsed="false">
      <c r="B659" s="17" t="s">
        <v>957</v>
      </c>
      <c r="C659" s="17" t="s">
        <v>37</v>
      </c>
      <c r="D659" s="29" t="s">
        <v>886</v>
      </c>
      <c r="E659" s="17" t="s">
        <v>887</v>
      </c>
      <c r="F659" s="14" t="s">
        <v>40</v>
      </c>
      <c r="G659" s="3" t="s">
        <v>41</v>
      </c>
      <c r="H659" s="108" t="s">
        <v>42</v>
      </c>
      <c r="I659" s="3" t="s">
        <v>43</v>
      </c>
      <c r="K659" s="19" t="s">
        <v>888</v>
      </c>
      <c r="L659" s="19"/>
      <c r="M659" s="17" t="s">
        <v>888</v>
      </c>
      <c r="N659" s="17" t="s">
        <v>76</v>
      </c>
      <c r="O659" s="17" t="s">
        <v>77</v>
      </c>
      <c r="P659" s="17" t="s">
        <v>154</v>
      </c>
      <c r="Q659" s="17" t="s">
        <v>62</v>
      </c>
      <c r="R659" s="24" t="n">
        <v>2525.5</v>
      </c>
      <c r="S659" s="24" t="n">
        <v>5700</v>
      </c>
      <c r="T659" s="24" t="n">
        <v>1</v>
      </c>
      <c r="U659" s="1" t="str">
        <f aca="false">D659&amp;"-"&amp;E659&amp;"-"&amp;M659&amp;"-"&amp;O659&amp;"-"&amp;P659&amp;"-"&amp;Q659</f>
        <v>FANTASIE-ENVISAGE UW FULL CUP SIDE-FL6912-BLACK-38-FF</v>
      </c>
      <c r="W659" s="1" t="s">
        <v>113</v>
      </c>
    </row>
    <row r="660" customFormat="false" ht="15" hidden="true" customHeight="false" outlineLevel="0" collapsed="false">
      <c r="B660" s="17" t="s">
        <v>958</v>
      </c>
      <c r="C660" s="17" t="s">
        <v>37</v>
      </c>
      <c r="D660" s="29" t="s">
        <v>886</v>
      </c>
      <c r="E660" s="17" t="s">
        <v>887</v>
      </c>
      <c r="F660" s="14" t="s">
        <v>40</v>
      </c>
      <c r="G660" s="3" t="s">
        <v>41</v>
      </c>
      <c r="H660" s="108" t="s">
        <v>42</v>
      </c>
      <c r="I660" s="3" t="s">
        <v>43</v>
      </c>
      <c r="K660" s="19" t="s">
        <v>888</v>
      </c>
      <c r="L660" s="19"/>
      <c r="M660" s="17" t="s">
        <v>888</v>
      </c>
      <c r="N660" s="17" t="s">
        <v>119</v>
      </c>
      <c r="O660" s="17" t="s">
        <v>465</v>
      </c>
      <c r="P660" s="17" t="s">
        <v>154</v>
      </c>
      <c r="Q660" s="17" t="s">
        <v>105</v>
      </c>
      <c r="R660" s="24" t="n">
        <v>2700</v>
      </c>
      <c r="S660" s="24" t="n">
        <v>5700</v>
      </c>
      <c r="T660" s="24" t="n">
        <v>1</v>
      </c>
      <c r="U660" s="1" t="str">
        <f aca="false">D660&amp;"-"&amp;E660&amp;"-"&amp;M660&amp;"-"&amp;O660&amp;"-"&amp;P660&amp;"-"&amp;Q660</f>
        <v>FANTASIE-ENVISAGE UW FULL CUP SIDE-FL6912-SKIN-38-G</v>
      </c>
      <c r="W660" s="1" t="s">
        <v>113</v>
      </c>
    </row>
    <row r="661" customFormat="false" ht="15" hidden="true" customHeight="false" outlineLevel="0" collapsed="false">
      <c r="B661" s="17" t="s">
        <v>959</v>
      </c>
      <c r="C661" s="17" t="s">
        <v>37</v>
      </c>
      <c r="D661" s="29" t="s">
        <v>886</v>
      </c>
      <c r="E661" s="17" t="s">
        <v>887</v>
      </c>
      <c r="F661" s="14" t="s">
        <v>40</v>
      </c>
      <c r="G661" s="3" t="s">
        <v>41</v>
      </c>
      <c r="H661" s="108" t="s">
        <v>42</v>
      </c>
      <c r="I661" s="3" t="s">
        <v>43</v>
      </c>
      <c r="K661" s="19" t="s">
        <v>888</v>
      </c>
      <c r="L661" s="19"/>
      <c r="M661" s="17" t="s">
        <v>888</v>
      </c>
      <c r="N661" s="17" t="s">
        <v>76</v>
      </c>
      <c r="O661" s="17" t="s">
        <v>77</v>
      </c>
      <c r="P661" s="17" t="s">
        <v>154</v>
      </c>
      <c r="Q661" s="17" t="s">
        <v>105</v>
      </c>
      <c r="R661" s="24" t="n">
        <v>2520</v>
      </c>
      <c r="S661" s="24" t="n">
        <v>5700</v>
      </c>
      <c r="T661" s="24" t="n">
        <v>2</v>
      </c>
      <c r="U661" s="1" t="str">
        <f aca="false">D661&amp;"-"&amp;E661&amp;"-"&amp;M661&amp;"-"&amp;O661&amp;"-"&amp;P661&amp;"-"&amp;Q661</f>
        <v>FANTASIE-ENVISAGE UW FULL CUP SIDE-FL6912-BLACK-38-G</v>
      </c>
      <c r="W661" s="1" t="s">
        <v>113</v>
      </c>
    </row>
    <row r="662" customFormat="false" ht="15" hidden="true" customHeight="false" outlineLevel="0" collapsed="false">
      <c r="B662" s="20" t="s">
        <v>960</v>
      </c>
      <c r="C662" s="20" t="s">
        <v>37</v>
      </c>
      <c r="D662" s="20" t="s">
        <v>886</v>
      </c>
      <c r="E662" s="86" t="s">
        <v>961</v>
      </c>
      <c r="F662" s="14" t="s">
        <v>40</v>
      </c>
      <c r="G662" s="3" t="s">
        <v>41</v>
      </c>
      <c r="H662" s="108" t="s">
        <v>42</v>
      </c>
      <c r="I662" s="3" t="s">
        <v>43</v>
      </c>
      <c r="K662" s="19" t="s">
        <v>962</v>
      </c>
      <c r="L662" s="19"/>
      <c r="M662" s="20" t="s">
        <v>962</v>
      </c>
      <c r="N662" s="20" t="s">
        <v>963</v>
      </c>
      <c r="O662" s="20" t="s">
        <v>964</v>
      </c>
      <c r="P662" s="20" t="s">
        <v>55</v>
      </c>
      <c r="Q662" s="20" t="s">
        <v>97</v>
      </c>
      <c r="R662" s="16" t="n">
        <v>2079</v>
      </c>
      <c r="S662" s="16" t="n">
        <v>5700</v>
      </c>
      <c r="T662" s="16" t="n">
        <v>1</v>
      </c>
      <c r="U662" s="1" t="str">
        <f aca="false">D662&amp;"-"&amp;E662&amp;"-"&amp;M662&amp;"-"&amp;O662&amp;"-"&amp;P662&amp;"-"&amp;Q662</f>
        <v>FANTASIE-ANA UW MOULDED SPACER BRA-FL6701-SAGE BLUE-30-D</v>
      </c>
      <c r="W662" s="1" t="s">
        <v>113</v>
      </c>
    </row>
    <row r="663" customFormat="false" ht="15" hidden="true" customHeight="false" outlineLevel="0" collapsed="false">
      <c r="B663" s="29" t="s">
        <v>965</v>
      </c>
      <c r="C663" s="17" t="s">
        <v>37</v>
      </c>
      <c r="D663" s="29" t="s">
        <v>886</v>
      </c>
      <c r="E663" s="2" t="s">
        <v>961</v>
      </c>
      <c r="F663" s="14" t="s">
        <v>40</v>
      </c>
      <c r="G663" s="3" t="s">
        <v>41</v>
      </c>
      <c r="H663" s="108" t="s">
        <v>42</v>
      </c>
      <c r="I663" s="3" t="s">
        <v>43</v>
      </c>
      <c r="K663" s="19" t="s">
        <v>962</v>
      </c>
      <c r="L663" s="19"/>
      <c r="M663" s="29" t="s">
        <v>962</v>
      </c>
      <c r="N663" s="29" t="s">
        <v>963</v>
      </c>
      <c r="O663" s="29" t="s">
        <v>964</v>
      </c>
      <c r="P663" s="29" t="s">
        <v>55</v>
      </c>
      <c r="Q663" s="29" t="s">
        <v>56</v>
      </c>
      <c r="R663" s="16" t="n">
        <v>2079</v>
      </c>
      <c r="S663" s="24" t="n">
        <v>5700</v>
      </c>
      <c r="T663" s="16" t="n">
        <v>1</v>
      </c>
      <c r="U663" s="1" t="str">
        <f aca="false">D663&amp;"-"&amp;E663&amp;"-"&amp;M663&amp;"-"&amp;O663&amp;"-"&amp;P663&amp;"-"&amp;Q663</f>
        <v>FANTASIE-ANA UW MOULDED SPACER BRA-FL6701-SAGE BLUE-30-DD</v>
      </c>
      <c r="W663" s="1" t="s">
        <v>113</v>
      </c>
    </row>
    <row r="664" customFormat="false" ht="15" hidden="true" customHeight="false" outlineLevel="0" collapsed="false">
      <c r="B664" s="29" t="s">
        <v>966</v>
      </c>
      <c r="C664" s="17" t="s">
        <v>37</v>
      </c>
      <c r="D664" s="29" t="s">
        <v>886</v>
      </c>
      <c r="E664" s="2" t="s">
        <v>961</v>
      </c>
      <c r="F664" s="14" t="s">
        <v>40</v>
      </c>
      <c r="G664" s="3" t="s">
        <v>41</v>
      </c>
      <c r="H664" s="108" t="s">
        <v>42</v>
      </c>
      <c r="I664" s="3" t="s">
        <v>43</v>
      </c>
      <c r="K664" s="19" t="s">
        <v>962</v>
      </c>
      <c r="L664" s="19"/>
      <c r="M664" s="29" t="s">
        <v>962</v>
      </c>
      <c r="N664" s="29" t="s">
        <v>967</v>
      </c>
      <c r="O664" s="29" t="s">
        <v>968</v>
      </c>
      <c r="P664" s="29" t="s">
        <v>55</v>
      </c>
      <c r="Q664" s="29" t="s">
        <v>50</v>
      </c>
      <c r="R664" s="16" t="n">
        <v>2079</v>
      </c>
      <c r="S664" s="24" t="n">
        <v>5700</v>
      </c>
      <c r="T664" s="16" t="n">
        <v>0</v>
      </c>
      <c r="U664" s="1" t="str">
        <f aca="false">D664&amp;"-"&amp;E664&amp;"-"&amp;M664&amp;"-"&amp;O664&amp;"-"&amp;P664&amp;"-"&amp;Q664</f>
        <v>FANTASIE-ANA UW MOULDED SPACER BRA-FL6701-Olive Green-30-F</v>
      </c>
      <c r="W664" s="1" t="s">
        <v>113</v>
      </c>
    </row>
    <row r="665" customFormat="false" ht="15.75" hidden="true" customHeight="true" outlineLevel="0" collapsed="false">
      <c r="B665" s="29" t="s">
        <v>969</v>
      </c>
      <c r="C665" s="17" t="s">
        <v>37</v>
      </c>
      <c r="D665" s="29" t="s">
        <v>886</v>
      </c>
      <c r="E665" s="2" t="s">
        <v>961</v>
      </c>
      <c r="F665" s="14" t="s">
        <v>40</v>
      </c>
      <c r="G665" s="3" t="s">
        <v>41</v>
      </c>
      <c r="H665" s="108" t="s">
        <v>42</v>
      </c>
      <c r="I665" s="3" t="s">
        <v>43</v>
      </c>
      <c r="K665" s="19" t="s">
        <v>962</v>
      </c>
      <c r="L665" s="19"/>
      <c r="M665" s="29" t="s">
        <v>962</v>
      </c>
      <c r="N665" s="29" t="s">
        <v>970</v>
      </c>
      <c r="O665" s="29" t="s">
        <v>971</v>
      </c>
      <c r="P665" s="29" t="s">
        <v>55</v>
      </c>
      <c r="Q665" s="29" t="s">
        <v>62</v>
      </c>
      <c r="R665" s="16" t="n">
        <v>2079</v>
      </c>
      <c r="S665" s="24" t="n">
        <v>5700</v>
      </c>
      <c r="T665" s="16" t="n">
        <v>1</v>
      </c>
      <c r="U665" s="1" t="str">
        <f aca="false">D665&amp;"-"&amp;E665&amp;"-"&amp;M665&amp;"-"&amp;O665&amp;"-"&amp;P665&amp;"-"&amp;Q665</f>
        <v>FANTASIE-ANA UW MOULDED SPACER BRA-FL6701-Vanilla-30-FF</v>
      </c>
      <c r="W665" s="1" t="s">
        <v>113</v>
      </c>
    </row>
    <row r="666" customFormat="false" ht="15" hidden="true" customHeight="false" outlineLevel="0" collapsed="false">
      <c r="B666" s="29" t="s">
        <v>972</v>
      </c>
      <c r="C666" s="17" t="s">
        <v>37</v>
      </c>
      <c r="D666" s="29" t="s">
        <v>886</v>
      </c>
      <c r="E666" s="2" t="s">
        <v>961</v>
      </c>
      <c r="F666" s="14" t="s">
        <v>40</v>
      </c>
      <c r="G666" s="3" t="s">
        <v>41</v>
      </c>
      <c r="H666" s="108" t="s">
        <v>42</v>
      </c>
      <c r="I666" s="3" t="s">
        <v>43</v>
      </c>
      <c r="K666" s="19" t="s">
        <v>962</v>
      </c>
      <c r="L666" s="19"/>
      <c r="M666" s="29" t="s">
        <v>962</v>
      </c>
      <c r="N666" s="29" t="s">
        <v>76</v>
      </c>
      <c r="O666" s="29" t="s">
        <v>77</v>
      </c>
      <c r="P666" s="29" t="s">
        <v>55</v>
      </c>
      <c r="Q666" s="29" t="s">
        <v>105</v>
      </c>
      <c r="R666" s="16" t="n">
        <v>2079</v>
      </c>
      <c r="S666" s="24" t="n">
        <v>5700</v>
      </c>
      <c r="T666" s="16" t="n">
        <v>1</v>
      </c>
      <c r="U666" s="1" t="str">
        <f aca="false">D666&amp;"-"&amp;E666&amp;"-"&amp;M666&amp;"-"&amp;O666&amp;"-"&amp;P666&amp;"-"&amp;Q666</f>
        <v>FANTASIE-ANA UW MOULDED SPACER BRA-FL6701-BLACK-30-G</v>
      </c>
      <c r="W666" s="1" t="s">
        <v>113</v>
      </c>
    </row>
    <row r="667" customFormat="false" ht="15" hidden="true" customHeight="false" outlineLevel="0" collapsed="false">
      <c r="B667" s="29" t="s">
        <v>973</v>
      </c>
      <c r="C667" s="17" t="s">
        <v>37</v>
      </c>
      <c r="D667" s="29" t="s">
        <v>886</v>
      </c>
      <c r="E667" s="2" t="s">
        <v>961</v>
      </c>
      <c r="F667" s="14" t="s">
        <v>40</v>
      </c>
      <c r="G667" s="3" t="s">
        <v>41</v>
      </c>
      <c r="H667" s="108" t="s">
        <v>42</v>
      </c>
      <c r="I667" s="3" t="s">
        <v>43</v>
      </c>
      <c r="K667" s="19" t="s">
        <v>962</v>
      </c>
      <c r="L667" s="19"/>
      <c r="M667" s="29" t="s">
        <v>962</v>
      </c>
      <c r="N667" s="29" t="s">
        <v>963</v>
      </c>
      <c r="O667" s="29" t="s">
        <v>964</v>
      </c>
      <c r="P667" s="29" t="s">
        <v>55</v>
      </c>
      <c r="Q667" s="29" t="s">
        <v>129</v>
      </c>
      <c r="R667" s="16" t="n">
        <v>2079</v>
      </c>
      <c r="S667" s="24" t="n">
        <v>5700</v>
      </c>
      <c r="T667" s="16" t="n">
        <v>1</v>
      </c>
      <c r="U667" s="1" t="str">
        <f aca="false">D667&amp;"-"&amp;E667&amp;"-"&amp;M667&amp;"-"&amp;O667&amp;"-"&amp;P667&amp;"-"&amp;Q667</f>
        <v>FANTASIE-ANA UW MOULDED SPACER BRA-FL6701-SAGE BLUE-30-GG</v>
      </c>
      <c r="W667" s="1" t="s">
        <v>113</v>
      </c>
    </row>
    <row r="668" customFormat="false" ht="15" hidden="true" customHeight="false" outlineLevel="0" collapsed="false">
      <c r="B668" s="17" t="s">
        <v>974</v>
      </c>
      <c r="C668" s="17" t="s">
        <v>37</v>
      </c>
      <c r="D668" s="29" t="s">
        <v>886</v>
      </c>
      <c r="E668" s="2" t="s">
        <v>961</v>
      </c>
      <c r="F668" s="14" t="s">
        <v>40</v>
      </c>
      <c r="G668" s="3" t="s">
        <v>41</v>
      </c>
      <c r="H668" s="108" t="s">
        <v>42</v>
      </c>
      <c r="I668" s="3" t="s">
        <v>43</v>
      </c>
      <c r="K668" s="19" t="s">
        <v>962</v>
      </c>
      <c r="L668" s="19"/>
      <c r="M668" s="29" t="s">
        <v>962</v>
      </c>
      <c r="N668" s="17" t="s">
        <v>970</v>
      </c>
      <c r="O668" s="29" t="s">
        <v>971</v>
      </c>
      <c r="P668" s="17" t="s">
        <v>92</v>
      </c>
      <c r="Q668" s="17" t="s">
        <v>143</v>
      </c>
      <c r="R668" s="16" t="n">
        <v>2079</v>
      </c>
      <c r="S668" s="24" t="n">
        <v>5700</v>
      </c>
      <c r="T668" s="16" t="n">
        <v>1</v>
      </c>
      <c r="U668" s="1" t="str">
        <f aca="false">D668&amp;"-"&amp;E668&amp;"-"&amp;M668&amp;"-"&amp;O668&amp;"-"&amp;P668&amp;"-"&amp;Q668</f>
        <v>FANTASIE-ANA UW MOULDED SPACER BRA-FL6701-Vanilla-32-H</v>
      </c>
      <c r="W668" s="1" t="s">
        <v>113</v>
      </c>
    </row>
    <row r="669" customFormat="false" ht="15" hidden="true" customHeight="false" outlineLevel="0" collapsed="false">
      <c r="B669" s="29" t="s">
        <v>975</v>
      </c>
      <c r="C669" s="17" t="s">
        <v>37</v>
      </c>
      <c r="D669" s="29" t="s">
        <v>886</v>
      </c>
      <c r="E669" s="2" t="s">
        <v>961</v>
      </c>
      <c r="F669" s="14" t="s">
        <v>40</v>
      </c>
      <c r="G669" s="3" t="s">
        <v>41</v>
      </c>
      <c r="H669" s="108" t="s">
        <v>42</v>
      </c>
      <c r="I669" s="3" t="s">
        <v>43</v>
      </c>
      <c r="K669" s="19" t="s">
        <v>962</v>
      </c>
      <c r="L669" s="19"/>
      <c r="M669" s="29" t="s">
        <v>962</v>
      </c>
      <c r="N669" s="29" t="s">
        <v>970</v>
      </c>
      <c r="O669" s="29" t="s">
        <v>971</v>
      </c>
      <c r="P669" s="17" t="s">
        <v>134</v>
      </c>
      <c r="Q669" s="29" t="s">
        <v>97</v>
      </c>
      <c r="R669" s="16" t="n">
        <v>2079</v>
      </c>
      <c r="S669" s="24" t="n">
        <v>5700</v>
      </c>
      <c r="T669" s="16" t="n">
        <v>1</v>
      </c>
      <c r="U669" s="1" t="str">
        <f aca="false">D669&amp;"-"&amp;E669&amp;"-"&amp;M669&amp;"-"&amp;O669&amp;"-"&amp;P669&amp;"-"&amp;Q669</f>
        <v>FANTASIE-ANA UW MOULDED SPACER BRA-FL6701-Vanilla-34-D</v>
      </c>
      <c r="W669" s="1" t="s">
        <v>113</v>
      </c>
    </row>
    <row r="670" customFormat="false" ht="15" hidden="true" customHeight="false" outlineLevel="0" collapsed="false">
      <c r="B670" s="29" t="s">
        <v>976</v>
      </c>
      <c r="C670" s="17" t="s">
        <v>37</v>
      </c>
      <c r="D670" s="29" t="s">
        <v>886</v>
      </c>
      <c r="E670" s="2" t="s">
        <v>961</v>
      </c>
      <c r="F670" s="14" t="s">
        <v>40</v>
      </c>
      <c r="G670" s="3" t="s">
        <v>41</v>
      </c>
      <c r="H670" s="108" t="s">
        <v>42</v>
      </c>
      <c r="I670" s="3" t="s">
        <v>43</v>
      </c>
      <c r="K670" s="19" t="s">
        <v>962</v>
      </c>
      <c r="L670" s="19"/>
      <c r="M670" s="29" t="s">
        <v>962</v>
      </c>
      <c r="N670" s="29" t="s">
        <v>970</v>
      </c>
      <c r="O670" s="29" t="s">
        <v>971</v>
      </c>
      <c r="P670" s="17" t="s">
        <v>134</v>
      </c>
      <c r="Q670" s="29" t="s">
        <v>129</v>
      </c>
      <c r="R670" s="16" t="n">
        <v>2079</v>
      </c>
      <c r="S670" s="24" t="n">
        <v>5700</v>
      </c>
      <c r="T670" s="16" t="n">
        <v>1</v>
      </c>
      <c r="U670" s="1" t="str">
        <f aca="false">D670&amp;"-"&amp;E670&amp;"-"&amp;M670&amp;"-"&amp;O670&amp;"-"&amp;P670&amp;"-"&amp;Q670</f>
        <v>FANTASIE-ANA UW MOULDED SPACER BRA-FL6701-Vanilla-34-GG</v>
      </c>
      <c r="W670" s="1" t="s">
        <v>113</v>
      </c>
    </row>
    <row r="671" customFormat="false" ht="15" hidden="true" customHeight="false" outlineLevel="0" collapsed="false">
      <c r="B671" s="17" t="s">
        <v>977</v>
      </c>
      <c r="C671" s="17" t="s">
        <v>37</v>
      </c>
      <c r="D671" s="29" t="s">
        <v>886</v>
      </c>
      <c r="E671" s="2" t="s">
        <v>961</v>
      </c>
      <c r="F671" s="14" t="s">
        <v>40</v>
      </c>
      <c r="G671" s="3" t="s">
        <v>41</v>
      </c>
      <c r="H671" s="108" t="s">
        <v>42</v>
      </c>
      <c r="I671" s="3" t="s">
        <v>43</v>
      </c>
      <c r="K671" s="19" t="s">
        <v>962</v>
      </c>
      <c r="L671" s="19"/>
      <c r="M671" s="29" t="s">
        <v>962</v>
      </c>
      <c r="N671" s="17" t="s">
        <v>970</v>
      </c>
      <c r="O671" s="29" t="s">
        <v>971</v>
      </c>
      <c r="P671" s="17" t="s">
        <v>134</v>
      </c>
      <c r="Q671" s="17" t="s">
        <v>143</v>
      </c>
      <c r="R671" s="16" t="n">
        <v>2079</v>
      </c>
      <c r="S671" s="24" t="n">
        <v>5700</v>
      </c>
      <c r="T671" s="16" t="n">
        <v>1</v>
      </c>
      <c r="U671" s="1" t="str">
        <f aca="false">D671&amp;"-"&amp;E671&amp;"-"&amp;M671&amp;"-"&amp;O671&amp;"-"&amp;P671&amp;"-"&amp;Q671</f>
        <v>FANTASIE-ANA UW MOULDED SPACER BRA-FL6701-Vanilla-34-H</v>
      </c>
      <c r="W671" s="1" t="s">
        <v>113</v>
      </c>
    </row>
    <row r="672" customFormat="false" ht="15" hidden="true" customHeight="false" outlineLevel="0" collapsed="false">
      <c r="B672" s="29" t="s">
        <v>978</v>
      </c>
      <c r="C672" s="17" t="s">
        <v>37</v>
      </c>
      <c r="D672" s="29" t="s">
        <v>886</v>
      </c>
      <c r="E672" s="2" t="s">
        <v>961</v>
      </c>
      <c r="F672" s="14" t="s">
        <v>40</v>
      </c>
      <c r="G672" s="3" t="s">
        <v>41</v>
      </c>
      <c r="H672" s="108" t="s">
        <v>42</v>
      </c>
      <c r="I672" s="3" t="s">
        <v>43</v>
      </c>
      <c r="K672" s="19" t="s">
        <v>962</v>
      </c>
      <c r="L672" s="19"/>
      <c r="M672" s="29" t="s">
        <v>962</v>
      </c>
      <c r="N672" s="29" t="s">
        <v>970</v>
      </c>
      <c r="O672" s="29" t="s">
        <v>971</v>
      </c>
      <c r="P672" s="17" t="s">
        <v>154</v>
      </c>
      <c r="Q672" s="29" t="s">
        <v>50</v>
      </c>
      <c r="R672" s="16" t="n">
        <v>2079</v>
      </c>
      <c r="S672" s="24" t="n">
        <v>5700</v>
      </c>
      <c r="T672" s="16" t="n">
        <v>1</v>
      </c>
      <c r="U672" s="1" t="str">
        <f aca="false">D672&amp;"-"&amp;E672&amp;"-"&amp;M672&amp;"-"&amp;O672&amp;"-"&amp;P672&amp;"-"&amp;Q672</f>
        <v>FANTASIE-ANA UW MOULDED SPACER BRA-FL6701-Vanilla-38-F</v>
      </c>
      <c r="W672" s="1" t="s">
        <v>113</v>
      </c>
    </row>
    <row r="673" customFormat="false" ht="15" hidden="true" customHeight="false" outlineLevel="0" collapsed="false">
      <c r="B673" s="17" t="s">
        <v>979</v>
      </c>
      <c r="C673" s="17" t="s">
        <v>37</v>
      </c>
      <c r="D673" s="29" t="s">
        <v>886</v>
      </c>
      <c r="E673" s="2" t="s">
        <v>961</v>
      </c>
      <c r="F673" s="14" t="s">
        <v>40</v>
      </c>
      <c r="G673" s="3" t="s">
        <v>41</v>
      </c>
      <c r="H673" s="108" t="s">
        <v>42</v>
      </c>
      <c r="I673" s="3" t="s">
        <v>43</v>
      </c>
      <c r="K673" s="19" t="s">
        <v>962</v>
      </c>
      <c r="L673" s="19"/>
      <c r="M673" s="29" t="s">
        <v>962</v>
      </c>
      <c r="N673" s="17" t="s">
        <v>970</v>
      </c>
      <c r="O673" s="29" t="s">
        <v>971</v>
      </c>
      <c r="P673" s="17" t="s">
        <v>154</v>
      </c>
      <c r="Q673" s="17" t="s">
        <v>62</v>
      </c>
      <c r="R673" s="16" t="n">
        <v>2079</v>
      </c>
      <c r="S673" s="24" t="n">
        <v>5700</v>
      </c>
      <c r="T673" s="16" t="n">
        <v>1</v>
      </c>
      <c r="U673" s="1" t="str">
        <f aca="false">D673&amp;"-"&amp;E673&amp;"-"&amp;M673&amp;"-"&amp;O673&amp;"-"&amp;P673&amp;"-"&amp;Q673</f>
        <v>FANTASIE-ANA UW MOULDED SPACER BRA-FL6701-Vanilla-38-FF</v>
      </c>
      <c r="W673" s="1" t="s">
        <v>113</v>
      </c>
    </row>
    <row r="674" customFormat="false" ht="15" hidden="true" customHeight="false" outlineLevel="0" collapsed="false">
      <c r="B674" s="29" t="s">
        <v>980</v>
      </c>
      <c r="C674" s="17" t="s">
        <v>37</v>
      </c>
      <c r="D674" s="29" t="s">
        <v>886</v>
      </c>
      <c r="E674" s="2" t="s">
        <v>961</v>
      </c>
      <c r="F674" s="14" t="s">
        <v>40</v>
      </c>
      <c r="G674" s="3" t="s">
        <v>41</v>
      </c>
      <c r="H674" s="108" t="s">
        <v>42</v>
      </c>
      <c r="I674" s="3" t="s">
        <v>43</v>
      </c>
      <c r="K674" s="19" t="s">
        <v>962</v>
      </c>
      <c r="L674" s="19"/>
      <c r="M674" s="29" t="s">
        <v>962</v>
      </c>
      <c r="N674" s="29" t="s">
        <v>970</v>
      </c>
      <c r="O674" s="29" t="s">
        <v>971</v>
      </c>
      <c r="P674" s="17" t="s">
        <v>154</v>
      </c>
      <c r="Q674" s="29" t="s">
        <v>105</v>
      </c>
      <c r="R674" s="16" t="n">
        <v>2079</v>
      </c>
      <c r="S674" s="24" t="n">
        <v>5700</v>
      </c>
      <c r="T674" s="16" t="n">
        <v>1</v>
      </c>
      <c r="U674" s="1" t="str">
        <f aca="false">D674&amp;"-"&amp;E674&amp;"-"&amp;M674&amp;"-"&amp;O674&amp;"-"&amp;P674&amp;"-"&amp;Q674</f>
        <v>FANTASIE-ANA UW MOULDED SPACER BRA-FL6701-Vanilla-38-G</v>
      </c>
      <c r="W674" s="1" t="s">
        <v>113</v>
      </c>
    </row>
    <row r="675" customFormat="false" ht="15" hidden="true" customHeight="false" outlineLevel="0" collapsed="false">
      <c r="B675" s="17" t="s">
        <v>981</v>
      </c>
      <c r="C675" s="17" t="s">
        <v>37</v>
      </c>
      <c r="D675" s="29" t="s">
        <v>886</v>
      </c>
      <c r="E675" s="2" t="s">
        <v>961</v>
      </c>
      <c r="F675" s="14" t="s">
        <v>40</v>
      </c>
      <c r="G675" s="3" t="s">
        <v>41</v>
      </c>
      <c r="H675" s="108" t="s">
        <v>42</v>
      </c>
      <c r="I675" s="3" t="s">
        <v>43</v>
      </c>
      <c r="K675" s="19" t="s">
        <v>962</v>
      </c>
      <c r="L675" s="19"/>
      <c r="M675" s="29" t="s">
        <v>962</v>
      </c>
      <c r="N675" s="17" t="s">
        <v>970</v>
      </c>
      <c r="O675" s="29" t="s">
        <v>971</v>
      </c>
      <c r="P675" s="17" t="s">
        <v>417</v>
      </c>
      <c r="Q675" s="17" t="s">
        <v>97</v>
      </c>
      <c r="R675" s="16" t="n">
        <v>2079</v>
      </c>
      <c r="S675" s="24" t="n">
        <v>5700</v>
      </c>
      <c r="T675" s="16" t="n">
        <v>1</v>
      </c>
      <c r="U675" s="1" t="str">
        <f aca="false">D675&amp;"-"&amp;E675&amp;"-"&amp;M675&amp;"-"&amp;O675&amp;"-"&amp;P675&amp;"-"&amp;Q675</f>
        <v>FANTASIE-ANA UW MOULDED SPACER BRA-FL6701-Vanilla-40-D</v>
      </c>
      <c r="W675" s="1" t="s">
        <v>113</v>
      </c>
    </row>
    <row r="676" customFormat="false" ht="15" hidden="true" customHeight="false" outlineLevel="0" collapsed="false">
      <c r="B676" s="29" t="s">
        <v>982</v>
      </c>
      <c r="C676" s="17" t="s">
        <v>37</v>
      </c>
      <c r="D676" s="29" t="s">
        <v>886</v>
      </c>
      <c r="E676" s="2" t="s">
        <v>961</v>
      </c>
      <c r="F676" s="14" t="s">
        <v>40</v>
      </c>
      <c r="G676" s="3" t="s">
        <v>41</v>
      </c>
      <c r="H676" s="108" t="s">
        <v>42</v>
      </c>
      <c r="I676" s="3" t="s">
        <v>43</v>
      </c>
      <c r="K676" s="19" t="s">
        <v>962</v>
      </c>
      <c r="L676" s="19"/>
      <c r="M676" s="29" t="s">
        <v>962</v>
      </c>
      <c r="N676" s="29" t="s">
        <v>970</v>
      </c>
      <c r="O676" s="29" t="s">
        <v>971</v>
      </c>
      <c r="P676" s="17" t="s">
        <v>417</v>
      </c>
      <c r="Q676" s="29" t="s">
        <v>50</v>
      </c>
      <c r="R676" s="16" t="n">
        <v>2079</v>
      </c>
      <c r="S676" s="24" t="n">
        <v>5700</v>
      </c>
      <c r="T676" s="16" t="n">
        <v>1</v>
      </c>
      <c r="U676" s="1" t="str">
        <f aca="false">D676&amp;"-"&amp;E676&amp;"-"&amp;M676&amp;"-"&amp;O676&amp;"-"&amp;P676&amp;"-"&amp;Q676</f>
        <v>FANTASIE-ANA UW MOULDED SPACER BRA-FL6701-Vanilla-40-F</v>
      </c>
      <c r="W676" s="1" t="s">
        <v>113</v>
      </c>
    </row>
    <row r="677" customFormat="false" ht="15" hidden="true" customHeight="false" outlineLevel="0" collapsed="false">
      <c r="B677" s="17" t="s">
        <v>983</v>
      </c>
      <c r="C677" s="17" t="s">
        <v>37</v>
      </c>
      <c r="D677" s="29" t="s">
        <v>886</v>
      </c>
      <c r="E677" s="2" t="s">
        <v>961</v>
      </c>
      <c r="F677" s="14" t="s">
        <v>40</v>
      </c>
      <c r="G677" s="3" t="s">
        <v>41</v>
      </c>
      <c r="H677" s="108" t="s">
        <v>42</v>
      </c>
      <c r="I677" s="3" t="s">
        <v>43</v>
      </c>
      <c r="K677" s="19" t="s">
        <v>962</v>
      </c>
      <c r="L677" s="19"/>
      <c r="M677" s="29" t="s">
        <v>962</v>
      </c>
      <c r="N677" s="17" t="s">
        <v>970</v>
      </c>
      <c r="O677" s="29" t="s">
        <v>971</v>
      </c>
      <c r="P677" s="17" t="s">
        <v>417</v>
      </c>
      <c r="Q677" s="17" t="s">
        <v>62</v>
      </c>
      <c r="R677" s="16" t="n">
        <v>2079</v>
      </c>
      <c r="S677" s="24" t="n">
        <v>5700</v>
      </c>
      <c r="T677" s="16" t="n">
        <v>1</v>
      </c>
      <c r="U677" s="1" t="str">
        <f aca="false">D677&amp;"-"&amp;E677&amp;"-"&amp;M677&amp;"-"&amp;O677&amp;"-"&amp;P677&amp;"-"&amp;Q677</f>
        <v>FANTASIE-ANA UW MOULDED SPACER BRA-FL6701-Vanilla-40-FF</v>
      </c>
      <c r="W677" s="1" t="s">
        <v>113</v>
      </c>
    </row>
    <row r="678" customFormat="false" ht="15" hidden="true" customHeight="false" outlineLevel="0" collapsed="false">
      <c r="B678" s="17" t="s">
        <v>984</v>
      </c>
      <c r="C678" s="17" t="s">
        <v>37</v>
      </c>
      <c r="D678" s="29" t="s">
        <v>886</v>
      </c>
      <c r="E678" s="2" t="s">
        <v>961</v>
      </c>
      <c r="F678" s="14" t="s">
        <v>40</v>
      </c>
      <c r="G678" s="3" t="s">
        <v>41</v>
      </c>
      <c r="H678" s="108" t="s">
        <v>42</v>
      </c>
      <c r="I678" s="3" t="s">
        <v>43</v>
      </c>
      <c r="K678" s="19" t="s">
        <v>962</v>
      </c>
      <c r="L678" s="19"/>
      <c r="M678" s="29" t="s">
        <v>962</v>
      </c>
      <c r="N678" s="17" t="s">
        <v>985</v>
      </c>
      <c r="O678" s="17" t="s">
        <v>986</v>
      </c>
      <c r="P678" s="17" t="s">
        <v>134</v>
      </c>
      <c r="Q678" s="17" t="s">
        <v>97</v>
      </c>
      <c r="R678" s="16" t="n">
        <v>3717.252</v>
      </c>
      <c r="S678" s="24" t="n">
        <v>5700</v>
      </c>
      <c r="T678" s="16" t="n">
        <v>1</v>
      </c>
      <c r="U678" s="1" t="str">
        <f aca="false">D678&amp;"-"&amp;E678&amp;"-"&amp;M678&amp;"-"&amp;O678&amp;"-"&amp;P678&amp;"-"&amp;Q678</f>
        <v>FANTASIE-ANA UW MOULDED SPACER BRA-FL6701-Brick red-34-D</v>
      </c>
      <c r="W678" s="1" t="s">
        <v>113</v>
      </c>
    </row>
    <row r="679" customFormat="false" ht="15" hidden="true" customHeight="false" outlineLevel="0" collapsed="false">
      <c r="B679" s="29" t="s">
        <v>987</v>
      </c>
      <c r="C679" s="17" t="s">
        <v>37</v>
      </c>
      <c r="D679" s="29" t="s">
        <v>886</v>
      </c>
      <c r="E679" s="2" t="s">
        <v>961</v>
      </c>
      <c r="F679" s="14" t="s">
        <v>40</v>
      </c>
      <c r="G679" s="3" t="s">
        <v>41</v>
      </c>
      <c r="H679" s="108" t="s">
        <v>42</v>
      </c>
      <c r="I679" s="3" t="s">
        <v>43</v>
      </c>
      <c r="K679" s="19" t="s">
        <v>962</v>
      </c>
      <c r="L679" s="19"/>
      <c r="M679" s="29" t="s">
        <v>962</v>
      </c>
      <c r="N679" s="29" t="s">
        <v>963</v>
      </c>
      <c r="O679" s="17" t="s">
        <v>964</v>
      </c>
      <c r="P679" s="29" t="s">
        <v>154</v>
      </c>
      <c r="Q679" s="29" t="s">
        <v>66</v>
      </c>
      <c r="R679" s="16" t="n">
        <v>2772.25</v>
      </c>
      <c r="S679" s="24" t="n">
        <v>5700</v>
      </c>
      <c r="T679" s="16" t="n">
        <v>1</v>
      </c>
      <c r="U679" s="1" t="str">
        <f aca="false">D679&amp;"-"&amp;E679&amp;"-"&amp;M679&amp;"-"&amp;O679&amp;"-"&amp;P679&amp;"-"&amp;Q679</f>
        <v>FANTASIE-ANA UW MOULDED SPACER BRA-FL6701-SAGE BLUE-38-E</v>
      </c>
      <c r="W679" s="1" t="s">
        <v>113</v>
      </c>
    </row>
    <row r="680" customFormat="false" ht="15" hidden="true" customHeight="false" outlineLevel="0" collapsed="false">
      <c r="B680" s="29" t="s">
        <v>988</v>
      </c>
      <c r="C680" s="17" t="s">
        <v>37</v>
      </c>
      <c r="D680" s="29" t="s">
        <v>886</v>
      </c>
      <c r="E680" s="2" t="s">
        <v>961</v>
      </c>
      <c r="F680" s="14" t="s">
        <v>40</v>
      </c>
      <c r="G680" s="3" t="s">
        <v>41</v>
      </c>
      <c r="H680" s="108" t="s">
        <v>42</v>
      </c>
      <c r="I680" s="3" t="s">
        <v>43</v>
      </c>
      <c r="K680" s="19" t="s">
        <v>962</v>
      </c>
      <c r="L680" s="19"/>
      <c r="M680" s="29" t="s">
        <v>962</v>
      </c>
      <c r="N680" s="29" t="s">
        <v>963</v>
      </c>
      <c r="O680" s="17" t="s">
        <v>964</v>
      </c>
      <c r="P680" s="29" t="s">
        <v>154</v>
      </c>
      <c r="Q680" s="29" t="s">
        <v>50</v>
      </c>
      <c r="R680" s="24" t="n">
        <v>2772</v>
      </c>
      <c r="S680" s="24" t="n">
        <v>5700</v>
      </c>
      <c r="T680" s="16" t="n">
        <v>1</v>
      </c>
      <c r="U680" s="1" t="str">
        <f aca="false">D680&amp;"-"&amp;E680&amp;"-"&amp;M680&amp;"-"&amp;O680&amp;"-"&amp;P680&amp;"-"&amp;Q680</f>
        <v>FANTASIE-ANA UW MOULDED SPACER BRA-FL6701-SAGE BLUE-38-F</v>
      </c>
      <c r="W680" s="1" t="s">
        <v>113</v>
      </c>
    </row>
    <row r="681" customFormat="false" ht="15" hidden="true" customHeight="false" outlineLevel="0" collapsed="false">
      <c r="B681" s="29" t="s">
        <v>989</v>
      </c>
      <c r="C681" s="17" t="s">
        <v>37</v>
      </c>
      <c r="D681" s="29" t="s">
        <v>886</v>
      </c>
      <c r="E681" s="2" t="s">
        <v>961</v>
      </c>
      <c r="F681" s="14" t="s">
        <v>40</v>
      </c>
      <c r="G681" s="3" t="s">
        <v>41</v>
      </c>
      <c r="H681" s="108" t="s">
        <v>42</v>
      </c>
      <c r="I681" s="3" t="s">
        <v>43</v>
      </c>
      <c r="K681" s="19" t="s">
        <v>962</v>
      </c>
      <c r="L681" s="19"/>
      <c r="M681" s="29" t="s">
        <v>962</v>
      </c>
      <c r="N681" s="29" t="s">
        <v>528</v>
      </c>
      <c r="O681" s="17" t="s">
        <v>528</v>
      </c>
      <c r="P681" s="29" t="s">
        <v>154</v>
      </c>
      <c r="Q681" s="29" t="s">
        <v>66</v>
      </c>
      <c r="R681" s="16" t="n">
        <v>2772.25</v>
      </c>
      <c r="S681" s="24" t="n">
        <v>5700</v>
      </c>
      <c r="T681" s="16" t="n">
        <v>1</v>
      </c>
      <c r="U681" s="1" t="str">
        <f aca="false">D681&amp;"-"&amp;E681&amp;"-"&amp;M681&amp;"-"&amp;O681&amp;"-"&amp;P681&amp;"-"&amp;Q681</f>
        <v>FANTASIE-ANA UW MOULDED SPACER BRA-FL6701-RED-38-E</v>
      </c>
      <c r="W681" s="1" t="s">
        <v>113</v>
      </c>
    </row>
    <row r="682" customFormat="false" ht="15" hidden="true" customHeight="false" outlineLevel="0" collapsed="false">
      <c r="B682" s="29" t="s">
        <v>990</v>
      </c>
      <c r="C682" s="17" t="s">
        <v>37</v>
      </c>
      <c r="D682" s="29" t="s">
        <v>886</v>
      </c>
      <c r="E682" s="2" t="s">
        <v>961</v>
      </c>
      <c r="F682" s="14" t="s">
        <v>40</v>
      </c>
      <c r="G682" s="3" t="s">
        <v>41</v>
      </c>
      <c r="H682" s="108" t="s">
        <v>42</v>
      </c>
      <c r="I682" s="3" t="s">
        <v>43</v>
      </c>
      <c r="K682" s="19" t="s">
        <v>962</v>
      </c>
      <c r="L682" s="19"/>
      <c r="M682" s="29" t="s">
        <v>962</v>
      </c>
      <c r="N682" s="29" t="s">
        <v>528</v>
      </c>
      <c r="O682" s="17" t="s">
        <v>528</v>
      </c>
      <c r="P682" s="29" t="s">
        <v>417</v>
      </c>
      <c r="Q682" s="29" t="s">
        <v>50</v>
      </c>
      <c r="R682" s="16" t="n">
        <v>2772.25</v>
      </c>
      <c r="S682" s="24" t="n">
        <v>5700</v>
      </c>
      <c r="T682" s="16" t="n">
        <v>1</v>
      </c>
      <c r="U682" s="1" t="str">
        <f aca="false">D682&amp;"-"&amp;E682&amp;"-"&amp;M682&amp;"-"&amp;O682&amp;"-"&amp;P682&amp;"-"&amp;Q682</f>
        <v>FANTASIE-ANA UW MOULDED SPACER BRA-FL6701-RED-40-F</v>
      </c>
      <c r="W682" s="1" t="s">
        <v>113</v>
      </c>
    </row>
    <row r="683" customFormat="false" ht="15" hidden="true" customHeight="false" outlineLevel="0" collapsed="false">
      <c r="B683" s="29" t="s">
        <v>991</v>
      </c>
      <c r="C683" s="17" t="s">
        <v>37</v>
      </c>
      <c r="D683" s="29" t="s">
        <v>886</v>
      </c>
      <c r="E683" s="2" t="s">
        <v>961</v>
      </c>
      <c r="F683" s="14" t="s">
        <v>40</v>
      </c>
      <c r="G683" s="3" t="s">
        <v>41</v>
      </c>
      <c r="H683" s="108" t="s">
        <v>42</v>
      </c>
      <c r="I683" s="3" t="s">
        <v>43</v>
      </c>
      <c r="K683" s="19" t="s">
        <v>962</v>
      </c>
      <c r="L683" s="19"/>
      <c r="M683" s="29" t="s">
        <v>962</v>
      </c>
      <c r="N683" s="29" t="s">
        <v>76</v>
      </c>
      <c r="O683" s="17" t="s">
        <v>77</v>
      </c>
      <c r="P683" s="29" t="s">
        <v>154</v>
      </c>
      <c r="Q683" s="29" t="s">
        <v>50</v>
      </c>
      <c r="R683" s="16" t="n">
        <v>2079</v>
      </c>
      <c r="S683" s="24" t="n">
        <v>5700</v>
      </c>
      <c r="T683" s="16" t="n">
        <v>1</v>
      </c>
      <c r="U683" s="1" t="str">
        <f aca="false">D683&amp;"-"&amp;E683&amp;"-"&amp;M683&amp;"-"&amp;O683&amp;"-"&amp;P683&amp;"-"&amp;Q683</f>
        <v>FANTASIE-ANA UW MOULDED SPACER BRA-FL6701-BLACK-38-F</v>
      </c>
      <c r="W683" s="1" t="s">
        <v>113</v>
      </c>
    </row>
    <row r="684" customFormat="false" ht="15" hidden="true" customHeight="false" outlineLevel="0" collapsed="false">
      <c r="B684" s="29" t="s">
        <v>992</v>
      </c>
      <c r="C684" s="17" t="s">
        <v>37</v>
      </c>
      <c r="D684" s="29" t="s">
        <v>886</v>
      </c>
      <c r="E684" s="2" t="s">
        <v>961</v>
      </c>
      <c r="F684" s="14" t="s">
        <v>40</v>
      </c>
      <c r="G684" s="3" t="s">
        <v>41</v>
      </c>
      <c r="H684" s="108" t="s">
        <v>42</v>
      </c>
      <c r="I684" s="3" t="s">
        <v>43</v>
      </c>
      <c r="K684" s="19" t="s">
        <v>962</v>
      </c>
      <c r="L684" s="19"/>
      <c r="M684" s="29" t="s">
        <v>962</v>
      </c>
      <c r="N684" s="29" t="s">
        <v>119</v>
      </c>
      <c r="O684" s="29" t="s">
        <v>465</v>
      </c>
      <c r="P684" s="29" t="s">
        <v>154</v>
      </c>
      <c r="Q684" s="29" t="s">
        <v>50</v>
      </c>
      <c r="R684" s="16" t="n">
        <v>2079</v>
      </c>
      <c r="S684" s="24" t="n">
        <v>5700</v>
      </c>
      <c r="T684" s="16" t="n">
        <v>1</v>
      </c>
      <c r="U684" s="1" t="str">
        <f aca="false">D684&amp;"-"&amp;E684&amp;"-"&amp;M684&amp;"-"&amp;O684&amp;"-"&amp;P684&amp;"-"&amp;Q684</f>
        <v>FANTASIE-ANA UW MOULDED SPACER BRA-FL6701-SKIN-38-F</v>
      </c>
      <c r="W684" s="1" t="s">
        <v>113</v>
      </c>
    </row>
    <row r="685" customFormat="false" ht="15" hidden="true" customHeight="false" outlineLevel="0" collapsed="false">
      <c r="B685" s="29" t="s">
        <v>993</v>
      </c>
      <c r="C685" s="17" t="s">
        <v>37</v>
      </c>
      <c r="D685" s="29" t="s">
        <v>886</v>
      </c>
      <c r="E685" s="2" t="s">
        <v>961</v>
      </c>
      <c r="F685" s="14" t="s">
        <v>40</v>
      </c>
      <c r="G685" s="3" t="s">
        <v>41</v>
      </c>
      <c r="H685" s="108" t="s">
        <v>42</v>
      </c>
      <c r="I685" s="3" t="s">
        <v>43</v>
      </c>
      <c r="K685" s="19" t="s">
        <v>962</v>
      </c>
      <c r="L685" s="19"/>
      <c r="M685" s="29" t="s">
        <v>962</v>
      </c>
      <c r="N685" s="29" t="s">
        <v>76</v>
      </c>
      <c r="O685" s="17" t="s">
        <v>77</v>
      </c>
      <c r="P685" s="17" t="s">
        <v>154</v>
      </c>
      <c r="Q685" s="17" t="s">
        <v>62</v>
      </c>
      <c r="R685" s="16" t="n">
        <v>2079</v>
      </c>
      <c r="S685" s="24" t="n">
        <v>5700</v>
      </c>
      <c r="T685" s="16" t="n">
        <v>1</v>
      </c>
      <c r="U685" s="1" t="str">
        <f aca="false">D685&amp;"-"&amp;E685&amp;"-"&amp;M685&amp;"-"&amp;O685&amp;"-"&amp;P685&amp;"-"&amp;Q685</f>
        <v>FANTASIE-ANA UW MOULDED SPACER BRA-FL6701-BLACK-38-FF</v>
      </c>
      <c r="W685" s="1" t="s">
        <v>113</v>
      </c>
    </row>
    <row r="686" customFormat="false" ht="15" hidden="true" customHeight="false" outlineLevel="0" collapsed="false">
      <c r="B686" s="17" t="s">
        <v>992</v>
      </c>
      <c r="C686" s="17" t="s">
        <v>37</v>
      </c>
      <c r="D686" s="29" t="s">
        <v>886</v>
      </c>
      <c r="E686" s="2" t="s">
        <v>961</v>
      </c>
      <c r="F686" s="14" t="s">
        <v>40</v>
      </c>
      <c r="G686" s="3" t="s">
        <v>41</v>
      </c>
      <c r="H686" s="108" t="s">
        <v>42</v>
      </c>
      <c r="I686" s="3" t="s">
        <v>43</v>
      </c>
      <c r="K686" s="19" t="s">
        <v>962</v>
      </c>
      <c r="L686" s="19"/>
      <c r="M686" s="29" t="s">
        <v>962</v>
      </c>
      <c r="N686" s="29" t="s">
        <v>119</v>
      </c>
      <c r="O686" s="29" t="s">
        <v>465</v>
      </c>
      <c r="P686" s="29" t="s">
        <v>154</v>
      </c>
      <c r="Q686" s="29" t="s">
        <v>105</v>
      </c>
      <c r="R686" s="16" t="n">
        <v>2079</v>
      </c>
      <c r="S686" s="24" t="n">
        <v>5700</v>
      </c>
      <c r="T686" s="16" t="n">
        <v>1</v>
      </c>
      <c r="U686" s="1" t="str">
        <f aca="false">D686&amp;"-"&amp;E686&amp;"-"&amp;M686&amp;"-"&amp;O686&amp;"-"&amp;P686&amp;"-"&amp;Q686</f>
        <v>FANTASIE-ANA UW MOULDED SPACER BRA-FL6701-SKIN-38-G</v>
      </c>
      <c r="W686" s="1" t="s">
        <v>113</v>
      </c>
    </row>
    <row r="687" customFormat="false" ht="15" hidden="true" customHeight="false" outlineLevel="0" collapsed="false">
      <c r="B687" s="20" t="s">
        <v>994</v>
      </c>
      <c r="C687" s="20" t="s">
        <v>37</v>
      </c>
      <c r="D687" s="20" t="s">
        <v>886</v>
      </c>
      <c r="E687" s="86" t="s">
        <v>961</v>
      </c>
      <c r="F687" s="14" t="s">
        <v>40</v>
      </c>
      <c r="G687" s="3" t="s">
        <v>41</v>
      </c>
      <c r="H687" s="108" t="s">
        <v>42</v>
      </c>
      <c r="I687" s="3" t="s">
        <v>43</v>
      </c>
      <c r="K687" s="19" t="s">
        <v>962</v>
      </c>
      <c r="L687" s="19"/>
      <c r="M687" s="20" t="s">
        <v>962</v>
      </c>
      <c r="N687" s="20" t="s">
        <v>528</v>
      </c>
      <c r="O687" s="20" t="s">
        <v>528</v>
      </c>
      <c r="P687" s="20" t="s">
        <v>417</v>
      </c>
      <c r="Q687" s="20" t="s">
        <v>62</v>
      </c>
      <c r="R687" s="16" t="n">
        <v>2772.25</v>
      </c>
      <c r="S687" s="16" t="n">
        <v>5700</v>
      </c>
      <c r="T687" s="16" t="n">
        <v>1</v>
      </c>
      <c r="U687" s="1" t="str">
        <f aca="false">D687&amp;"-"&amp;E687&amp;"-"&amp;M687&amp;"-"&amp;O687&amp;"-"&amp;P687&amp;"-"&amp;Q687</f>
        <v>FANTASIE-ANA UW MOULDED SPACER BRA-FL6701-RED-40-FF</v>
      </c>
      <c r="W687" s="1" t="s">
        <v>113</v>
      </c>
    </row>
    <row r="688" customFormat="false" ht="15" hidden="true" customHeight="false" outlineLevel="0" collapsed="false">
      <c r="B688" s="20" t="s">
        <v>995</v>
      </c>
      <c r="C688" s="20" t="s">
        <v>37</v>
      </c>
      <c r="D688" s="20" t="s">
        <v>886</v>
      </c>
      <c r="E688" s="17" t="s">
        <v>996</v>
      </c>
      <c r="F688" s="14" t="s">
        <v>997</v>
      </c>
      <c r="G688" s="3" t="s">
        <v>41</v>
      </c>
      <c r="H688" s="108" t="s">
        <v>42</v>
      </c>
      <c r="I688" s="3" t="s">
        <v>43</v>
      </c>
      <c r="K688" s="4" t="s">
        <v>998</v>
      </c>
      <c r="L688" s="19"/>
      <c r="M688" s="20" t="s">
        <v>999</v>
      </c>
      <c r="N688" s="20" t="s">
        <v>1000</v>
      </c>
      <c r="O688" s="20" t="s">
        <v>465</v>
      </c>
      <c r="P688" s="20" t="s">
        <v>92</v>
      </c>
      <c r="Q688" s="20" t="s">
        <v>105</v>
      </c>
      <c r="R688" s="16" t="n">
        <v>2772</v>
      </c>
      <c r="S688" s="16" t="n">
        <v>5700</v>
      </c>
      <c r="T688" s="16" t="n">
        <v>5</v>
      </c>
      <c r="U688" s="1" t="str">
        <f aca="false">D688&amp;"-"&amp;E688&amp;"-"&amp;M688&amp;"-"&amp;O688&amp;"-"&amp;P688&amp;"-"&amp;Q688</f>
        <v>FANTASIE-SMOOTHING MOULDED STRAPLESS-FL4530-SKIN-32-G</v>
      </c>
      <c r="W688" s="1" t="s">
        <v>113</v>
      </c>
    </row>
    <row r="689" customFormat="false" ht="15" hidden="true" customHeight="false" outlineLevel="0" collapsed="false">
      <c r="B689" s="17" t="s">
        <v>1001</v>
      </c>
      <c r="C689" s="17" t="s">
        <v>37</v>
      </c>
      <c r="D689" s="29" t="s">
        <v>886</v>
      </c>
      <c r="E689" s="17" t="s">
        <v>996</v>
      </c>
      <c r="F689" s="14" t="s">
        <v>997</v>
      </c>
      <c r="G689" s="3" t="s">
        <v>41</v>
      </c>
      <c r="H689" s="108" t="s">
        <v>42</v>
      </c>
      <c r="I689" s="3" t="s">
        <v>43</v>
      </c>
      <c r="K689" s="19" t="s">
        <v>1002</v>
      </c>
      <c r="L689" s="19"/>
      <c r="M689" s="29" t="s">
        <v>999</v>
      </c>
      <c r="N689" s="17" t="s">
        <v>76</v>
      </c>
      <c r="O689" s="17" t="s">
        <v>77</v>
      </c>
      <c r="P689" s="17" t="s">
        <v>55</v>
      </c>
      <c r="Q689" s="17" t="s">
        <v>66</v>
      </c>
      <c r="R689" s="16" t="n">
        <v>2772.24</v>
      </c>
      <c r="S689" s="24" t="n">
        <v>5700</v>
      </c>
      <c r="T689" s="16" t="n">
        <v>1</v>
      </c>
      <c r="U689" s="1" t="str">
        <f aca="false">D689&amp;"-"&amp;E689&amp;"-"&amp;M689&amp;"-"&amp;O689&amp;"-"&amp;P689&amp;"-"&amp;Q689</f>
        <v>FANTASIE-SMOOTHING MOULDED STRAPLESS-FL4530-BLACK-30-E</v>
      </c>
      <c r="W689" s="1" t="s">
        <v>113</v>
      </c>
    </row>
    <row r="690" customFormat="false" ht="15" hidden="true" customHeight="false" outlineLevel="0" collapsed="false">
      <c r="B690" s="29" t="s">
        <v>1003</v>
      </c>
      <c r="C690" s="17" t="s">
        <v>37</v>
      </c>
      <c r="D690" s="29" t="s">
        <v>886</v>
      </c>
      <c r="E690" s="17" t="s">
        <v>996</v>
      </c>
      <c r="F690" s="14" t="s">
        <v>997</v>
      </c>
      <c r="G690" s="3" t="s">
        <v>41</v>
      </c>
      <c r="H690" s="108" t="s">
        <v>42</v>
      </c>
      <c r="I690" s="3" t="s">
        <v>43</v>
      </c>
      <c r="K690" s="19" t="s">
        <v>1004</v>
      </c>
      <c r="L690" s="19"/>
      <c r="M690" s="29" t="s">
        <v>999</v>
      </c>
      <c r="N690" s="29" t="s">
        <v>76</v>
      </c>
      <c r="O690" s="17" t="s">
        <v>77</v>
      </c>
      <c r="P690" s="29" t="s">
        <v>55</v>
      </c>
      <c r="Q690" s="29" t="s">
        <v>50</v>
      </c>
      <c r="R690" s="16" t="n">
        <v>2772.24</v>
      </c>
      <c r="S690" s="24" t="n">
        <v>5700</v>
      </c>
      <c r="T690" s="16" t="n">
        <v>1</v>
      </c>
      <c r="U690" s="1" t="str">
        <f aca="false">D690&amp;"-"&amp;E690&amp;"-"&amp;M690&amp;"-"&amp;O690&amp;"-"&amp;P690&amp;"-"&amp;Q690</f>
        <v>FANTASIE-SMOOTHING MOULDED STRAPLESS-FL4530-BLACK-30-F</v>
      </c>
      <c r="W690" s="1" t="s">
        <v>113</v>
      </c>
    </row>
    <row r="691" customFormat="false" ht="15" hidden="true" customHeight="false" outlineLevel="0" collapsed="false">
      <c r="B691" s="17" t="s">
        <v>1005</v>
      </c>
      <c r="C691" s="17" t="s">
        <v>37</v>
      </c>
      <c r="D691" s="29" t="s">
        <v>886</v>
      </c>
      <c r="E691" s="17" t="s">
        <v>996</v>
      </c>
      <c r="F691" s="14" t="s">
        <v>997</v>
      </c>
      <c r="G691" s="3" t="s">
        <v>41</v>
      </c>
      <c r="H691" s="108" t="s">
        <v>42</v>
      </c>
      <c r="I691" s="3" t="s">
        <v>43</v>
      </c>
      <c r="K691" s="19" t="s">
        <v>1006</v>
      </c>
      <c r="L691" s="19"/>
      <c r="M691" s="29" t="s">
        <v>999</v>
      </c>
      <c r="N691" s="17" t="s">
        <v>76</v>
      </c>
      <c r="O691" s="17" t="s">
        <v>77</v>
      </c>
      <c r="P691" s="17" t="s">
        <v>55</v>
      </c>
      <c r="Q691" s="17" t="s">
        <v>62</v>
      </c>
      <c r="R691" s="16" t="n">
        <v>2772.24</v>
      </c>
      <c r="S691" s="24" t="n">
        <v>5700</v>
      </c>
      <c r="T691" s="16" t="n">
        <v>2</v>
      </c>
      <c r="U691" s="1" t="str">
        <f aca="false">D691&amp;"-"&amp;E691&amp;"-"&amp;M691&amp;"-"&amp;O691&amp;"-"&amp;P691&amp;"-"&amp;Q691</f>
        <v>FANTASIE-SMOOTHING MOULDED STRAPLESS-FL4530-BLACK-30-FF</v>
      </c>
      <c r="W691" s="1" t="s">
        <v>113</v>
      </c>
    </row>
    <row r="692" customFormat="false" ht="15" hidden="true" customHeight="false" outlineLevel="0" collapsed="false">
      <c r="B692" s="29" t="s">
        <v>1007</v>
      </c>
      <c r="C692" s="17" t="s">
        <v>37</v>
      </c>
      <c r="D692" s="29" t="s">
        <v>886</v>
      </c>
      <c r="E692" s="17" t="s">
        <v>996</v>
      </c>
      <c r="F692" s="14" t="s">
        <v>997</v>
      </c>
      <c r="G692" s="3" t="s">
        <v>41</v>
      </c>
      <c r="H692" s="108" t="s">
        <v>42</v>
      </c>
      <c r="I692" s="3" t="s">
        <v>43</v>
      </c>
      <c r="K692" s="19" t="s">
        <v>1008</v>
      </c>
      <c r="L692" s="19"/>
      <c r="M692" s="29" t="s">
        <v>999</v>
      </c>
      <c r="N692" s="29" t="s">
        <v>76</v>
      </c>
      <c r="O692" s="17" t="s">
        <v>77</v>
      </c>
      <c r="P692" s="29" t="s">
        <v>55</v>
      </c>
      <c r="Q692" s="29" t="s">
        <v>105</v>
      </c>
      <c r="R692" s="16" t="n">
        <v>2772</v>
      </c>
      <c r="S692" s="24" t="n">
        <v>5700</v>
      </c>
      <c r="T692" s="16" t="n">
        <v>1</v>
      </c>
      <c r="U692" s="1" t="str">
        <f aca="false">D692&amp;"-"&amp;E692&amp;"-"&amp;M692&amp;"-"&amp;O692&amp;"-"&amp;P692&amp;"-"&amp;Q692</f>
        <v>FANTASIE-SMOOTHING MOULDED STRAPLESS-FL4530-BLACK-30-G</v>
      </c>
      <c r="W692" s="1" t="s">
        <v>113</v>
      </c>
    </row>
    <row r="693" customFormat="false" ht="15" hidden="true" customHeight="false" outlineLevel="0" collapsed="false">
      <c r="B693" s="29" t="s">
        <v>1009</v>
      </c>
      <c r="C693" s="17" t="s">
        <v>37</v>
      </c>
      <c r="D693" s="29" t="s">
        <v>886</v>
      </c>
      <c r="E693" s="17" t="s">
        <v>996</v>
      </c>
      <c r="F693" s="14" t="s">
        <v>997</v>
      </c>
      <c r="G693" s="3" t="s">
        <v>41</v>
      </c>
      <c r="H693" s="108" t="s">
        <v>42</v>
      </c>
      <c r="I693" s="3" t="s">
        <v>43</v>
      </c>
      <c r="K693" s="19" t="s">
        <v>999</v>
      </c>
      <c r="L693" s="19"/>
      <c r="M693" s="29" t="s">
        <v>999</v>
      </c>
      <c r="N693" s="29" t="s">
        <v>76</v>
      </c>
      <c r="O693" s="17" t="s">
        <v>77</v>
      </c>
      <c r="P693" s="29" t="s">
        <v>92</v>
      </c>
      <c r="Q693" s="29" t="s">
        <v>56</v>
      </c>
      <c r="R693" s="16" t="n">
        <v>2772.24</v>
      </c>
      <c r="S693" s="24" t="n">
        <v>5700</v>
      </c>
      <c r="T693" s="16" t="n">
        <v>0</v>
      </c>
      <c r="U693" s="1" t="str">
        <f aca="false">D693&amp;"-"&amp;E693&amp;"-"&amp;M693&amp;"-"&amp;O693&amp;"-"&amp;P693&amp;"-"&amp;Q693</f>
        <v>FANTASIE-SMOOTHING MOULDED STRAPLESS-FL4530-BLACK-32-DD</v>
      </c>
      <c r="W693" s="1" t="s">
        <v>113</v>
      </c>
    </row>
    <row r="694" customFormat="false" ht="15" hidden="true" customHeight="false" outlineLevel="0" collapsed="false">
      <c r="B694" s="17" t="s">
        <v>1010</v>
      </c>
      <c r="C694" s="17" t="s">
        <v>37</v>
      </c>
      <c r="D694" s="29" t="s">
        <v>886</v>
      </c>
      <c r="E694" s="17" t="s">
        <v>996</v>
      </c>
      <c r="F694" s="14" t="s">
        <v>997</v>
      </c>
      <c r="G694" s="3" t="s">
        <v>41</v>
      </c>
      <c r="H694" s="108" t="s">
        <v>42</v>
      </c>
      <c r="I694" s="3" t="s">
        <v>43</v>
      </c>
      <c r="K694" s="19" t="s">
        <v>1011</v>
      </c>
      <c r="L694" s="19"/>
      <c r="M694" s="29" t="s">
        <v>999</v>
      </c>
      <c r="N694" s="17" t="s">
        <v>76</v>
      </c>
      <c r="O694" s="17" t="s">
        <v>77</v>
      </c>
      <c r="P694" s="17" t="s">
        <v>92</v>
      </c>
      <c r="Q694" s="17" t="s">
        <v>66</v>
      </c>
      <c r="R694" s="16" t="n">
        <v>2772.24</v>
      </c>
      <c r="S694" s="24" t="n">
        <v>5700</v>
      </c>
      <c r="T694" s="16" t="n">
        <v>0</v>
      </c>
      <c r="U694" s="1" t="str">
        <f aca="false">D694&amp;"-"&amp;E694&amp;"-"&amp;M694&amp;"-"&amp;O694&amp;"-"&amp;P694&amp;"-"&amp;Q694</f>
        <v>FANTASIE-SMOOTHING MOULDED STRAPLESS-FL4530-BLACK-32-E</v>
      </c>
      <c r="W694" s="1" t="s">
        <v>113</v>
      </c>
    </row>
    <row r="695" customFormat="false" ht="15" hidden="true" customHeight="false" outlineLevel="0" collapsed="false">
      <c r="B695" s="29" t="s">
        <v>1012</v>
      </c>
      <c r="C695" s="17" t="s">
        <v>37</v>
      </c>
      <c r="D695" s="29" t="s">
        <v>886</v>
      </c>
      <c r="E695" s="17" t="s">
        <v>996</v>
      </c>
      <c r="F695" s="14" t="s">
        <v>997</v>
      </c>
      <c r="G695" s="3" t="s">
        <v>41</v>
      </c>
      <c r="H695" s="108" t="s">
        <v>42</v>
      </c>
      <c r="I695" s="3" t="s">
        <v>43</v>
      </c>
      <c r="K695" s="19" t="s">
        <v>1013</v>
      </c>
      <c r="L695" s="19"/>
      <c r="M695" s="29" t="s">
        <v>999</v>
      </c>
      <c r="N695" s="29" t="s">
        <v>76</v>
      </c>
      <c r="O695" s="17" t="s">
        <v>77</v>
      </c>
      <c r="P695" s="29" t="s">
        <v>92</v>
      </c>
      <c r="Q695" s="29" t="s">
        <v>50</v>
      </c>
      <c r="R695" s="16" t="n">
        <v>2772</v>
      </c>
      <c r="S695" s="24" t="n">
        <v>5700</v>
      </c>
      <c r="T695" s="16" t="n">
        <v>0</v>
      </c>
      <c r="U695" s="1" t="str">
        <f aca="false">D695&amp;"-"&amp;E695&amp;"-"&amp;M695&amp;"-"&amp;O695&amp;"-"&amp;P695&amp;"-"&amp;Q695</f>
        <v>FANTASIE-SMOOTHING MOULDED STRAPLESS-FL4530-BLACK-32-F</v>
      </c>
      <c r="W695" s="1" t="s">
        <v>113</v>
      </c>
    </row>
    <row r="696" customFormat="false" ht="15" hidden="true" customHeight="false" outlineLevel="0" collapsed="false">
      <c r="B696" s="17" t="s">
        <v>1014</v>
      </c>
      <c r="C696" s="17" t="s">
        <v>37</v>
      </c>
      <c r="D696" s="29" t="s">
        <v>886</v>
      </c>
      <c r="E696" s="17" t="s">
        <v>996</v>
      </c>
      <c r="F696" s="14" t="s">
        <v>997</v>
      </c>
      <c r="G696" s="3" t="s">
        <v>41</v>
      </c>
      <c r="H696" s="108" t="s">
        <v>42</v>
      </c>
      <c r="I696" s="3" t="s">
        <v>43</v>
      </c>
      <c r="K696" s="19" t="s">
        <v>1015</v>
      </c>
      <c r="L696" s="19"/>
      <c r="M696" s="29" t="s">
        <v>999</v>
      </c>
      <c r="N696" s="17" t="s">
        <v>76</v>
      </c>
      <c r="O696" s="17" t="s">
        <v>77</v>
      </c>
      <c r="P696" s="17" t="s">
        <v>92</v>
      </c>
      <c r="Q696" s="17" t="s">
        <v>62</v>
      </c>
      <c r="R696" s="16" t="n">
        <v>2772</v>
      </c>
      <c r="S696" s="24" t="n">
        <v>5700</v>
      </c>
      <c r="T696" s="16" t="n">
        <v>0</v>
      </c>
      <c r="U696" s="1" t="str">
        <f aca="false">D696&amp;"-"&amp;E696&amp;"-"&amp;M696&amp;"-"&amp;O696&amp;"-"&amp;P696&amp;"-"&amp;Q696</f>
        <v>FANTASIE-SMOOTHING MOULDED STRAPLESS-FL4530-BLACK-32-FF</v>
      </c>
      <c r="W696" s="1" t="s">
        <v>113</v>
      </c>
    </row>
    <row r="697" customFormat="false" ht="15" hidden="true" customHeight="false" outlineLevel="0" collapsed="false">
      <c r="B697" s="17" t="s">
        <v>1016</v>
      </c>
      <c r="C697" s="17" t="s">
        <v>37</v>
      </c>
      <c r="D697" s="29" t="s">
        <v>886</v>
      </c>
      <c r="E697" s="17" t="s">
        <v>996</v>
      </c>
      <c r="F697" s="14" t="s">
        <v>997</v>
      </c>
      <c r="G697" s="3" t="s">
        <v>41</v>
      </c>
      <c r="H697" s="108" t="s">
        <v>42</v>
      </c>
      <c r="I697" s="3" t="s">
        <v>43</v>
      </c>
      <c r="K697" s="19" t="s">
        <v>1017</v>
      </c>
      <c r="L697" s="19"/>
      <c r="M697" s="29" t="s">
        <v>999</v>
      </c>
      <c r="N697" s="17" t="s">
        <v>76</v>
      </c>
      <c r="O697" s="17" t="s">
        <v>77</v>
      </c>
      <c r="P697" s="17" t="s">
        <v>134</v>
      </c>
      <c r="Q697" s="17" t="s">
        <v>50</v>
      </c>
      <c r="R697" s="16" t="n">
        <v>2772</v>
      </c>
      <c r="S697" s="24" t="n">
        <v>5700</v>
      </c>
      <c r="T697" s="16" t="n">
        <v>0</v>
      </c>
      <c r="U697" s="1" t="str">
        <f aca="false">D697&amp;"-"&amp;E697&amp;"-"&amp;M697&amp;"-"&amp;O697&amp;"-"&amp;P697&amp;"-"&amp;Q697</f>
        <v>FANTASIE-SMOOTHING MOULDED STRAPLESS-FL4530-BLACK-34-F</v>
      </c>
      <c r="W697" s="1" t="s">
        <v>113</v>
      </c>
    </row>
    <row r="698" customFormat="false" ht="15" hidden="true" customHeight="false" outlineLevel="0" collapsed="false">
      <c r="B698" s="29" t="s">
        <v>1018</v>
      </c>
      <c r="C698" s="17" t="s">
        <v>37</v>
      </c>
      <c r="D698" s="29" t="s">
        <v>886</v>
      </c>
      <c r="E698" s="17" t="s">
        <v>996</v>
      </c>
      <c r="F698" s="14" t="s">
        <v>997</v>
      </c>
      <c r="G698" s="3" t="s">
        <v>41</v>
      </c>
      <c r="H698" s="108" t="s">
        <v>42</v>
      </c>
      <c r="I698" s="3" t="s">
        <v>43</v>
      </c>
      <c r="K698" s="19" t="s">
        <v>1019</v>
      </c>
      <c r="L698" s="19"/>
      <c r="M698" s="29" t="s">
        <v>999</v>
      </c>
      <c r="N698" s="29" t="s">
        <v>76</v>
      </c>
      <c r="O698" s="17" t="s">
        <v>77</v>
      </c>
      <c r="P698" s="29" t="s">
        <v>134</v>
      </c>
      <c r="Q698" s="29" t="s">
        <v>62</v>
      </c>
      <c r="R698" s="16" t="n">
        <v>2772</v>
      </c>
      <c r="S698" s="24" t="n">
        <v>5700</v>
      </c>
      <c r="T698" s="16" t="n">
        <v>0</v>
      </c>
      <c r="U698" s="1" t="str">
        <f aca="false">D698&amp;"-"&amp;E698&amp;"-"&amp;M698&amp;"-"&amp;O698&amp;"-"&amp;P698&amp;"-"&amp;Q698</f>
        <v>FANTASIE-SMOOTHING MOULDED STRAPLESS-FL4530-BLACK-34-FF</v>
      </c>
      <c r="W698" s="1" t="s">
        <v>113</v>
      </c>
    </row>
    <row r="699" customFormat="false" ht="15" hidden="true" customHeight="false" outlineLevel="0" collapsed="false">
      <c r="B699" s="17" t="s">
        <v>1020</v>
      </c>
      <c r="C699" s="17" t="s">
        <v>37</v>
      </c>
      <c r="D699" s="29" t="s">
        <v>886</v>
      </c>
      <c r="E699" s="17" t="s">
        <v>996</v>
      </c>
      <c r="F699" s="14" t="s">
        <v>997</v>
      </c>
      <c r="G699" s="3" t="s">
        <v>41</v>
      </c>
      <c r="H699" s="108" t="s">
        <v>42</v>
      </c>
      <c r="I699" s="3" t="s">
        <v>43</v>
      </c>
      <c r="K699" s="19" t="s">
        <v>1021</v>
      </c>
      <c r="L699" s="19"/>
      <c r="M699" s="29" t="s">
        <v>999</v>
      </c>
      <c r="N699" s="17" t="s">
        <v>76</v>
      </c>
      <c r="O699" s="17" t="s">
        <v>77</v>
      </c>
      <c r="P699" s="17" t="s">
        <v>134</v>
      </c>
      <c r="Q699" s="17" t="s">
        <v>105</v>
      </c>
      <c r="R699" s="16" t="n">
        <v>2772</v>
      </c>
      <c r="S699" s="24" t="n">
        <v>5700</v>
      </c>
      <c r="T699" s="16" t="n">
        <v>3</v>
      </c>
      <c r="U699" s="1" t="str">
        <f aca="false">D699&amp;"-"&amp;E699&amp;"-"&amp;M699&amp;"-"&amp;O699&amp;"-"&amp;P699&amp;"-"&amp;Q699</f>
        <v>FANTASIE-SMOOTHING MOULDED STRAPLESS-FL4530-BLACK-34-G</v>
      </c>
      <c r="W699" s="1" t="s">
        <v>113</v>
      </c>
    </row>
    <row r="700" customFormat="false" ht="15" hidden="true" customHeight="false" outlineLevel="0" collapsed="false">
      <c r="B700" s="29" t="s">
        <v>1022</v>
      </c>
      <c r="C700" s="17" t="s">
        <v>37</v>
      </c>
      <c r="D700" s="29" t="s">
        <v>886</v>
      </c>
      <c r="E700" s="17" t="s">
        <v>996</v>
      </c>
      <c r="F700" s="14" t="s">
        <v>997</v>
      </c>
      <c r="G700" s="3" t="s">
        <v>41</v>
      </c>
      <c r="H700" s="108" t="s">
        <v>42</v>
      </c>
      <c r="I700" s="3" t="s">
        <v>43</v>
      </c>
      <c r="K700" s="19" t="s">
        <v>1023</v>
      </c>
      <c r="L700" s="19"/>
      <c r="M700" s="29" t="s">
        <v>999</v>
      </c>
      <c r="N700" s="29" t="s">
        <v>76</v>
      </c>
      <c r="O700" s="17" t="s">
        <v>77</v>
      </c>
      <c r="P700" s="29" t="s">
        <v>65</v>
      </c>
      <c r="Q700" s="29" t="s">
        <v>56</v>
      </c>
      <c r="R700" s="16" t="n">
        <v>2772</v>
      </c>
      <c r="S700" s="24" t="n">
        <v>5700</v>
      </c>
      <c r="T700" s="16" t="n">
        <v>1</v>
      </c>
      <c r="U700" s="1" t="str">
        <f aca="false">D700&amp;"-"&amp;E700&amp;"-"&amp;M700&amp;"-"&amp;O700&amp;"-"&amp;P700&amp;"-"&amp;Q700</f>
        <v>FANTASIE-SMOOTHING MOULDED STRAPLESS-FL4530-BLACK-36-DD</v>
      </c>
      <c r="W700" s="1" t="s">
        <v>113</v>
      </c>
    </row>
    <row r="701" customFormat="false" ht="15" hidden="true" customHeight="false" outlineLevel="0" collapsed="false">
      <c r="B701" s="29" t="s">
        <v>1024</v>
      </c>
      <c r="C701" s="17" t="s">
        <v>37</v>
      </c>
      <c r="D701" s="29" t="s">
        <v>886</v>
      </c>
      <c r="E701" s="17" t="s">
        <v>996</v>
      </c>
      <c r="F701" s="14" t="s">
        <v>997</v>
      </c>
      <c r="G701" s="3" t="s">
        <v>41</v>
      </c>
      <c r="H701" s="108" t="s">
        <v>42</v>
      </c>
      <c r="I701" s="3" t="s">
        <v>43</v>
      </c>
      <c r="K701" s="19" t="s">
        <v>1025</v>
      </c>
      <c r="L701" s="19"/>
      <c r="M701" s="29" t="s">
        <v>999</v>
      </c>
      <c r="N701" s="29" t="s">
        <v>76</v>
      </c>
      <c r="O701" s="17" t="s">
        <v>77</v>
      </c>
      <c r="P701" s="29" t="s">
        <v>65</v>
      </c>
      <c r="Q701" s="29" t="s">
        <v>66</v>
      </c>
      <c r="R701" s="16" t="n">
        <v>2772</v>
      </c>
      <c r="S701" s="24" t="n">
        <v>5700</v>
      </c>
      <c r="T701" s="16" t="n">
        <v>1</v>
      </c>
      <c r="U701" s="1" t="str">
        <f aca="false">D701&amp;"-"&amp;E701&amp;"-"&amp;M701&amp;"-"&amp;O701&amp;"-"&amp;P701&amp;"-"&amp;Q701</f>
        <v>FANTASIE-SMOOTHING MOULDED STRAPLESS-FL4530-BLACK-36-E</v>
      </c>
      <c r="W701" s="1" t="s">
        <v>113</v>
      </c>
    </row>
    <row r="702" customFormat="false" ht="15" hidden="true" customHeight="false" outlineLevel="0" collapsed="false">
      <c r="B702" s="29" t="s">
        <v>1026</v>
      </c>
      <c r="C702" s="17" t="s">
        <v>37</v>
      </c>
      <c r="D702" s="29" t="s">
        <v>886</v>
      </c>
      <c r="E702" s="17" t="s">
        <v>996</v>
      </c>
      <c r="F702" s="14" t="s">
        <v>997</v>
      </c>
      <c r="G702" s="3" t="s">
        <v>41</v>
      </c>
      <c r="H702" s="108" t="s">
        <v>42</v>
      </c>
      <c r="I702" s="3" t="s">
        <v>43</v>
      </c>
      <c r="K702" s="19" t="s">
        <v>1027</v>
      </c>
      <c r="L702" s="19"/>
      <c r="M702" s="29" t="s">
        <v>999</v>
      </c>
      <c r="N702" s="29" t="s">
        <v>76</v>
      </c>
      <c r="O702" s="17" t="s">
        <v>77</v>
      </c>
      <c r="P702" s="29" t="s">
        <v>65</v>
      </c>
      <c r="Q702" s="29" t="s">
        <v>50</v>
      </c>
      <c r="R702" s="16" t="n">
        <v>2772</v>
      </c>
      <c r="S702" s="24" t="n">
        <v>5700</v>
      </c>
      <c r="T702" s="16" t="n">
        <v>1</v>
      </c>
      <c r="U702" s="1" t="str">
        <f aca="false">D702&amp;"-"&amp;E702&amp;"-"&amp;M702&amp;"-"&amp;O702&amp;"-"&amp;P702&amp;"-"&amp;Q702</f>
        <v>FANTASIE-SMOOTHING MOULDED STRAPLESS-FL4530-BLACK-36-F</v>
      </c>
      <c r="W702" s="1" t="s">
        <v>113</v>
      </c>
    </row>
    <row r="703" customFormat="false" ht="15" hidden="true" customHeight="false" outlineLevel="0" collapsed="false">
      <c r="B703" s="17" t="s">
        <v>1028</v>
      </c>
      <c r="C703" s="17" t="s">
        <v>37</v>
      </c>
      <c r="D703" s="29" t="s">
        <v>886</v>
      </c>
      <c r="E703" s="17" t="s">
        <v>996</v>
      </c>
      <c r="F703" s="14" t="s">
        <v>997</v>
      </c>
      <c r="G703" s="3" t="s">
        <v>41</v>
      </c>
      <c r="H703" s="108" t="s">
        <v>42</v>
      </c>
      <c r="I703" s="3" t="s">
        <v>43</v>
      </c>
      <c r="K703" s="19" t="s">
        <v>1029</v>
      </c>
      <c r="L703" s="19"/>
      <c r="M703" s="29" t="s">
        <v>999</v>
      </c>
      <c r="N703" s="17" t="s">
        <v>76</v>
      </c>
      <c r="O703" s="17" t="s">
        <v>77</v>
      </c>
      <c r="P703" s="29" t="s">
        <v>65</v>
      </c>
      <c r="Q703" s="17" t="s">
        <v>62</v>
      </c>
      <c r="R703" s="16" t="n">
        <v>2772</v>
      </c>
      <c r="S703" s="24" t="n">
        <v>5700</v>
      </c>
      <c r="T703" s="16" t="n">
        <v>1</v>
      </c>
      <c r="U703" s="1" t="str">
        <f aca="false">D703&amp;"-"&amp;E703&amp;"-"&amp;M703&amp;"-"&amp;O703&amp;"-"&amp;P703&amp;"-"&amp;Q703</f>
        <v>FANTASIE-SMOOTHING MOULDED STRAPLESS-FL4530-BLACK-36-FF</v>
      </c>
      <c r="W703" s="1" t="s">
        <v>113</v>
      </c>
    </row>
    <row r="704" customFormat="false" ht="15" hidden="true" customHeight="false" outlineLevel="0" collapsed="false">
      <c r="B704" s="29" t="s">
        <v>1030</v>
      </c>
      <c r="C704" s="17" t="s">
        <v>37</v>
      </c>
      <c r="D704" s="29" t="s">
        <v>886</v>
      </c>
      <c r="E704" s="17" t="s">
        <v>996</v>
      </c>
      <c r="F704" s="14" t="s">
        <v>997</v>
      </c>
      <c r="G704" s="3" t="s">
        <v>41</v>
      </c>
      <c r="H704" s="108" t="s">
        <v>42</v>
      </c>
      <c r="I704" s="3" t="s">
        <v>43</v>
      </c>
      <c r="K704" s="19" t="s">
        <v>999</v>
      </c>
      <c r="L704" s="19"/>
      <c r="M704" s="29" t="s">
        <v>999</v>
      </c>
      <c r="N704" s="29" t="s">
        <v>76</v>
      </c>
      <c r="O704" s="17" t="s">
        <v>77</v>
      </c>
      <c r="P704" s="29" t="s">
        <v>154</v>
      </c>
      <c r="Q704" s="29" t="s">
        <v>97</v>
      </c>
      <c r="R704" s="16" t="n">
        <v>2772.24</v>
      </c>
      <c r="S704" s="24" t="n">
        <v>5700</v>
      </c>
      <c r="T704" s="16" t="n">
        <v>1</v>
      </c>
      <c r="U704" s="1" t="str">
        <f aca="false">D704&amp;"-"&amp;E704&amp;"-"&amp;M704&amp;"-"&amp;O704&amp;"-"&amp;P704&amp;"-"&amp;Q704</f>
        <v>FANTASIE-SMOOTHING MOULDED STRAPLESS-FL4530-BLACK-38-D</v>
      </c>
      <c r="W704" s="1" t="s">
        <v>113</v>
      </c>
    </row>
    <row r="705" customFormat="false" ht="15" hidden="true" customHeight="false" outlineLevel="0" collapsed="false">
      <c r="B705" s="17" t="s">
        <v>1031</v>
      </c>
      <c r="C705" s="17" t="s">
        <v>37</v>
      </c>
      <c r="D705" s="29" t="s">
        <v>886</v>
      </c>
      <c r="E705" s="17" t="s">
        <v>996</v>
      </c>
      <c r="F705" s="14" t="s">
        <v>997</v>
      </c>
      <c r="G705" s="3" t="s">
        <v>41</v>
      </c>
      <c r="H705" s="108" t="s">
        <v>42</v>
      </c>
      <c r="I705" s="3" t="s">
        <v>43</v>
      </c>
      <c r="K705" s="19" t="s">
        <v>1032</v>
      </c>
      <c r="L705" s="19"/>
      <c r="M705" s="29" t="s">
        <v>999</v>
      </c>
      <c r="N705" s="17" t="s">
        <v>76</v>
      </c>
      <c r="O705" s="17" t="s">
        <v>77</v>
      </c>
      <c r="P705" s="29" t="s">
        <v>154</v>
      </c>
      <c r="Q705" s="17" t="s">
        <v>56</v>
      </c>
      <c r="R705" s="16" t="n">
        <v>2772</v>
      </c>
      <c r="S705" s="24" t="n">
        <v>5700</v>
      </c>
      <c r="T705" s="16" t="n">
        <v>0</v>
      </c>
      <c r="U705" s="1" t="str">
        <f aca="false">D705&amp;"-"&amp;E705&amp;"-"&amp;M705&amp;"-"&amp;O705&amp;"-"&amp;P705&amp;"-"&amp;Q705</f>
        <v>FANTASIE-SMOOTHING MOULDED STRAPLESS-FL4530-BLACK-38-DD</v>
      </c>
      <c r="W705" s="1" t="s">
        <v>113</v>
      </c>
    </row>
    <row r="706" customFormat="false" ht="15" hidden="true" customHeight="false" outlineLevel="0" collapsed="false">
      <c r="B706" s="29" t="s">
        <v>1033</v>
      </c>
      <c r="C706" s="17" t="s">
        <v>37</v>
      </c>
      <c r="D706" s="29" t="s">
        <v>886</v>
      </c>
      <c r="E706" s="17" t="s">
        <v>996</v>
      </c>
      <c r="F706" s="14" t="s">
        <v>997</v>
      </c>
      <c r="G706" s="3" t="s">
        <v>41</v>
      </c>
      <c r="H706" s="108" t="s">
        <v>42</v>
      </c>
      <c r="I706" s="3" t="s">
        <v>43</v>
      </c>
      <c r="K706" s="19" t="s">
        <v>1034</v>
      </c>
      <c r="L706" s="19"/>
      <c r="M706" s="29" t="s">
        <v>999</v>
      </c>
      <c r="N706" s="29" t="s">
        <v>76</v>
      </c>
      <c r="O706" s="17" t="s">
        <v>77</v>
      </c>
      <c r="P706" s="29" t="s">
        <v>154</v>
      </c>
      <c r="Q706" s="29" t="s">
        <v>66</v>
      </c>
      <c r="R706" s="16" t="n">
        <v>2772</v>
      </c>
      <c r="S706" s="24" t="n">
        <v>5700</v>
      </c>
      <c r="T706" s="16" t="n">
        <v>1</v>
      </c>
      <c r="U706" s="1" t="str">
        <f aca="false">D706&amp;"-"&amp;E706&amp;"-"&amp;M706&amp;"-"&amp;O706&amp;"-"&amp;P706&amp;"-"&amp;Q706</f>
        <v>FANTASIE-SMOOTHING MOULDED STRAPLESS-FL4530-BLACK-38-E</v>
      </c>
      <c r="W706" s="1" t="s">
        <v>113</v>
      </c>
    </row>
    <row r="707" customFormat="false" ht="15" hidden="true" customHeight="false" outlineLevel="0" collapsed="false">
      <c r="B707" s="17" t="s">
        <v>1035</v>
      </c>
      <c r="C707" s="17" t="s">
        <v>37</v>
      </c>
      <c r="D707" s="29" t="s">
        <v>886</v>
      </c>
      <c r="E707" s="17" t="s">
        <v>996</v>
      </c>
      <c r="F707" s="14" t="s">
        <v>997</v>
      </c>
      <c r="G707" s="3" t="s">
        <v>41</v>
      </c>
      <c r="H707" s="108" t="s">
        <v>42</v>
      </c>
      <c r="I707" s="3" t="s">
        <v>43</v>
      </c>
      <c r="K707" s="19" t="s">
        <v>1036</v>
      </c>
      <c r="L707" s="19"/>
      <c r="M707" s="29" t="s">
        <v>999</v>
      </c>
      <c r="N707" s="17" t="s">
        <v>76</v>
      </c>
      <c r="O707" s="17" t="s">
        <v>77</v>
      </c>
      <c r="P707" s="29" t="s">
        <v>154</v>
      </c>
      <c r="Q707" s="17" t="s">
        <v>50</v>
      </c>
      <c r="R707" s="16" t="n">
        <v>2772</v>
      </c>
      <c r="S707" s="24" t="n">
        <v>5700</v>
      </c>
      <c r="T707" s="16" t="n">
        <v>1</v>
      </c>
      <c r="U707" s="1" t="str">
        <f aca="false">D707&amp;"-"&amp;E707&amp;"-"&amp;M707&amp;"-"&amp;O707&amp;"-"&amp;P707&amp;"-"&amp;Q707</f>
        <v>FANTASIE-SMOOTHING MOULDED STRAPLESS-FL4530-BLACK-38-F</v>
      </c>
      <c r="W707" s="1" t="s">
        <v>113</v>
      </c>
    </row>
    <row r="708" customFormat="false" ht="15" hidden="true" customHeight="false" outlineLevel="0" collapsed="false">
      <c r="B708" s="17" t="s">
        <v>1037</v>
      </c>
      <c r="C708" s="17" t="s">
        <v>37</v>
      </c>
      <c r="D708" s="29" t="s">
        <v>886</v>
      </c>
      <c r="E708" s="17" t="s">
        <v>996</v>
      </c>
      <c r="F708" s="14" t="s">
        <v>997</v>
      </c>
      <c r="G708" s="3" t="s">
        <v>41</v>
      </c>
      <c r="H708" s="108" t="s">
        <v>42</v>
      </c>
      <c r="I708" s="3" t="s">
        <v>43</v>
      </c>
      <c r="K708" s="19" t="s">
        <v>1038</v>
      </c>
      <c r="L708" s="19"/>
      <c r="M708" s="29" t="s">
        <v>999</v>
      </c>
      <c r="N708" s="17" t="s">
        <v>76</v>
      </c>
      <c r="O708" s="17" t="s">
        <v>77</v>
      </c>
      <c r="P708" s="17" t="s">
        <v>440</v>
      </c>
      <c r="Q708" s="17" t="s">
        <v>97</v>
      </c>
      <c r="R708" s="16" t="n">
        <v>2772</v>
      </c>
      <c r="S708" s="24" t="n">
        <v>5700</v>
      </c>
      <c r="T708" s="16" t="n">
        <v>1</v>
      </c>
      <c r="U708" s="1" t="str">
        <f aca="false">D708&amp;"-"&amp;E708&amp;"-"&amp;M708&amp;"-"&amp;O708&amp;"-"&amp;P708&amp;"-"&amp;Q708</f>
        <v>FANTASIE-SMOOTHING MOULDED STRAPLESS-FL4530-BLACK-42-D</v>
      </c>
      <c r="W708" s="1" t="s">
        <v>113</v>
      </c>
    </row>
    <row r="709" customFormat="false" ht="15" hidden="true" customHeight="false" outlineLevel="0" collapsed="false">
      <c r="B709" s="29" t="s">
        <v>1039</v>
      </c>
      <c r="C709" s="17" t="s">
        <v>37</v>
      </c>
      <c r="D709" s="29" t="s">
        <v>886</v>
      </c>
      <c r="E709" s="17" t="s">
        <v>996</v>
      </c>
      <c r="F709" s="14" t="s">
        <v>997</v>
      </c>
      <c r="G709" s="3" t="s">
        <v>41</v>
      </c>
      <c r="H709" s="108" t="s">
        <v>42</v>
      </c>
      <c r="I709" s="3" t="s">
        <v>43</v>
      </c>
      <c r="K709" s="19" t="s">
        <v>1040</v>
      </c>
      <c r="L709" s="19"/>
      <c r="M709" s="29" t="s">
        <v>999</v>
      </c>
      <c r="N709" s="29" t="s">
        <v>1000</v>
      </c>
      <c r="O709" s="29" t="s">
        <v>465</v>
      </c>
      <c r="P709" s="29" t="s">
        <v>55</v>
      </c>
      <c r="Q709" s="29" t="s">
        <v>66</v>
      </c>
      <c r="R709" s="16" t="n">
        <v>2772.24</v>
      </c>
      <c r="S709" s="24" t="n">
        <v>5700</v>
      </c>
      <c r="T709" s="16" t="n">
        <v>1</v>
      </c>
      <c r="U709" s="1" t="str">
        <f aca="false">D709&amp;"-"&amp;E709&amp;"-"&amp;M709&amp;"-"&amp;O709&amp;"-"&amp;P709&amp;"-"&amp;Q709</f>
        <v>FANTASIE-SMOOTHING MOULDED STRAPLESS-FL4530-SKIN-30-E</v>
      </c>
      <c r="W709" s="1" t="s">
        <v>113</v>
      </c>
    </row>
    <row r="710" customFormat="false" ht="15" hidden="true" customHeight="false" outlineLevel="0" collapsed="false">
      <c r="B710" s="29" t="s">
        <v>1041</v>
      </c>
      <c r="C710" s="17" t="s">
        <v>37</v>
      </c>
      <c r="D710" s="29" t="s">
        <v>886</v>
      </c>
      <c r="E710" s="17" t="s">
        <v>996</v>
      </c>
      <c r="F710" s="14" t="s">
        <v>997</v>
      </c>
      <c r="G710" s="3" t="s">
        <v>41</v>
      </c>
      <c r="H710" s="108" t="s">
        <v>42</v>
      </c>
      <c r="I710" s="3" t="s">
        <v>43</v>
      </c>
      <c r="K710" s="19" t="s">
        <v>999</v>
      </c>
      <c r="L710" s="19"/>
      <c r="M710" s="29" t="s">
        <v>999</v>
      </c>
      <c r="N710" s="29" t="s">
        <v>1000</v>
      </c>
      <c r="O710" s="29" t="s">
        <v>465</v>
      </c>
      <c r="P710" s="29" t="s">
        <v>55</v>
      </c>
      <c r="Q710" s="29" t="s">
        <v>50</v>
      </c>
      <c r="R710" s="16" t="n">
        <v>2772</v>
      </c>
      <c r="S710" s="24" t="n">
        <v>5700</v>
      </c>
      <c r="T710" s="16" t="n">
        <v>1</v>
      </c>
      <c r="U710" s="1" t="str">
        <f aca="false">D710&amp;"-"&amp;E710&amp;"-"&amp;M710&amp;"-"&amp;O710&amp;"-"&amp;P710&amp;"-"&amp;Q710</f>
        <v>FANTASIE-SMOOTHING MOULDED STRAPLESS-FL4530-SKIN-30-F</v>
      </c>
      <c r="W710" s="1" t="s">
        <v>113</v>
      </c>
    </row>
    <row r="711" customFormat="false" ht="15" hidden="true" customHeight="false" outlineLevel="0" collapsed="false">
      <c r="B711" s="17" t="s">
        <v>1042</v>
      </c>
      <c r="C711" s="17" t="s">
        <v>37</v>
      </c>
      <c r="D711" s="29" t="s">
        <v>886</v>
      </c>
      <c r="E711" s="17" t="s">
        <v>996</v>
      </c>
      <c r="F711" s="14" t="s">
        <v>997</v>
      </c>
      <c r="G711" s="3" t="s">
        <v>41</v>
      </c>
      <c r="H711" s="108" t="s">
        <v>42</v>
      </c>
      <c r="I711" s="3" t="s">
        <v>43</v>
      </c>
      <c r="K711" s="19" t="s">
        <v>999</v>
      </c>
      <c r="L711" s="19"/>
      <c r="M711" s="29" t="s">
        <v>999</v>
      </c>
      <c r="N711" s="17" t="s">
        <v>1000</v>
      </c>
      <c r="O711" s="29" t="s">
        <v>465</v>
      </c>
      <c r="P711" s="17" t="s">
        <v>55</v>
      </c>
      <c r="Q711" s="17" t="s">
        <v>62</v>
      </c>
      <c r="R711" s="16" t="n">
        <v>2772.24</v>
      </c>
      <c r="S711" s="24" t="n">
        <v>5700</v>
      </c>
      <c r="T711" s="16" t="n">
        <v>0</v>
      </c>
      <c r="U711" s="1" t="str">
        <f aca="false">D711&amp;"-"&amp;E711&amp;"-"&amp;M711&amp;"-"&amp;O711&amp;"-"&amp;P711&amp;"-"&amp;Q711</f>
        <v>FANTASIE-SMOOTHING MOULDED STRAPLESS-FL4530-SKIN-30-FF</v>
      </c>
      <c r="W711" s="1" t="s">
        <v>113</v>
      </c>
    </row>
    <row r="712" customFormat="false" ht="15" hidden="true" customHeight="false" outlineLevel="0" collapsed="false">
      <c r="B712" s="17" t="s">
        <v>1043</v>
      </c>
      <c r="C712" s="17" t="s">
        <v>37</v>
      </c>
      <c r="D712" s="29" t="s">
        <v>886</v>
      </c>
      <c r="E712" s="17" t="s">
        <v>996</v>
      </c>
      <c r="F712" s="14" t="s">
        <v>997</v>
      </c>
      <c r="G712" s="3" t="s">
        <v>41</v>
      </c>
      <c r="H712" s="108" t="s">
        <v>42</v>
      </c>
      <c r="I712" s="3" t="s">
        <v>43</v>
      </c>
      <c r="K712" s="19" t="s">
        <v>1044</v>
      </c>
      <c r="L712" s="19"/>
      <c r="M712" s="29" t="s">
        <v>999</v>
      </c>
      <c r="N712" s="17" t="s">
        <v>1000</v>
      </c>
      <c r="O712" s="29" t="s">
        <v>465</v>
      </c>
      <c r="P712" s="29" t="s">
        <v>55</v>
      </c>
      <c r="Q712" s="17" t="s">
        <v>105</v>
      </c>
      <c r="R712" s="16" t="n">
        <v>2772</v>
      </c>
      <c r="S712" s="24" t="n">
        <v>5700</v>
      </c>
      <c r="T712" s="16" t="n">
        <v>2</v>
      </c>
      <c r="U712" s="1" t="str">
        <f aca="false">D712&amp;"-"&amp;E712&amp;"-"&amp;M712&amp;"-"&amp;O712&amp;"-"&amp;P712&amp;"-"&amp;Q712</f>
        <v>FANTASIE-SMOOTHING MOULDED STRAPLESS-FL4530-SKIN-30-G</v>
      </c>
      <c r="W712" s="1" t="s">
        <v>113</v>
      </c>
    </row>
    <row r="713" customFormat="false" ht="15" hidden="true" customHeight="false" outlineLevel="0" collapsed="false">
      <c r="B713" s="29" t="s">
        <v>1045</v>
      </c>
      <c r="C713" s="17" t="s">
        <v>37</v>
      </c>
      <c r="D713" s="29" t="s">
        <v>886</v>
      </c>
      <c r="E713" s="17" t="s">
        <v>996</v>
      </c>
      <c r="F713" s="14" t="s">
        <v>997</v>
      </c>
      <c r="G713" s="3" t="s">
        <v>41</v>
      </c>
      <c r="H713" s="108" t="s">
        <v>42</v>
      </c>
      <c r="I713" s="3" t="s">
        <v>43</v>
      </c>
      <c r="K713" s="19" t="s">
        <v>1046</v>
      </c>
      <c r="L713" s="19"/>
      <c r="M713" s="29" t="s">
        <v>999</v>
      </c>
      <c r="N713" s="29" t="s">
        <v>1000</v>
      </c>
      <c r="O713" s="29" t="s">
        <v>465</v>
      </c>
      <c r="P713" s="29" t="s">
        <v>92</v>
      </c>
      <c r="Q713" s="29" t="s">
        <v>56</v>
      </c>
      <c r="R713" s="16" t="n">
        <v>2772</v>
      </c>
      <c r="S713" s="24" t="n">
        <v>5700</v>
      </c>
      <c r="T713" s="16" t="n">
        <v>1</v>
      </c>
      <c r="U713" s="1" t="str">
        <f aca="false">D713&amp;"-"&amp;E713&amp;"-"&amp;M713&amp;"-"&amp;O713&amp;"-"&amp;P713&amp;"-"&amp;Q713</f>
        <v>FANTASIE-SMOOTHING MOULDED STRAPLESS-FL4530-SKIN-32-DD</v>
      </c>
      <c r="W713" s="1" t="s">
        <v>113</v>
      </c>
    </row>
    <row r="714" customFormat="false" ht="15" hidden="true" customHeight="false" outlineLevel="0" collapsed="false">
      <c r="B714" s="17" t="s">
        <v>1047</v>
      </c>
      <c r="C714" s="17" t="s">
        <v>37</v>
      </c>
      <c r="D714" s="29" t="s">
        <v>886</v>
      </c>
      <c r="E714" s="17" t="s">
        <v>996</v>
      </c>
      <c r="F714" s="14" t="s">
        <v>997</v>
      </c>
      <c r="G714" s="3" t="s">
        <v>41</v>
      </c>
      <c r="H714" s="108" t="s">
        <v>42</v>
      </c>
      <c r="I714" s="3" t="s">
        <v>43</v>
      </c>
      <c r="K714" s="19" t="s">
        <v>1048</v>
      </c>
      <c r="L714" s="19"/>
      <c r="M714" s="29" t="s">
        <v>999</v>
      </c>
      <c r="N714" s="17" t="s">
        <v>1000</v>
      </c>
      <c r="O714" s="29" t="s">
        <v>465</v>
      </c>
      <c r="P714" s="17" t="s">
        <v>92</v>
      </c>
      <c r="Q714" s="17" t="s">
        <v>66</v>
      </c>
      <c r="R714" s="16" t="n">
        <v>2772</v>
      </c>
      <c r="S714" s="24" t="n">
        <v>5700</v>
      </c>
      <c r="T714" s="16" t="n">
        <v>0</v>
      </c>
      <c r="U714" s="1" t="str">
        <f aca="false">D714&amp;"-"&amp;E714&amp;"-"&amp;M714&amp;"-"&amp;O714&amp;"-"&amp;P714&amp;"-"&amp;Q714</f>
        <v>FANTASIE-SMOOTHING MOULDED STRAPLESS-FL4530-SKIN-32-E</v>
      </c>
      <c r="W714" s="1" t="s">
        <v>113</v>
      </c>
    </row>
    <row r="715" customFormat="false" ht="15" hidden="true" customHeight="false" outlineLevel="0" collapsed="false">
      <c r="B715" s="29" t="s">
        <v>1049</v>
      </c>
      <c r="C715" s="17" t="s">
        <v>37</v>
      </c>
      <c r="D715" s="29" t="s">
        <v>886</v>
      </c>
      <c r="E715" s="17" t="s">
        <v>996</v>
      </c>
      <c r="F715" s="14" t="s">
        <v>997</v>
      </c>
      <c r="G715" s="3" t="s">
        <v>41</v>
      </c>
      <c r="H715" s="108" t="s">
        <v>42</v>
      </c>
      <c r="I715" s="3" t="s">
        <v>43</v>
      </c>
      <c r="K715" s="19" t="s">
        <v>1050</v>
      </c>
      <c r="L715" s="19"/>
      <c r="M715" s="29" t="s">
        <v>999</v>
      </c>
      <c r="N715" s="29" t="s">
        <v>1000</v>
      </c>
      <c r="O715" s="29" t="s">
        <v>465</v>
      </c>
      <c r="P715" s="29" t="s">
        <v>92</v>
      </c>
      <c r="Q715" s="29" t="s">
        <v>50</v>
      </c>
      <c r="R715" s="16" t="n">
        <v>2772</v>
      </c>
      <c r="S715" s="24" t="n">
        <v>5700</v>
      </c>
      <c r="T715" s="16" t="n">
        <v>1</v>
      </c>
      <c r="U715" s="1" t="str">
        <f aca="false">D715&amp;"-"&amp;E715&amp;"-"&amp;M715&amp;"-"&amp;O715&amp;"-"&amp;P715&amp;"-"&amp;Q715</f>
        <v>FANTASIE-SMOOTHING MOULDED STRAPLESS-FL4530-SKIN-32-F</v>
      </c>
      <c r="W715" s="1" t="s">
        <v>113</v>
      </c>
    </row>
    <row r="716" customFormat="false" ht="15" hidden="true" customHeight="false" outlineLevel="0" collapsed="false">
      <c r="B716" s="17" t="s">
        <v>1051</v>
      </c>
      <c r="C716" s="17" t="s">
        <v>37</v>
      </c>
      <c r="D716" s="29" t="s">
        <v>886</v>
      </c>
      <c r="E716" s="17" t="s">
        <v>996</v>
      </c>
      <c r="F716" s="14" t="s">
        <v>997</v>
      </c>
      <c r="G716" s="3" t="s">
        <v>41</v>
      </c>
      <c r="H716" s="108" t="s">
        <v>42</v>
      </c>
      <c r="I716" s="3" t="s">
        <v>43</v>
      </c>
      <c r="K716" s="19" t="s">
        <v>1052</v>
      </c>
      <c r="L716" s="19"/>
      <c r="M716" s="29" t="s">
        <v>999</v>
      </c>
      <c r="N716" s="17" t="s">
        <v>1000</v>
      </c>
      <c r="O716" s="29" t="s">
        <v>465</v>
      </c>
      <c r="P716" s="17" t="s">
        <v>92</v>
      </c>
      <c r="Q716" s="17" t="s">
        <v>62</v>
      </c>
      <c r="R716" s="16" t="n">
        <v>2772</v>
      </c>
      <c r="S716" s="24" t="n">
        <v>5700</v>
      </c>
      <c r="T716" s="16" t="n">
        <v>0</v>
      </c>
      <c r="U716" s="1" t="str">
        <f aca="false">D716&amp;"-"&amp;E716&amp;"-"&amp;M716&amp;"-"&amp;O716&amp;"-"&amp;P716&amp;"-"&amp;Q716</f>
        <v>FANTASIE-SMOOTHING MOULDED STRAPLESS-FL4530-SKIN-32-FF</v>
      </c>
      <c r="W716" s="1" t="s">
        <v>113</v>
      </c>
    </row>
    <row r="717" customFormat="false" ht="15" hidden="true" customHeight="false" outlineLevel="0" collapsed="false">
      <c r="B717" s="17" t="s">
        <v>1053</v>
      </c>
      <c r="C717" s="17" t="s">
        <v>37</v>
      </c>
      <c r="D717" s="29" t="s">
        <v>886</v>
      </c>
      <c r="E717" s="17" t="s">
        <v>996</v>
      </c>
      <c r="F717" s="14" t="s">
        <v>997</v>
      </c>
      <c r="G717" s="3" t="s">
        <v>41</v>
      </c>
      <c r="H717" s="108" t="s">
        <v>42</v>
      </c>
      <c r="I717" s="3" t="s">
        <v>43</v>
      </c>
      <c r="K717" s="19" t="s">
        <v>1052</v>
      </c>
      <c r="L717" s="19"/>
      <c r="M717" s="29" t="s">
        <v>999</v>
      </c>
      <c r="N717" s="17" t="s">
        <v>1000</v>
      </c>
      <c r="O717" s="29" t="s">
        <v>465</v>
      </c>
      <c r="P717" s="17" t="s">
        <v>134</v>
      </c>
      <c r="Q717" s="17" t="s">
        <v>56</v>
      </c>
      <c r="R717" s="16" t="n">
        <v>2772</v>
      </c>
      <c r="S717" s="24" t="n">
        <v>5700</v>
      </c>
      <c r="T717" s="16" t="n">
        <v>1</v>
      </c>
      <c r="U717" s="1" t="str">
        <f aca="false">D717&amp;"-"&amp;E717&amp;"-"&amp;M717&amp;"-"&amp;O717&amp;"-"&amp;P717&amp;"-"&amp;Q717</f>
        <v>FANTASIE-SMOOTHING MOULDED STRAPLESS-FL4530-SKIN-34-DD</v>
      </c>
      <c r="W717" s="1" t="s">
        <v>113</v>
      </c>
    </row>
    <row r="718" customFormat="false" ht="15" hidden="true" customHeight="false" outlineLevel="0" collapsed="false">
      <c r="B718" s="17" t="s">
        <v>1054</v>
      </c>
      <c r="C718" s="17" t="s">
        <v>37</v>
      </c>
      <c r="D718" s="29" t="s">
        <v>886</v>
      </c>
      <c r="E718" s="17" t="s">
        <v>996</v>
      </c>
      <c r="F718" s="14" t="s">
        <v>997</v>
      </c>
      <c r="G718" s="3" t="s">
        <v>41</v>
      </c>
      <c r="H718" s="108" t="s">
        <v>42</v>
      </c>
      <c r="I718" s="3" t="s">
        <v>43</v>
      </c>
      <c r="K718" s="19" t="s">
        <v>1055</v>
      </c>
      <c r="L718" s="19"/>
      <c r="M718" s="29" t="s">
        <v>999</v>
      </c>
      <c r="N718" s="17" t="s">
        <v>1000</v>
      </c>
      <c r="O718" s="29" t="s">
        <v>465</v>
      </c>
      <c r="P718" s="17" t="s">
        <v>134</v>
      </c>
      <c r="Q718" s="17" t="s">
        <v>66</v>
      </c>
      <c r="R718" s="16" t="n">
        <v>2772</v>
      </c>
      <c r="S718" s="24" t="n">
        <v>5700</v>
      </c>
      <c r="T718" s="16" t="n">
        <v>1</v>
      </c>
      <c r="U718" s="1" t="str">
        <f aca="false">D718&amp;"-"&amp;E718&amp;"-"&amp;M718&amp;"-"&amp;O718&amp;"-"&amp;P718&amp;"-"&amp;Q718</f>
        <v>FANTASIE-SMOOTHING MOULDED STRAPLESS-FL4530-SKIN-34-E</v>
      </c>
      <c r="W718" s="1" t="s">
        <v>113</v>
      </c>
    </row>
    <row r="719" customFormat="false" ht="15" hidden="true" customHeight="false" outlineLevel="0" collapsed="false">
      <c r="B719" s="29" t="s">
        <v>1056</v>
      </c>
      <c r="C719" s="17" t="s">
        <v>37</v>
      </c>
      <c r="D719" s="29" t="s">
        <v>886</v>
      </c>
      <c r="E719" s="17" t="s">
        <v>996</v>
      </c>
      <c r="F719" s="14" t="s">
        <v>997</v>
      </c>
      <c r="G719" s="3" t="s">
        <v>41</v>
      </c>
      <c r="H719" s="108" t="s">
        <v>42</v>
      </c>
      <c r="I719" s="3" t="s">
        <v>43</v>
      </c>
      <c r="K719" s="19" t="s">
        <v>1057</v>
      </c>
      <c r="L719" s="19"/>
      <c r="M719" s="29" t="s">
        <v>999</v>
      </c>
      <c r="N719" s="29" t="s">
        <v>1000</v>
      </c>
      <c r="O719" s="29" t="s">
        <v>465</v>
      </c>
      <c r="P719" s="29" t="s">
        <v>134</v>
      </c>
      <c r="Q719" s="29" t="s">
        <v>50</v>
      </c>
      <c r="R719" s="16" t="n">
        <v>2772</v>
      </c>
      <c r="S719" s="24" t="n">
        <v>5700</v>
      </c>
      <c r="T719" s="16" t="n">
        <v>2</v>
      </c>
      <c r="U719" s="1" t="str">
        <f aca="false">D719&amp;"-"&amp;E719&amp;"-"&amp;M719&amp;"-"&amp;O719&amp;"-"&amp;P719&amp;"-"&amp;Q719</f>
        <v>FANTASIE-SMOOTHING MOULDED STRAPLESS-FL4530-SKIN-34-F</v>
      </c>
      <c r="W719" s="1" t="s">
        <v>113</v>
      </c>
    </row>
    <row r="720" customFormat="false" ht="15" hidden="true" customHeight="false" outlineLevel="0" collapsed="false">
      <c r="B720" s="17" t="s">
        <v>1058</v>
      </c>
      <c r="C720" s="17" t="s">
        <v>37</v>
      </c>
      <c r="D720" s="29" t="s">
        <v>886</v>
      </c>
      <c r="E720" s="17" t="s">
        <v>996</v>
      </c>
      <c r="F720" s="14" t="s">
        <v>997</v>
      </c>
      <c r="G720" s="3" t="s">
        <v>41</v>
      </c>
      <c r="H720" s="108" t="s">
        <v>42</v>
      </c>
      <c r="I720" s="3" t="s">
        <v>43</v>
      </c>
      <c r="K720" s="19" t="s">
        <v>1059</v>
      </c>
      <c r="L720" s="19"/>
      <c r="M720" s="29" t="s">
        <v>999</v>
      </c>
      <c r="N720" s="17" t="s">
        <v>1000</v>
      </c>
      <c r="O720" s="29" t="s">
        <v>465</v>
      </c>
      <c r="P720" s="17" t="s">
        <v>134</v>
      </c>
      <c r="Q720" s="17" t="s">
        <v>62</v>
      </c>
      <c r="R720" s="16" t="n">
        <v>2772</v>
      </c>
      <c r="S720" s="24" t="n">
        <v>5700</v>
      </c>
      <c r="T720" s="16" t="n">
        <v>1</v>
      </c>
      <c r="U720" s="1" t="str">
        <f aca="false">D720&amp;"-"&amp;E720&amp;"-"&amp;M720&amp;"-"&amp;O720&amp;"-"&amp;P720&amp;"-"&amp;Q720</f>
        <v>FANTASIE-SMOOTHING MOULDED STRAPLESS-FL4530-SKIN-34-FF</v>
      </c>
      <c r="W720" s="1" t="s">
        <v>113</v>
      </c>
    </row>
    <row r="721" customFormat="false" ht="15" hidden="true" customHeight="false" outlineLevel="0" collapsed="false">
      <c r="B721" s="29" t="s">
        <v>1060</v>
      </c>
      <c r="C721" s="17" t="s">
        <v>37</v>
      </c>
      <c r="D721" s="29" t="s">
        <v>886</v>
      </c>
      <c r="E721" s="17" t="s">
        <v>996</v>
      </c>
      <c r="F721" s="14" t="s">
        <v>997</v>
      </c>
      <c r="G721" s="3" t="s">
        <v>41</v>
      </c>
      <c r="H721" s="108" t="s">
        <v>42</v>
      </c>
      <c r="I721" s="3" t="s">
        <v>43</v>
      </c>
      <c r="K721" s="19" t="s">
        <v>1061</v>
      </c>
      <c r="L721" s="19"/>
      <c r="M721" s="29" t="s">
        <v>999</v>
      </c>
      <c r="N721" s="29" t="s">
        <v>1000</v>
      </c>
      <c r="O721" s="29" t="s">
        <v>465</v>
      </c>
      <c r="P721" s="29" t="s">
        <v>134</v>
      </c>
      <c r="Q721" s="29" t="s">
        <v>105</v>
      </c>
      <c r="R721" s="16" t="n">
        <v>2772</v>
      </c>
      <c r="S721" s="24" t="n">
        <v>5700</v>
      </c>
      <c r="T721" s="16" t="n">
        <v>0</v>
      </c>
      <c r="U721" s="1" t="str">
        <f aca="false">D721&amp;"-"&amp;E721&amp;"-"&amp;M721&amp;"-"&amp;O721&amp;"-"&amp;P721&amp;"-"&amp;Q721</f>
        <v>FANTASIE-SMOOTHING MOULDED STRAPLESS-FL4530-SKIN-34-G</v>
      </c>
      <c r="W721" s="1" t="s">
        <v>113</v>
      </c>
    </row>
    <row r="722" customFormat="false" ht="15" hidden="true" customHeight="false" outlineLevel="0" collapsed="false">
      <c r="B722" s="17" t="s">
        <v>1062</v>
      </c>
      <c r="C722" s="17" t="s">
        <v>37</v>
      </c>
      <c r="D722" s="29" t="s">
        <v>886</v>
      </c>
      <c r="E722" s="17" t="s">
        <v>996</v>
      </c>
      <c r="F722" s="14" t="s">
        <v>997</v>
      </c>
      <c r="G722" s="3" t="s">
        <v>41</v>
      </c>
      <c r="H722" s="108" t="s">
        <v>42</v>
      </c>
      <c r="I722" s="3" t="s">
        <v>43</v>
      </c>
      <c r="K722" s="19" t="s">
        <v>999</v>
      </c>
      <c r="L722" s="19"/>
      <c r="M722" s="29" t="s">
        <v>999</v>
      </c>
      <c r="N722" s="17" t="s">
        <v>1000</v>
      </c>
      <c r="O722" s="29" t="s">
        <v>465</v>
      </c>
      <c r="P722" s="29" t="s">
        <v>65</v>
      </c>
      <c r="Q722" s="17" t="s">
        <v>97</v>
      </c>
      <c r="R722" s="16" t="n">
        <v>2790</v>
      </c>
      <c r="S722" s="24" t="n">
        <v>5700</v>
      </c>
      <c r="T722" s="16" t="n">
        <v>1</v>
      </c>
      <c r="U722" s="1" t="str">
        <f aca="false">D722&amp;"-"&amp;E722&amp;"-"&amp;M722&amp;"-"&amp;O722&amp;"-"&amp;P722&amp;"-"&amp;Q722</f>
        <v>FANTASIE-SMOOTHING MOULDED STRAPLESS-FL4530-SKIN-36-D</v>
      </c>
      <c r="W722" s="1" t="s">
        <v>113</v>
      </c>
    </row>
    <row r="723" customFormat="false" ht="15" hidden="true" customHeight="false" outlineLevel="0" collapsed="false">
      <c r="B723" s="17" t="s">
        <v>1063</v>
      </c>
      <c r="C723" s="17" t="s">
        <v>37</v>
      </c>
      <c r="D723" s="29" t="s">
        <v>886</v>
      </c>
      <c r="E723" s="17" t="s">
        <v>996</v>
      </c>
      <c r="F723" s="14" t="s">
        <v>997</v>
      </c>
      <c r="G723" s="3" t="s">
        <v>41</v>
      </c>
      <c r="H723" s="108" t="s">
        <v>42</v>
      </c>
      <c r="I723" s="3" t="s">
        <v>43</v>
      </c>
      <c r="K723" s="19" t="s">
        <v>1064</v>
      </c>
      <c r="L723" s="19"/>
      <c r="M723" s="29" t="s">
        <v>999</v>
      </c>
      <c r="N723" s="17" t="s">
        <v>1000</v>
      </c>
      <c r="O723" s="29" t="s">
        <v>465</v>
      </c>
      <c r="P723" s="29" t="s">
        <v>65</v>
      </c>
      <c r="Q723" s="17" t="s">
        <v>56</v>
      </c>
      <c r="R723" s="16" t="n">
        <v>2772</v>
      </c>
      <c r="S723" s="24" t="n">
        <v>5700</v>
      </c>
      <c r="T723" s="16" t="n">
        <v>2</v>
      </c>
      <c r="U723" s="1" t="str">
        <f aca="false">D723&amp;"-"&amp;E723&amp;"-"&amp;M723&amp;"-"&amp;O723&amp;"-"&amp;P723&amp;"-"&amp;Q723</f>
        <v>FANTASIE-SMOOTHING MOULDED STRAPLESS-FL4530-SKIN-36-DD</v>
      </c>
      <c r="W723" s="1" t="s">
        <v>113</v>
      </c>
    </row>
    <row r="724" customFormat="false" ht="15" hidden="true" customHeight="false" outlineLevel="0" collapsed="false">
      <c r="B724" s="29" t="s">
        <v>1065</v>
      </c>
      <c r="C724" s="17" t="s">
        <v>37</v>
      </c>
      <c r="D724" s="29" t="s">
        <v>886</v>
      </c>
      <c r="E724" s="17" t="s">
        <v>996</v>
      </c>
      <c r="F724" s="14" t="s">
        <v>997</v>
      </c>
      <c r="G724" s="3" t="s">
        <v>41</v>
      </c>
      <c r="H724" s="108" t="s">
        <v>42</v>
      </c>
      <c r="I724" s="3" t="s">
        <v>43</v>
      </c>
      <c r="K724" s="19" t="s">
        <v>1066</v>
      </c>
      <c r="L724" s="19"/>
      <c r="M724" s="29" t="s">
        <v>999</v>
      </c>
      <c r="N724" s="29" t="s">
        <v>1000</v>
      </c>
      <c r="O724" s="29" t="s">
        <v>465</v>
      </c>
      <c r="P724" s="29" t="s">
        <v>65</v>
      </c>
      <c r="Q724" s="29" t="s">
        <v>66</v>
      </c>
      <c r="R724" s="16" t="n">
        <v>2772</v>
      </c>
      <c r="S724" s="24" t="n">
        <v>5700</v>
      </c>
      <c r="T724" s="16" t="n">
        <v>0</v>
      </c>
      <c r="U724" s="1" t="str">
        <f aca="false">D724&amp;"-"&amp;E724&amp;"-"&amp;M724&amp;"-"&amp;O724&amp;"-"&amp;P724&amp;"-"&amp;Q724</f>
        <v>FANTASIE-SMOOTHING MOULDED STRAPLESS-FL4530-SKIN-36-E</v>
      </c>
      <c r="W724" s="1" t="s">
        <v>113</v>
      </c>
    </row>
    <row r="725" customFormat="false" ht="15" hidden="true" customHeight="false" outlineLevel="0" collapsed="false">
      <c r="B725" s="17" t="s">
        <v>1067</v>
      </c>
      <c r="C725" s="17" t="s">
        <v>37</v>
      </c>
      <c r="D725" s="29" t="s">
        <v>886</v>
      </c>
      <c r="E725" s="17" t="s">
        <v>996</v>
      </c>
      <c r="F725" s="14" t="s">
        <v>997</v>
      </c>
      <c r="G725" s="3" t="s">
        <v>41</v>
      </c>
      <c r="H725" s="108" t="s">
        <v>42</v>
      </c>
      <c r="I725" s="3" t="s">
        <v>43</v>
      </c>
      <c r="K725" s="19" t="s">
        <v>1068</v>
      </c>
      <c r="L725" s="19"/>
      <c r="M725" s="29" t="s">
        <v>999</v>
      </c>
      <c r="N725" s="17" t="s">
        <v>1000</v>
      </c>
      <c r="O725" s="29" t="s">
        <v>465</v>
      </c>
      <c r="P725" s="29" t="s">
        <v>65</v>
      </c>
      <c r="Q725" s="17" t="s">
        <v>50</v>
      </c>
      <c r="R725" s="16" t="n">
        <v>2772</v>
      </c>
      <c r="S725" s="24" t="n">
        <v>5700</v>
      </c>
      <c r="T725" s="16" t="n">
        <v>3</v>
      </c>
      <c r="U725" s="1" t="str">
        <f aca="false">D725&amp;"-"&amp;E725&amp;"-"&amp;M725&amp;"-"&amp;O725&amp;"-"&amp;P725&amp;"-"&amp;Q725</f>
        <v>FANTASIE-SMOOTHING MOULDED STRAPLESS-FL4530-SKIN-36-F</v>
      </c>
      <c r="W725" s="1" t="s">
        <v>113</v>
      </c>
    </row>
    <row r="726" customFormat="false" ht="15" hidden="true" customHeight="false" outlineLevel="0" collapsed="false">
      <c r="B726" s="29" t="s">
        <v>1069</v>
      </c>
      <c r="C726" s="17" t="s">
        <v>37</v>
      </c>
      <c r="D726" s="29" t="s">
        <v>886</v>
      </c>
      <c r="E726" s="17" t="s">
        <v>996</v>
      </c>
      <c r="F726" s="14" t="s">
        <v>997</v>
      </c>
      <c r="G726" s="3" t="s">
        <v>41</v>
      </c>
      <c r="H726" s="108" t="s">
        <v>42</v>
      </c>
      <c r="I726" s="3" t="s">
        <v>43</v>
      </c>
      <c r="K726" s="19" t="s">
        <v>1070</v>
      </c>
      <c r="L726" s="19"/>
      <c r="M726" s="29" t="s">
        <v>999</v>
      </c>
      <c r="N726" s="29" t="s">
        <v>1000</v>
      </c>
      <c r="O726" s="29" t="s">
        <v>465</v>
      </c>
      <c r="P726" s="29" t="s">
        <v>65</v>
      </c>
      <c r="Q726" s="29" t="s">
        <v>62</v>
      </c>
      <c r="R726" s="16" t="n">
        <v>2772</v>
      </c>
      <c r="S726" s="24" t="n">
        <v>5700</v>
      </c>
      <c r="T726" s="16" t="n">
        <v>0</v>
      </c>
      <c r="U726" s="1" t="str">
        <f aca="false">D726&amp;"-"&amp;E726&amp;"-"&amp;M726&amp;"-"&amp;O726&amp;"-"&amp;P726&amp;"-"&amp;Q726</f>
        <v>FANTASIE-SMOOTHING MOULDED STRAPLESS-FL4530-SKIN-36-FF</v>
      </c>
      <c r="W726" s="1" t="s">
        <v>113</v>
      </c>
    </row>
    <row r="727" customFormat="false" ht="15" hidden="true" customHeight="false" outlineLevel="0" collapsed="false">
      <c r="B727" s="17" t="s">
        <v>1071</v>
      </c>
      <c r="C727" s="17" t="s">
        <v>37</v>
      </c>
      <c r="D727" s="29" t="s">
        <v>886</v>
      </c>
      <c r="E727" s="17" t="s">
        <v>996</v>
      </c>
      <c r="F727" s="14" t="s">
        <v>997</v>
      </c>
      <c r="G727" s="3" t="s">
        <v>41</v>
      </c>
      <c r="H727" s="108" t="s">
        <v>42</v>
      </c>
      <c r="I727" s="3" t="s">
        <v>43</v>
      </c>
      <c r="K727" s="19" t="s">
        <v>1072</v>
      </c>
      <c r="L727" s="19"/>
      <c r="M727" s="29" t="s">
        <v>999</v>
      </c>
      <c r="N727" s="17" t="s">
        <v>1000</v>
      </c>
      <c r="O727" s="29" t="s">
        <v>465</v>
      </c>
      <c r="P727" s="29" t="s">
        <v>65</v>
      </c>
      <c r="Q727" s="17" t="s">
        <v>105</v>
      </c>
      <c r="R727" s="24" t="n">
        <v>2700</v>
      </c>
      <c r="S727" s="24" t="n">
        <v>5700</v>
      </c>
      <c r="T727" s="16" t="n">
        <v>1</v>
      </c>
      <c r="U727" s="1" t="str">
        <f aca="false">D727&amp;"-"&amp;E727&amp;"-"&amp;M727&amp;"-"&amp;O727&amp;"-"&amp;P727&amp;"-"&amp;Q727</f>
        <v>FANTASIE-SMOOTHING MOULDED STRAPLESS-FL4530-SKIN-36-G</v>
      </c>
      <c r="W727" s="1" t="s">
        <v>113</v>
      </c>
    </row>
    <row r="728" customFormat="false" ht="15" hidden="true" customHeight="false" outlineLevel="0" collapsed="false">
      <c r="B728" s="29" t="s">
        <v>1073</v>
      </c>
      <c r="C728" s="17" t="s">
        <v>37</v>
      </c>
      <c r="D728" s="29" t="s">
        <v>886</v>
      </c>
      <c r="E728" s="17" t="s">
        <v>996</v>
      </c>
      <c r="F728" s="14" t="s">
        <v>997</v>
      </c>
      <c r="G728" s="3" t="s">
        <v>41</v>
      </c>
      <c r="H728" s="108" t="s">
        <v>42</v>
      </c>
      <c r="I728" s="3" t="s">
        <v>43</v>
      </c>
      <c r="K728" s="19" t="s">
        <v>1074</v>
      </c>
      <c r="L728" s="19"/>
      <c r="M728" s="29" t="s">
        <v>999</v>
      </c>
      <c r="N728" s="29" t="s">
        <v>1000</v>
      </c>
      <c r="O728" s="29" t="s">
        <v>465</v>
      </c>
      <c r="P728" s="29" t="s">
        <v>154</v>
      </c>
      <c r="Q728" s="29" t="s">
        <v>97</v>
      </c>
      <c r="R728" s="16" t="n">
        <v>2772</v>
      </c>
      <c r="S728" s="24" t="n">
        <v>5700</v>
      </c>
      <c r="T728" s="16" t="n">
        <v>1</v>
      </c>
      <c r="U728" s="1" t="str">
        <f aca="false">D728&amp;"-"&amp;E728&amp;"-"&amp;M728&amp;"-"&amp;O728&amp;"-"&amp;P728&amp;"-"&amp;Q728</f>
        <v>FANTASIE-SMOOTHING MOULDED STRAPLESS-FL4530-SKIN-38-D</v>
      </c>
      <c r="W728" s="1" t="s">
        <v>113</v>
      </c>
    </row>
    <row r="729" customFormat="false" ht="15" hidden="true" customHeight="false" outlineLevel="0" collapsed="false">
      <c r="B729" s="17" t="s">
        <v>1075</v>
      </c>
      <c r="C729" s="17" t="s">
        <v>37</v>
      </c>
      <c r="D729" s="29" t="s">
        <v>886</v>
      </c>
      <c r="E729" s="17" t="s">
        <v>996</v>
      </c>
      <c r="F729" s="14" t="s">
        <v>997</v>
      </c>
      <c r="G729" s="3" t="s">
        <v>41</v>
      </c>
      <c r="H729" s="108" t="s">
        <v>42</v>
      </c>
      <c r="I729" s="3" t="s">
        <v>43</v>
      </c>
      <c r="K729" s="19" t="s">
        <v>1076</v>
      </c>
      <c r="L729" s="19"/>
      <c r="M729" s="29" t="s">
        <v>999</v>
      </c>
      <c r="N729" s="17" t="s">
        <v>1000</v>
      </c>
      <c r="O729" s="29" t="s">
        <v>465</v>
      </c>
      <c r="P729" s="29" t="s">
        <v>154</v>
      </c>
      <c r="Q729" s="17" t="s">
        <v>56</v>
      </c>
      <c r="R729" s="16" t="n">
        <v>2772</v>
      </c>
      <c r="S729" s="24" t="n">
        <v>5700</v>
      </c>
      <c r="T729" s="16" t="n">
        <v>1</v>
      </c>
      <c r="U729" s="1" t="str">
        <f aca="false">D729&amp;"-"&amp;E729&amp;"-"&amp;M729&amp;"-"&amp;O729&amp;"-"&amp;P729&amp;"-"&amp;Q729</f>
        <v>FANTASIE-SMOOTHING MOULDED STRAPLESS-FL4530-SKIN-38-DD</v>
      </c>
      <c r="W729" s="1" t="s">
        <v>113</v>
      </c>
    </row>
    <row r="730" customFormat="false" ht="15" hidden="true" customHeight="false" outlineLevel="0" collapsed="false">
      <c r="B730" s="29" t="s">
        <v>1077</v>
      </c>
      <c r="C730" s="17" t="s">
        <v>37</v>
      </c>
      <c r="D730" s="29" t="s">
        <v>886</v>
      </c>
      <c r="E730" s="17" t="s">
        <v>996</v>
      </c>
      <c r="F730" s="14" t="s">
        <v>997</v>
      </c>
      <c r="G730" s="3" t="s">
        <v>41</v>
      </c>
      <c r="H730" s="108" t="s">
        <v>42</v>
      </c>
      <c r="I730" s="3" t="s">
        <v>43</v>
      </c>
      <c r="K730" s="19" t="s">
        <v>1078</v>
      </c>
      <c r="L730" s="19"/>
      <c r="M730" s="29" t="s">
        <v>999</v>
      </c>
      <c r="N730" s="29" t="s">
        <v>1000</v>
      </c>
      <c r="O730" s="29" t="s">
        <v>465</v>
      </c>
      <c r="P730" s="29" t="s">
        <v>154</v>
      </c>
      <c r="Q730" s="29" t="s">
        <v>66</v>
      </c>
      <c r="R730" s="16" t="n">
        <v>2772</v>
      </c>
      <c r="S730" s="24" t="n">
        <v>5700</v>
      </c>
      <c r="T730" s="16" t="n">
        <v>0</v>
      </c>
      <c r="U730" s="1" t="str">
        <f aca="false">D730&amp;"-"&amp;E730&amp;"-"&amp;M730&amp;"-"&amp;O730&amp;"-"&amp;P730&amp;"-"&amp;Q730</f>
        <v>FANTASIE-SMOOTHING MOULDED STRAPLESS-FL4530-SKIN-38-E</v>
      </c>
      <c r="W730" s="1" t="s">
        <v>113</v>
      </c>
    </row>
    <row r="731" customFormat="false" ht="15" hidden="true" customHeight="false" outlineLevel="0" collapsed="false">
      <c r="B731" s="17" t="s">
        <v>1079</v>
      </c>
      <c r="C731" s="17" t="s">
        <v>37</v>
      </c>
      <c r="D731" s="29" t="s">
        <v>886</v>
      </c>
      <c r="E731" s="17" t="s">
        <v>996</v>
      </c>
      <c r="F731" s="14" t="s">
        <v>997</v>
      </c>
      <c r="G731" s="3" t="s">
        <v>41</v>
      </c>
      <c r="H731" s="108" t="s">
        <v>42</v>
      </c>
      <c r="I731" s="3" t="s">
        <v>43</v>
      </c>
      <c r="K731" s="19" t="s">
        <v>1080</v>
      </c>
      <c r="L731" s="19"/>
      <c r="M731" s="29" t="s">
        <v>999</v>
      </c>
      <c r="N731" s="17" t="s">
        <v>1000</v>
      </c>
      <c r="O731" s="29" t="s">
        <v>465</v>
      </c>
      <c r="P731" s="29" t="s">
        <v>154</v>
      </c>
      <c r="Q731" s="17" t="s">
        <v>50</v>
      </c>
      <c r="R731" s="16" t="n">
        <v>2772</v>
      </c>
      <c r="S731" s="24" t="n">
        <v>5700</v>
      </c>
      <c r="T731" s="16" t="n">
        <v>0</v>
      </c>
      <c r="U731" s="1" t="str">
        <f aca="false">D731&amp;"-"&amp;E731&amp;"-"&amp;M731&amp;"-"&amp;O731&amp;"-"&amp;P731&amp;"-"&amp;Q731</f>
        <v>FANTASIE-SMOOTHING MOULDED STRAPLESS-FL4530-SKIN-38-F</v>
      </c>
      <c r="W731" s="1" t="s">
        <v>113</v>
      </c>
    </row>
    <row r="732" customFormat="false" ht="15" hidden="true" customHeight="false" outlineLevel="0" collapsed="false">
      <c r="B732" s="17" t="s">
        <v>1081</v>
      </c>
      <c r="C732" s="17" t="s">
        <v>37</v>
      </c>
      <c r="D732" s="29" t="s">
        <v>886</v>
      </c>
      <c r="E732" s="17" t="s">
        <v>996</v>
      </c>
      <c r="F732" s="14" t="s">
        <v>997</v>
      </c>
      <c r="G732" s="3" t="s">
        <v>41</v>
      </c>
      <c r="H732" s="108" t="s">
        <v>42</v>
      </c>
      <c r="I732" s="3" t="s">
        <v>43</v>
      </c>
      <c r="K732" s="19" t="s">
        <v>1082</v>
      </c>
      <c r="L732" s="19"/>
      <c r="M732" s="29" t="s">
        <v>999</v>
      </c>
      <c r="N732" s="17" t="s">
        <v>1000</v>
      </c>
      <c r="O732" s="29" t="s">
        <v>465</v>
      </c>
      <c r="P732" s="17" t="s">
        <v>440</v>
      </c>
      <c r="Q732" s="17" t="s">
        <v>97</v>
      </c>
      <c r="R732" s="16" t="n">
        <v>2772</v>
      </c>
      <c r="S732" s="24" t="n">
        <v>5700</v>
      </c>
      <c r="T732" s="16" t="n">
        <v>2</v>
      </c>
      <c r="U732" s="1" t="str">
        <f aca="false">D732&amp;"-"&amp;E732&amp;"-"&amp;M732&amp;"-"&amp;O732&amp;"-"&amp;P732&amp;"-"&amp;Q732</f>
        <v>FANTASIE-SMOOTHING MOULDED STRAPLESS-FL4530-SKIN-42-D</v>
      </c>
      <c r="W732" s="1" t="s">
        <v>113</v>
      </c>
    </row>
    <row r="733" customFormat="false" ht="15" hidden="true" customHeight="false" outlineLevel="0" collapsed="false">
      <c r="B733" s="17" t="s">
        <v>1083</v>
      </c>
      <c r="C733" s="17" t="s">
        <v>37</v>
      </c>
      <c r="D733" s="29" t="s">
        <v>886</v>
      </c>
      <c r="E733" s="17" t="s">
        <v>996</v>
      </c>
      <c r="F733" s="14" t="s">
        <v>997</v>
      </c>
      <c r="G733" s="3" t="s">
        <v>41</v>
      </c>
      <c r="H733" s="108" t="s">
        <v>42</v>
      </c>
      <c r="I733" s="3" t="s">
        <v>43</v>
      </c>
      <c r="K733" s="19" t="s">
        <v>1072</v>
      </c>
      <c r="L733" s="19"/>
      <c r="M733" s="29" t="s">
        <v>999</v>
      </c>
      <c r="N733" s="17" t="s">
        <v>76</v>
      </c>
      <c r="O733" s="17" t="s">
        <v>77</v>
      </c>
      <c r="P733" s="29" t="s">
        <v>65</v>
      </c>
      <c r="Q733" s="17" t="s">
        <v>105</v>
      </c>
      <c r="R733" s="24" t="n">
        <v>2700</v>
      </c>
      <c r="S733" s="24" t="n">
        <v>5700</v>
      </c>
      <c r="T733" s="16" t="n">
        <v>1</v>
      </c>
      <c r="U733" s="1" t="str">
        <f aca="false">D733&amp;"-"&amp;E733&amp;"-"&amp;M733&amp;"-"&amp;O733&amp;"-"&amp;P733&amp;"-"&amp;Q733</f>
        <v>FANTASIE-SMOOTHING MOULDED STRAPLESS-FL4530-BLACK-36-G</v>
      </c>
      <c r="W733" s="1" t="s">
        <v>113</v>
      </c>
    </row>
    <row r="734" customFormat="false" ht="15" hidden="true" customHeight="false" outlineLevel="0" collapsed="false">
      <c r="B734" s="29" t="s">
        <v>1084</v>
      </c>
      <c r="C734" s="17" t="s">
        <v>37</v>
      </c>
      <c r="D734" s="29" t="s">
        <v>886</v>
      </c>
      <c r="E734" s="17" t="s">
        <v>996</v>
      </c>
      <c r="F734" s="14" t="s">
        <v>997</v>
      </c>
      <c r="G734" s="3" t="s">
        <v>41</v>
      </c>
      <c r="H734" s="108" t="s">
        <v>42</v>
      </c>
      <c r="I734" s="3" t="s">
        <v>43</v>
      </c>
      <c r="K734" s="19" t="s">
        <v>1085</v>
      </c>
      <c r="L734" s="19"/>
      <c r="M734" s="29" t="s">
        <v>999</v>
      </c>
      <c r="N734" s="29" t="s">
        <v>76</v>
      </c>
      <c r="O734" s="17" t="s">
        <v>77</v>
      </c>
      <c r="P734" s="29" t="s">
        <v>417</v>
      </c>
      <c r="Q734" s="29" t="s">
        <v>56</v>
      </c>
      <c r="R734" s="16" t="n">
        <v>2772</v>
      </c>
      <c r="S734" s="24" t="n">
        <v>5700</v>
      </c>
      <c r="T734" s="1" t="n">
        <v>1</v>
      </c>
      <c r="U734" s="1" t="str">
        <f aca="false">D734&amp;"-"&amp;E734&amp;"-"&amp;M734&amp;"-"&amp;O734&amp;"-"&amp;P734&amp;"-"&amp;Q734</f>
        <v>FANTASIE-SMOOTHING MOULDED STRAPLESS-FL4530-BLACK-40-DD</v>
      </c>
      <c r="W734" s="1" t="s">
        <v>113</v>
      </c>
    </row>
    <row r="735" customFormat="false" ht="15" hidden="true" customHeight="false" outlineLevel="0" collapsed="false">
      <c r="B735" s="20" t="s">
        <v>1086</v>
      </c>
      <c r="C735" s="20" t="s">
        <v>37</v>
      </c>
      <c r="D735" s="20" t="s">
        <v>886</v>
      </c>
      <c r="E735" s="20" t="s">
        <v>996</v>
      </c>
      <c r="F735" s="14" t="s">
        <v>997</v>
      </c>
      <c r="G735" s="3" t="s">
        <v>41</v>
      </c>
      <c r="H735" s="108" t="s">
        <v>42</v>
      </c>
      <c r="I735" s="3" t="s">
        <v>43</v>
      </c>
      <c r="K735" s="19" t="s">
        <v>1085</v>
      </c>
      <c r="L735" s="19"/>
      <c r="M735" s="20" t="s">
        <v>999</v>
      </c>
      <c r="N735" s="20" t="s">
        <v>1000</v>
      </c>
      <c r="O735" s="20" t="s">
        <v>465</v>
      </c>
      <c r="P735" s="20" t="s">
        <v>417</v>
      </c>
      <c r="Q735" s="20" t="s">
        <v>56</v>
      </c>
      <c r="R735" s="16" t="n">
        <v>2772</v>
      </c>
      <c r="S735" s="16" t="n">
        <v>5700</v>
      </c>
      <c r="T735" s="1" t="n">
        <v>1</v>
      </c>
      <c r="U735" s="1" t="str">
        <f aca="false">D735&amp;"-"&amp;E735&amp;"-"&amp;M735&amp;"-"&amp;O735&amp;"-"&amp;P735&amp;"-"&amp;Q735</f>
        <v>FANTASIE-SMOOTHING MOULDED STRAPLESS-FL4530-SKIN-40-DD</v>
      </c>
      <c r="W735" s="1" t="s">
        <v>113</v>
      </c>
    </row>
    <row r="736" customFormat="false" ht="15" hidden="true" customHeight="false" outlineLevel="0" collapsed="false">
      <c r="B736" s="20" t="s">
        <v>1087</v>
      </c>
      <c r="C736" s="20" t="s">
        <v>37</v>
      </c>
      <c r="D736" s="20" t="s">
        <v>886</v>
      </c>
      <c r="E736" s="20" t="s">
        <v>1088</v>
      </c>
      <c r="F736" s="14" t="s">
        <v>1089</v>
      </c>
      <c r="G736" s="3" t="s">
        <v>41</v>
      </c>
      <c r="H736" s="108" t="s">
        <v>70</v>
      </c>
      <c r="I736" s="3" t="s">
        <v>43</v>
      </c>
      <c r="K736" s="19" t="s">
        <v>1090</v>
      </c>
      <c r="L736" s="19"/>
      <c r="M736" s="20" t="s">
        <v>1090</v>
      </c>
      <c r="N736" s="20" t="s">
        <v>53</v>
      </c>
      <c r="O736" s="20" t="s">
        <v>1091</v>
      </c>
      <c r="P736" s="20" t="s">
        <v>55</v>
      </c>
      <c r="Q736" s="20" t="s">
        <v>62</v>
      </c>
      <c r="R736" s="16" t="n">
        <v>2574</v>
      </c>
      <c r="S736" s="16" t="n">
        <v>4700</v>
      </c>
      <c r="T736" s="16" t="n">
        <v>1</v>
      </c>
      <c r="U736" s="1" t="str">
        <f aca="false">D736&amp;"-"&amp;E736&amp;"-"&amp;M736&amp;"-"&amp;O736&amp;"-"&amp;P736&amp;"-"&amp;Q736</f>
        <v>FANTASIE-LUCIA SIDE SUPPORT BRA-FL101501-Cherry-30-FF</v>
      </c>
    </row>
    <row r="737" customFormat="false" ht="15" hidden="true" customHeight="false" outlineLevel="0" collapsed="false">
      <c r="B737" s="17" t="s">
        <v>1092</v>
      </c>
      <c r="C737" s="17" t="s">
        <v>37</v>
      </c>
      <c r="D737" s="17" t="s">
        <v>886</v>
      </c>
      <c r="E737" s="17" t="s">
        <v>1088</v>
      </c>
      <c r="F737" s="14" t="s">
        <v>1089</v>
      </c>
      <c r="G737" s="3" t="s">
        <v>41</v>
      </c>
      <c r="H737" s="108" t="s">
        <v>70</v>
      </c>
      <c r="I737" s="3" t="s">
        <v>43</v>
      </c>
      <c r="K737" s="19" t="s">
        <v>1090</v>
      </c>
      <c r="L737" s="19"/>
      <c r="M737" s="17" t="s">
        <v>1090</v>
      </c>
      <c r="N737" s="17" t="s">
        <v>53</v>
      </c>
      <c r="O737" s="17" t="s">
        <v>1091</v>
      </c>
      <c r="P737" s="17" t="s">
        <v>92</v>
      </c>
      <c r="Q737" s="17" t="s">
        <v>50</v>
      </c>
      <c r="R737" s="16" t="n">
        <v>2574</v>
      </c>
      <c r="S737" s="16" t="n">
        <v>4700</v>
      </c>
      <c r="T737" s="16" t="n">
        <v>1</v>
      </c>
      <c r="U737" s="1" t="str">
        <f aca="false">D737&amp;"-"&amp;E737&amp;"-"&amp;M737&amp;"-"&amp;O737&amp;"-"&amp;P737&amp;"-"&amp;Q737</f>
        <v>FANTASIE-LUCIA SIDE SUPPORT BRA-FL101501-Cherry-32-F</v>
      </c>
    </row>
    <row r="738" customFormat="false" ht="15" hidden="true" customHeight="false" outlineLevel="0" collapsed="false">
      <c r="B738" s="29" t="s">
        <v>1093</v>
      </c>
      <c r="C738" s="17" t="s">
        <v>37</v>
      </c>
      <c r="D738" s="29" t="s">
        <v>886</v>
      </c>
      <c r="E738" s="29" t="s">
        <v>1088</v>
      </c>
      <c r="F738" s="14" t="s">
        <v>1089</v>
      </c>
      <c r="G738" s="3" t="s">
        <v>41</v>
      </c>
      <c r="H738" s="108" t="s">
        <v>70</v>
      </c>
      <c r="I738" s="3" t="s">
        <v>43</v>
      </c>
      <c r="K738" s="19" t="s">
        <v>1090</v>
      </c>
      <c r="L738" s="19"/>
      <c r="M738" s="17" t="s">
        <v>1090</v>
      </c>
      <c r="N738" s="29" t="s">
        <v>53</v>
      </c>
      <c r="O738" s="17" t="s">
        <v>1091</v>
      </c>
      <c r="P738" s="29" t="s">
        <v>92</v>
      </c>
      <c r="Q738" s="29" t="s">
        <v>62</v>
      </c>
      <c r="R738" s="16" t="n">
        <v>2574</v>
      </c>
      <c r="S738" s="16" t="n">
        <v>4700</v>
      </c>
      <c r="T738" s="16" t="n">
        <v>1</v>
      </c>
      <c r="U738" s="1" t="str">
        <f aca="false">D738&amp;"-"&amp;E738&amp;"-"&amp;M738&amp;"-"&amp;O738&amp;"-"&amp;P738&amp;"-"&amp;Q738</f>
        <v>FANTASIE-LUCIA SIDE SUPPORT BRA-FL101501-Cherry-32-FF</v>
      </c>
    </row>
    <row r="739" customFormat="false" ht="15" hidden="true" customHeight="false" outlineLevel="0" collapsed="false">
      <c r="B739" s="17" t="s">
        <v>1094</v>
      </c>
      <c r="C739" s="17" t="s">
        <v>37</v>
      </c>
      <c r="D739" s="17" t="s">
        <v>886</v>
      </c>
      <c r="E739" s="17" t="s">
        <v>1088</v>
      </c>
      <c r="F739" s="14" t="s">
        <v>1089</v>
      </c>
      <c r="G739" s="3" t="s">
        <v>41</v>
      </c>
      <c r="H739" s="108" t="s">
        <v>70</v>
      </c>
      <c r="I739" s="3" t="s">
        <v>43</v>
      </c>
      <c r="K739" s="19" t="s">
        <v>1090</v>
      </c>
      <c r="L739" s="19"/>
      <c r="M739" s="17" t="s">
        <v>1090</v>
      </c>
      <c r="N739" s="17" t="s">
        <v>53</v>
      </c>
      <c r="O739" s="17" t="s">
        <v>1091</v>
      </c>
      <c r="P739" s="17" t="s">
        <v>92</v>
      </c>
      <c r="Q739" s="17" t="s">
        <v>105</v>
      </c>
      <c r="R739" s="16" t="n">
        <v>2574</v>
      </c>
      <c r="S739" s="16" t="n">
        <v>4700</v>
      </c>
      <c r="T739" s="16" t="n">
        <v>0</v>
      </c>
      <c r="U739" s="1" t="str">
        <f aca="false">D739&amp;"-"&amp;E739&amp;"-"&amp;M739&amp;"-"&amp;O739&amp;"-"&amp;P739&amp;"-"&amp;Q739</f>
        <v>FANTASIE-LUCIA SIDE SUPPORT BRA-FL101501-Cherry-32-G</v>
      </c>
    </row>
    <row r="740" customFormat="false" ht="15" hidden="true" customHeight="false" outlineLevel="0" collapsed="false">
      <c r="B740" s="29" t="s">
        <v>1095</v>
      </c>
      <c r="C740" s="17" t="s">
        <v>37</v>
      </c>
      <c r="D740" s="29" t="s">
        <v>886</v>
      </c>
      <c r="E740" s="29" t="s">
        <v>1088</v>
      </c>
      <c r="F740" s="14" t="s">
        <v>1089</v>
      </c>
      <c r="G740" s="3" t="s">
        <v>41</v>
      </c>
      <c r="H740" s="108" t="s">
        <v>70</v>
      </c>
      <c r="I740" s="3" t="s">
        <v>43</v>
      </c>
      <c r="K740" s="19" t="s">
        <v>1090</v>
      </c>
      <c r="L740" s="19"/>
      <c r="M740" s="17" t="s">
        <v>1090</v>
      </c>
      <c r="N740" s="29" t="s">
        <v>53</v>
      </c>
      <c r="O740" s="17" t="s">
        <v>1091</v>
      </c>
      <c r="P740" s="29" t="s">
        <v>134</v>
      </c>
      <c r="Q740" s="29" t="s">
        <v>50</v>
      </c>
      <c r="R740" s="16" t="n">
        <v>2574</v>
      </c>
      <c r="S740" s="16" t="n">
        <v>4700</v>
      </c>
      <c r="T740" s="16" t="n">
        <v>1</v>
      </c>
      <c r="U740" s="1" t="str">
        <f aca="false">D740&amp;"-"&amp;E740&amp;"-"&amp;M740&amp;"-"&amp;O740&amp;"-"&amp;P740&amp;"-"&amp;Q740</f>
        <v>FANTASIE-LUCIA SIDE SUPPORT BRA-FL101501-Cherry-34-F</v>
      </c>
    </row>
    <row r="741" customFormat="false" ht="15" hidden="true" customHeight="false" outlineLevel="0" collapsed="false">
      <c r="B741" s="29" t="s">
        <v>1096</v>
      </c>
      <c r="C741" s="17" t="s">
        <v>37</v>
      </c>
      <c r="D741" s="29" t="s">
        <v>886</v>
      </c>
      <c r="E741" s="29" t="s">
        <v>1088</v>
      </c>
      <c r="F741" s="14" t="s">
        <v>1089</v>
      </c>
      <c r="G741" s="3" t="s">
        <v>41</v>
      </c>
      <c r="H741" s="108" t="s">
        <v>70</v>
      </c>
      <c r="I741" s="3" t="s">
        <v>43</v>
      </c>
      <c r="K741" s="19" t="s">
        <v>1090</v>
      </c>
      <c r="L741" s="19"/>
      <c r="M741" s="17" t="s">
        <v>1090</v>
      </c>
      <c r="N741" s="29" t="s">
        <v>53</v>
      </c>
      <c r="O741" s="17" t="s">
        <v>1091</v>
      </c>
      <c r="P741" s="29" t="s">
        <v>134</v>
      </c>
      <c r="Q741" s="29" t="s">
        <v>62</v>
      </c>
      <c r="R741" s="16" t="n">
        <v>2574</v>
      </c>
      <c r="S741" s="16" t="n">
        <v>4700</v>
      </c>
      <c r="T741" s="16" t="n">
        <v>0</v>
      </c>
      <c r="U741" s="1" t="str">
        <f aca="false">D741&amp;"-"&amp;E741&amp;"-"&amp;M741&amp;"-"&amp;O741&amp;"-"&amp;P741&amp;"-"&amp;Q741</f>
        <v>FANTASIE-LUCIA SIDE SUPPORT BRA-FL101501-Cherry-34-FF</v>
      </c>
    </row>
    <row r="742" customFormat="false" ht="15" hidden="true" customHeight="false" outlineLevel="0" collapsed="false">
      <c r="B742" s="17" t="s">
        <v>1097</v>
      </c>
      <c r="C742" s="17" t="s">
        <v>37</v>
      </c>
      <c r="D742" s="17" t="s">
        <v>886</v>
      </c>
      <c r="E742" s="17" t="s">
        <v>1088</v>
      </c>
      <c r="F742" s="14" t="s">
        <v>1089</v>
      </c>
      <c r="G742" s="3" t="s">
        <v>41</v>
      </c>
      <c r="H742" s="108" t="s">
        <v>70</v>
      </c>
      <c r="I742" s="3" t="s">
        <v>43</v>
      </c>
      <c r="K742" s="19" t="s">
        <v>1090</v>
      </c>
      <c r="L742" s="19"/>
      <c r="M742" s="17" t="s">
        <v>1090</v>
      </c>
      <c r="N742" s="17" t="s">
        <v>53</v>
      </c>
      <c r="O742" s="17" t="s">
        <v>1091</v>
      </c>
      <c r="P742" s="17" t="s">
        <v>134</v>
      </c>
      <c r="Q742" s="17" t="s">
        <v>66</v>
      </c>
      <c r="R742" s="16" t="n">
        <v>2574</v>
      </c>
      <c r="S742" s="16" t="n">
        <v>4700</v>
      </c>
      <c r="T742" s="16" t="n">
        <v>1</v>
      </c>
      <c r="U742" s="1" t="str">
        <f aca="false">D742&amp;"-"&amp;E742&amp;"-"&amp;M742&amp;"-"&amp;O742&amp;"-"&amp;P742&amp;"-"&amp;Q742</f>
        <v>FANTASIE-LUCIA SIDE SUPPORT BRA-FL101501-Cherry-34-E</v>
      </c>
    </row>
    <row r="743" customFormat="false" ht="15" hidden="true" customHeight="false" outlineLevel="0" collapsed="false">
      <c r="B743" s="29" t="s">
        <v>1098</v>
      </c>
      <c r="C743" s="17" t="s">
        <v>37</v>
      </c>
      <c r="D743" s="29" t="s">
        <v>886</v>
      </c>
      <c r="E743" s="29" t="s">
        <v>1088</v>
      </c>
      <c r="F743" s="14" t="s">
        <v>1089</v>
      </c>
      <c r="G743" s="3" t="s">
        <v>41</v>
      </c>
      <c r="H743" s="108" t="s">
        <v>70</v>
      </c>
      <c r="I743" s="3" t="s">
        <v>43</v>
      </c>
      <c r="K743" s="19" t="s">
        <v>1090</v>
      </c>
      <c r="L743" s="19"/>
      <c r="M743" s="17" t="s">
        <v>1090</v>
      </c>
      <c r="N743" s="29" t="s">
        <v>53</v>
      </c>
      <c r="O743" s="17" t="s">
        <v>1091</v>
      </c>
      <c r="P743" s="29" t="s">
        <v>134</v>
      </c>
      <c r="Q743" s="29" t="s">
        <v>105</v>
      </c>
      <c r="R743" s="16" t="n">
        <v>2574</v>
      </c>
      <c r="S743" s="16" t="n">
        <v>4700</v>
      </c>
      <c r="T743" s="16" t="n">
        <v>1</v>
      </c>
      <c r="U743" s="1" t="str">
        <f aca="false">D743&amp;"-"&amp;E743&amp;"-"&amp;M743&amp;"-"&amp;O743&amp;"-"&amp;P743&amp;"-"&amp;Q743</f>
        <v>FANTASIE-LUCIA SIDE SUPPORT BRA-FL101501-Cherry-34-G</v>
      </c>
    </row>
    <row r="744" customFormat="false" ht="15" hidden="true" customHeight="false" outlineLevel="0" collapsed="false">
      <c r="B744" s="29" t="s">
        <v>1099</v>
      </c>
      <c r="C744" s="17" t="s">
        <v>37</v>
      </c>
      <c r="D744" s="29" t="s">
        <v>886</v>
      </c>
      <c r="E744" s="29" t="s">
        <v>1088</v>
      </c>
      <c r="F744" s="14" t="s">
        <v>1089</v>
      </c>
      <c r="G744" s="3" t="s">
        <v>41</v>
      </c>
      <c r="H744" s="108" t="s">
        <v>70</v>
      </c>
      <c r="I744" s="3" t="s">
        <v>43</v>
      </c>
      <c r="K744" s="19" t="s">
        <v>1090</v>
      </c>
      <c r="L744" s="19"/>
      <c r="M744" s="17" t="s">
        <v>1090</v>
      </c>
      <c r="N744" s="29" t="s">
        <v>53</v>
      </c>
      <c r="O744" s="17" t="s">
        <v>1091</v>
      </c>
      <c r="P744" s="29" t="s">
        <v>65</v>
      </c>
      <c r="Q744" s="29" t="s">
        <v>97</v>
      </c>
      <c r="R744" s="16" t="n">
        <v>2574</v>
      </c>
      <c r="S744" s="16" t="n">
        <v>4700</v>
      </c>
      <c r="T744" s="16" t="n">
        <v>1</v>
      </c>
      <c r="U744" s="1" t="str">
        <f aca="false">D744&amp;"-"&amp;E744&amp;"-"&amp;M744&amp;"-"&amp;O744&amp;"-"&amp;P744&amp;"-"&amp;Q744</f>
        <v>FANTASIE-LUCIA SIDE SUPPORT BRA-FL101501-Cherry-36-D</v>
      </c>
    </row>
    <row r="745" customFormat="false" ht="15" hidden="true" customHeight="false" outlineLevel="0" collapsed="false">
      <c r="B745" s="17" t="s">
        <v>1100</v>
      </c>
      <c r="C745" s="17" t="s">
        <v>37</v>
      </c>
      <c r="D745" s="17" t="s">
        <v>886</v>
      </c>
      <c r="E745" s="17" t="s">
        <v>1088</v>
      </c>
      <c r="F745" s="14" t="s">
        <v>1089</v>
      </c>
      <c r="G745" s="3" t="s">
        <v>41</v>
      </c>
      <c r="H745" s="108" t="s">
        <v>70</v>
      </c>
      <c r="I745" s="3" t="s">
        <v>43</v>
      </c>
      <c r="K745" s="19" t="s">
        <v>1090</v>
      </c>
      <c r="L745" s="19"/>
      <c r="M745" s="17" t="s">
        <v>1090</v>
      </c>
      <c r="N745" s="17" t="s">
        <v>53</v>
      </c>
      <c r="O745" s="17" t="s">
        <v>1091</v>
      </c>
      <c r="P745" s="17" t="s">
        <v>65</v>
      </c>
      <c r="Q745" s="17" t="s">
        <v>66</v>
      </c>
      <c r="R745" s="16" t="n">
        <v>2574</v>
      </c>
      <c r="S745" s="16" t="n">
        <v>4700</v>
      </c>
      <c r="T745" s="16" t="n">
        <v>1</v>
      </c>
      <c r="U745" s="1" t="str">
        <f aca="false">D745&amp;"-"&amp;E745&amp;"-"&amp;M745&amp;"-"&amp;O745&amp;"-"&amp;P745&amp;"-"&amp;Q745</f>
        <v>FANTASIE-LUCIA SIDE SUPPORT BRA-FL101501-Cherry-36-E</v>
      </c>
    </row>
    <row r="746" customFormat="false" ht="15" hidden="true" customHeight="false" outlineLevel="0" collapsed="false">
      <c r="B746" s="29" t="s">
        <v>1101</v>
      </c>
      <c r="C746" s="17" t="s">
        <v>37</v>
      </c>
      <c r="D746" s="29" t="s">
        <v>886</v>
      </c>
      <c r="E746" s="29" t="s">
        <v>1088</v>
      </c>
      <c r="F746" s="14" t="s">
        <v>1089</v>
      </c>
      <c r="G746" s="3" t="s">
        <v>41</v>
      </c>
      <c r="H746" s="108" t="s">
        <v>70</v>
      </c>
      <c r="I746" s="3" t="s">
        <v>43</v>
      </c>
      <c r="K746" s="19" t="s">
        <v>1090</v>
      </c>
      <c r="L746" s="19"/>
      <c r="M746" s="17" t="s">
        <v>1090</v>
      </c>
      <c r="N746" s="29" t="s">
        <v>53</v>
      </c>
      <c r="O746" s="17" t="s">
        <v>1091</v>
      </c>
      <c r="P746" s="29" t="s">
        <v>65</v>
      </c>
      <c r="Q746" s="29" t="s">
        <v>50</v>
      </c>
      <c r="R746" s="16" t="n">
        <v>2574</v>
      </c>
      <c r="S746" s="16" t="n">
        <v>4700</v>
      </c>
      <c r="T746" s="16" t="n">
        <v>1</v>
      </c>
      <c r="U746" s="1" t="str">
        <f aca="false">D746&amp;"-"&amp;E746&amp;"-"&amp;M746&amp;"-"&amp;O746&amp;"-"&amp;P746&amp;"-"&amp;Q746</f>
        <v>FANTASIE-LUCIA SIDE SUPPORT BRA-FL101501-Cherry-36-F</v>
      </c>
    </row>
    <row r="747" customFormat="false" ht="15" hidden="true" customHeight="false" outlineLevel="0" collapsed="false">
      <c r="B747" s="17" t="s">
        <v>1102</v>
      </c>
      <c r="C747" s="17" t="s">
        <v>37</v>
      </c>
      <c r="D747" s="17" t="s">
        <v>886</v>
      </c>
      <c r="E747" s="17" t="s">
        <v>1088</v>
      </c>
      <c r="F747" s="14" t="s">
        <v>1089</v>
      </c>
      <c r="G747" s="3" t="s">
        <v>41</v>
      </c>
      <c r="H747" s="108" t="s">
        <v>70</v>
      </c>
      <c r="I747" s="3" t="s">
        <v>43</v>
      </c>
      <c r="K747" s="19" t="s">
        <v>1090</v>
      </c>
      <c r="L747" s="19"/>
      <c r="M747" s="17" t="s">
        <v>1090</v>
      </c>
      <c r="N747" s="17" t="s">
        <v>53</v>
      </c>
      <c r="O747" s="17" t="s">
        <v>1091</v>
      </c>
      <c r="P747" s="17" t="s">
        <v>65</v>
      </c>
      <c r="Q747" s="17" t="s">
        <v>62</v>
      </c>
      <c r="R747" s="16" t="n">
        <v>2574</v>
      </c>
      <c r="S747" s="16" t="n">
        <v>4700</v>
      </c>
      <c r="T747" s="16" t="n">
        <v>0</v>
      </c>
      <c r="U747" s="1" t="str">
        <f aca="false">D747&amp;"-"&amp;E747&amp;"-"&amp;M747&amp;"-"&amp;O747&amp;"-"&amp;P747&amp;"-"&amp;Q747</f>
        <v>FANTASIE-LUCIA SIDE SUPPORT BRA-FL101501-Cherry-36-FF</v>
      </c>
    </row>
    <row r="748" customFormat="false" ht="15" hidden="true" customHeight="false" outlineLevel="0" collapsed="false">
      <c r="B748" s="29" t="s">
        <v>1103</v>
      </c>
      <c r="C748" s="17" t="s">
        <v>37</v>
      </c>
      <c r="D748" s="29" t="s">
        <v>886</v>
      </c>
      <c r="E748" s="29" t="s">
        <v>1088</v>
      </c>
      <c r="F748" s="14" t="s">
        <v>1089</v>
      </c>
      <c r="G748" s="3" t="s">
        <v>41</v>
      </c>
      <c r="H748" s="108" t="s">
        <v>70</v>
      </c>
      <c r="I748" s="3" t="s">
        <v>43</v>
      </c>
      <c r="K748" s="19" t="s">
        <v>1090</v>
      </c>
      <c r="L748" s="19"/>
      <c r="M748" s="17" t="s">
        <v>1090</v>
      </c>
      <c r="N748" s="29" t="s">
        <v>53</v>
      </c>
      <c r="O748" s="17" t="s">
        <v>1091</v>
      </c>
      <c r="P748" s="29" t="s">
        <v>65</v>
      </c>
      <c r="Q748" s="29" t="s">
        <v>105</v>
      </c>
      <c r="R748" s="16" t="n">
        <v>2574</v>
      </c>
      <c r="S748" s="16" t="n">
        <v>4700</v>
      </c>
      <c r="T748" s="16" t="n">
        <v>1</v>
      </c>
      <c r="U748" s="1" t="str">
        <f aca="false">D748&amp;"-"&amp;E748&amp;"-"&amp;M748&amp;"-"&amp;O748&amp;"-"&amp;P748&amp;"-"&amp;Q748</f>
        <v>FANTASIE-LUCIA SIDE SUPPORT BRA-FL101501-Cherry-36-G</v>
      </c>
    </row>
    <row r="749" customFormat="false" ht="15" hidden="true" customHeight="false" outlineLevel="0" collapsed="false">
      <c r="B749" s="17" t="s">
        <v>1104</v>
      </c>
      <c r="C749" s="17" t="s">
        <v>37</v>
      </c>
      <c r="D749" s="17" t="s">
        <v>886</v>
      </c>
      <c r="E749" s="17" t="s">
        <v>1088</v>
      </c>
      <c r="F749" s="14" t="s">
        <v>1089</v>
      </c>
      <c r="G749" s="3" t="s">
        <v>41</v>
      </c>
      <c r="H749" s="108" t="s">
        <v>70</v>
      </c>
      <c r="I749" s="3" t="s">
        <v>43</v>
      </c>
      <c r="K749" s="19" t="s">
        <v>1090</v>
      </c>
      <c r="L749" s="19"/>
      <c r="M749" s="17" t="s">
        <v>1090</v>
      </c>
      <c r="N749" s="17" t="s">
        <v>53</v>
      </c>
      <c r="O749" s="17" t="s">
        <v>1091</v>
      </c>
      <c r="P749" s="17" t="s">
        <v>65</v>
      </c>
      <c r="Q749" s="17" t="s">
        <v>129</v>
      </c>
      <c r="R749" s="16" t="n">
        <v>2574</v>
      </c>
      <c r="S749" s="16" t="n">
        <v>4700</v>
      </c>
      <c r="T749" s="16" t="n">
        <v>1</v>
      </c>
      <c r="U749" s="1" t="str">
        <f aca="false">D749&amp;"-"&amp;E749&amp;"-"&amp;M749&amp;"-"&amp;O749&amp;"-"&amp;P749&amp;"-"&amp;Q749</f>
        <v>FANTASIE-LUCIA SIDE SUPPORT BRA-FL101501-Cherry-36-GG</v>
      </c>
    </row>
    <row r="750" customFormat="false" ht="15" hidden="true" customHeight="false" outlineLevel="0" collapsed="false">
      <c r="B750" s="29" t="s">
        <v>1105</v>
      </c>
      <c r="C750" s="17" t="s">
        <v>37</v>
      </c>
      <c r="D750" s="29" t="s">
        <v>886</v>
      </c>
      <c r="E750" s="29" t="s">
        <v>1088</v>
      </c>
      <c r="F750" s="14" t="s">
        <v>1089</v>
      </c>
      <c r="G750" s="3" t="s">
        <v>41</v>
      </c>
      <c r="H750" s="108" t="s">
        <v>70</v>
      </c>
      <c r="I750" s="3" t="s">
        <v>43</v>
      </c>
      <c r="K750" s="19" t="s">
        <v>1090</v>
      </c>
      <c r="L750" s="19"/>
      <c r="M750" s="17" t="s">
        <v>1090</v>
      </c>
      <c r="N750" s="29" t="s">
        <v>53</v>
      </c>
      <c r="O750" s="17" t="s">
        <v>1091</v>
      </c>
      <c r="P750" s="29" t="s">
        <v>154</v>
      </c>
      <c r="Q750" s="29" t="s">
        <v>66</v>
      </c>
      <c r="R750" s="16" t="n">
        <v>2574</v>
      </c>
      <c r="S750" s="16" t="n">
        <v>4700</v>
      </c>
      <c r="T750" s="16" t="n">
        <v>1</v>
      </c>
      <c r="U750" s="1" t="str">
        <f aca="false">D750&amp;"-"&amp;E750&amp;"-"&amp;M750&amp;"-"&amp;O750&amp;"-"&amp;P750&amp;"-"&amp;Q750</f>
        <v>FANTASIE-LUCIA SIDE SUPPORT BRA-FL101501-Cherry-38-E</v>
      </c>
    </row>
    <row r="751" customFormat="false" ht="15" hidden="true" customHeight="false" outlineLevel="0" collapsed="false">
      <c r="B751" s="17" t="s">
        <v>1106</v>
      </c>
      <c r="C751" s="17" t="s">
        <v>37</v>
      </c>
      <c r="D751" s="17" t="s">
        <v>886</v>
      </c>
      <c r="E751" s="17" t="s">
        <v>1088</v>
      </c>
      <c r="F751" s="14" t="s">
        <v>1089</v>
      </c>
      <c r="G751" s="3" t="s">
        <v>41</v>
      </c>
      <c r="H751" s="108" t="s">
        <v>70</v>
      </c>
      <c r="I751" s="3" t="s">
        <v>43</v>
      </c>
      <c r="K751" s="19" t="s">
        <v>1090</v>
      </c>
      <c r="L751" s="19"/>
      <c r="M751" s="17" t="s">
        <v>1090</v>
      </c>
      <c r="N751" s="17" t="s">
        <v>53</v>
      </c>
      <c r="O751" s="17" t="s">
        <v>1091</v>
      </c>
      <c r="P751" s="17" t="s">
        <v>154</v>
      </c>
      <c r="Q751" s="17" t="s">
        <v>50</v>
      </c>
      <c r="R751" s="16" t="n">
        <v>2574</v>
      </c>
      <c r="S751" s="16" t="n">
        <v>4700</v>
      </c>
      <c r="T751" s="16" t="n">
        <v>0</v>
      </c>
      <c r="U751" s="1" t="str">
        <f aca="false">D751&amp;"-"&amp;E751&amp;"-"&amp;M751&amp;"-"&amp;O751&amp;"-"&amp;P751&amp;"-"&amp;Q751</f>
        <v>FANTASIE-LUCIA SIDE SUPPORT BRA-FL101501-Cherry-38-F</v>
      </c>
    </row>
    <row r="752" customFormat="false" ht="15" hidden="true" customHeight="false" outlineLevel="0" collapsed="false">
      <c r="B752" s="29" t="s">
        <v>1107</v>
      </c>
      <c r="C752" s="17" t="s">
        <v>37</v>
      </c>
      <c r="D752" s="29" t="s">
        <v>886</v>
      </c>
      <c r="E752" s="29" t="s">
        <v>1088</v>
      </c>
      <c r="F752" s="14" t="s">
        <v>1089</v>
      </c>
      <c r="G752" s="3" t="s">
        <v>41</v>
      </c>
      <c r="H752" s="108" t="s">
        <v>70</v>
      </c>
      <c r="I752" s="3" t="s">
        <v>43</v>
      </c>
      <c r="K752" s="19" t="s">
        <v>1090</v>
      </c>
      <c r="L752" s="19"/>
      <c r="M752" s="17" t="s">
        <v>1090</v>
      </c>
      <c r="N752" s="29" t="s">
        <v>53</v>
      </c>
      <c r="O752" s="17" t="s">
        <v>1091</v>
      </c>
      <c r="P752" s="29" t="s">
        <v>154</v>
      </c>
      <c r="Q752" s="29" t="s">
        <v>62</v>
      </c>
      <c r="R752" s="16" t="n">
        <v>2574</v>
      </c>
      <c r="S752" s="16" t="n">
        <v>4700</v>
      </c>
      <c r="T752" s="16" t="n">
        <v>0</v>
      </c>
      <c r="U752" s="1" t="str">
        <f aca="false">D752&amp;"-"&amp;E752&amp;"-"&amp;M752&amp;"-"&amp;O752&amp;"-"&amp;P752&amp;"-"&amp;Q752</f>
        <v>FANTASIE-LUCIA SIDE SUPPORT BRA-FL101501-Cherry-38-FF</v>
      </c>
    </row>
    <row r="753" customFormat="false" ht="15" hidden="true" customHeight="false" outlineLevel="0" collapsed="false">
      <c r="B753" s="17" t="s">
        <v>1108</v>
      </c>
      <c r="C753" s="17" t="s">
        <v>37</v>
      </c>
      <c r="D753" s="17" t="s">
        <v>886</v>
      </c>
      <c r="E753" s="17" t="s">
        <v>1088</v>
      </c>
      <c r="F753" s="14" t="s">
        <v>1089</v>
      </c>
      <c r="G753" s="3" t="s">
        <v>41</v>
      </c>
      <c r="H753" s="108" t="s">
        <v>70</v>
      </c>
      <c r="I753" s="3" t="s">
        <v>43</v>
      </c>
      <c r="K753" s="19" t="s">
        <v>1090</v>
      </c>
      <c r="L753" s="19"/>
      <c r="M753" s="17" t="s">
        <v>1090</v>
      </c>
      <c r="N753" s="17" t="s">
        <v>53</v>
      </c>
      <c r="O753" s="17" t="s">
        <v>1091</v>
      </c>
      <c r="P753" s="17" t="s">
        <v>154</v>
      </c>
      <c r="Q753" s="17" t="s">
        <v>105</v>
      </c>
      <c r="R753" s="16" t="n">
        <v>2574</v>
      </c>
      <c r="S753" s="16" t="n">
        <v>4700</v>
      </c>
      <c r="T753" s="16" t="n">
        <v>1</v>
      </c>
      <c r="U753" s="1" t="str">
        <f aca="false">D753&amp;"-"&amp;E753&amp;"-"&amp;M753&amp;"-"&amp;O753&amp;"-"&amp;P753&amp;"-"&amp;Q753</f>
        <v>FANTASIE-LUCIA SIDE SUPPORT BRA-FL101501-Cherry-38-G</v>
      </c>
    </row>
    <row r="754" customFormat="false" ht="15" hidden="true" customHeight="false" outlineLevel="0" collapsed="false">
      <c r="B754" s="17" t="s">
        <v>1109</v>
      </c>
      <c r="C754" s="17" t="s">
        <v>37</v>
      </c>
      <c r="D754" s="17" t="s">
        <v>886</v>
      </c>
      <c r="E754" s="17" t="s">
        <v>1088</v>
      </c>
      <c r="F754" s="14" t="s">
        <v>1089</v>
      </c>
      <c r="G754" s="3" t="s">
        <v>41</v>
      </c>
      <c r="H754" s="108" t="s">
        <v>70</v>
      </c>
      <c r="I754" s="3" t="s">
        <v>43</v>
      </c>
      <c r="K754" s="19" t="s">
        <v>1090</v>
      </c>
      <c r="L754" s="19"/>
      <c r="M754" s="17" t="s">
        <v>1090</v>
      </c>
      <c r="N754" s="17" t="s">
        <v>53</v>
      </c>
      <c r="O754" s="17" t="s">
        <v>1091</v>
      </c>
      <c r="P754" s="17" t="s">
        <v>417</v>
      </c>
      <c r="Q754" s="17" t="s">
        <v>66</v>
      </c>
      <c r="R754" s="16" t="n">
        <v>2574</v>
      </c>
      <c r="S754" s="16" t="n">
        <v>4700</v>
      </c>
      <c r="T754" s="16" t="n">
        <v>1</v>
      </c>
      <c r="U754" s="1" t="str">
        <f aca="false">D754&amp;"-"&amp;E754&amp;"-"&amp;M754&amp;"-"&amp;O754&amp;"-"&amp;P754&amp;"-"&amp;Q754</f>
        <v>FANTASIE-LUCIA SIDE SUPPORT BRA-FL101501-Cherry-40-E</v>
      </c>
    </row>
    <row r="755" customFormat="false" ht="15" hidden="true" customHeight="false" outlineLevel="0" collapsed="false">
      <c r="B755" s="29" t="s">
        <v>1110</v>
      </c>
      <c r="C755" s="17" t="s">
        <v>37</v>
      </c>
      <c r="D755" s="29" t="s">
        <v>886</v>
      </c>
      <c r="E755" s="29" t="s">
        <v>1088</v>
      </c>
      <c r="F755" s="14" t="s">
        <v>1089</v>
      </c>
      <c r="G755" s="3" t="s">
        <v>41</v>
      </c>
      <c r="H755" s="108" t="s">
        <v>70</v>
      </c>
      <c r="I755" s="3" t="s">
        <v>43</v>
      </c>
      <c r="K755" s="19" t="s">
        <v>1090</v>
      </c>
      <c r="L755" s="19"/>
      <c r="M755" s="17" t="s">
        <v>1090</v>
      </c>
      <c r="N755" s="29" t="s">
        <v>53</v>
      </c>
      <c r="O755" s="17" t="s">
        <v>1091</v>
      </c>
      <c r="P755" s="29" t="s">
        <v>417</v>
      </c>
      <c r="Q755" s="29" t="s">
        <v>50</v>
      </c>
      <c r="R755" s="16" t="n">
        <v>2574</v>
      </c>
      <c r="S755" s="16" t="n">
        <v>4700</v>
      </c>
      <c r="T755" s="16" t="n">
        <v>0</v>
      </c>
      <c r="U755" s="1" t="str">
        <f aca="false">D755&amp;"-"&amp;E755&amp;"-"&amp;M755&amp;"-"&amp;O755&amp;"-"&amp;P755&amp;"-"&amp;Q755</f>
        <v>FANTASIE-LUCIA SIDE SUPPORT BRA-FL101501-Cherry-40-F</v>
      </c>
    </row>
    <row r="756" customFormat="false" ht="15" hidden="true" customHeight="false" outlineLevel="0" collapsed="false">
      <c r="B756" s="17" t="s">
        <v>1111</v>
      </c>
      <c r="C756" s="17" t="s">
        <v>37</v>
      </c>
      <c r="D756" s="17" t="s">
        <v>886</v>
      </c>
      <c r="E756" s="17" t="s">
        <v>1088</v>
      </c>
      <c r="F756" s="14" t="s">
        <v>1089</v>
      </c>
      <c r="G756" s="3" t="s">
        <v>41</v>
      </c>
      <c r="H756" s="108" t="s">
        <v>70</v>
      </c>
      <c r="I756" s="3" t="s">
        <v>43</v>
      </c>
      <c r="K756" s="19" t="s">
        <v>1090</v>
      </c>
      <c r="L756" s="19"/>
      <c r="M756" s="17" t="s">
        <v>1090</v>
      </c>
      <c r="N756" s="17" t="s">
        <v>53</v>
      </c>
      <c r="O756" s="17" t="s">
        <v>1091</v>
      </c>
      <c r="P756" s="17" t="s">
        <v>417</v>
      </c>
      <c r="Q756" s="17" t="s">
        <v>62</v>
      </c>
      <c r="R756" s="16" t="n">
        <v>2574</v>
      </c>
      <c r="S756" s="16" t="n">
        <v>4700</v>
      </c>
      <c r="T756" s="16" t="n">
        <v>1</v>
      </c>
      <c r="U756" s="1" t="str">
        <f aca="false">D756&amp;"-"&amp;E756&amp;"-"&amp;M756&amp;"-"&amp;O756&amp;"-"&amp;P756&amp;"-"&amp;Q756</f>
        <v>FANTASIE-LUCIA SIDE SUPPORT BRA-FL101501-Cherry-40-FF</v>
      </c>
    </row>
    <row r="757" customFormat="false" ht="15" hidden="true" customHeight="false" outlineLevel="0" collapsed="false">
      <c r="B757" s="29" t="s">
        <v>1112</v>
      </c>
      <c r="C757" s="17" t="s">
        <v>37</v>
      </c>
      <c r="D757" s="29" t="s">
        <v>886</v>
      </c>
      <c r="E757" s="17" t="s">
        <v>1088</v>
      </c>
      <c r="F757" s="14" t="s">
        <v>1089</v>
      </c>
      <c r="G757" s="3" t="s">
        <v>41</v>
      </c>
      <c r="H757" s="108" t="s">
        <v>70</v>
      </c>
      <c r="I757" s="3" t="s">
        <v>43</v>
      </c>
      <c r="K757" s="19" t="s">
        <v>1090</v>
      </c>
      <c r="L757" s="19"/>
      <c r="M757" s="17" t="s">
        <v>1090</v>
      </c>
      <c r="N757" s="29" t="s">
        <v>1113</v>
      </c>
      <c r="O757" s="29" t="s">
        <v>1114</v>
      </c>
      <c r="P757" s="29" t="s">
        <v>92</v>
      </c>
      <c r="Q757" s="29" t="s">
        <v>50</v>
      </c>
      <c r="R757" s="16" t="n">
        <v>2574</v>
      </c>
      <c r="S757" s="16" t="n">
        <v>4700</v>
      </c>
      <c r="T757" s="16" t="n">
        <v>0</v>
      </c>
      <c r="U757" s="1" t="str">
        <f aca="false">D757&amp;"-"&amp;E757&amp;"-"&amp;M757&amp;"-"&amp;O757&amp;"-"&amp;P757&amp;"-"&amp;Q757</f>
        <v>FANTASIE-LUCIA SIDE SUPPORT BRA-FL101501-Black print-32-F</v>
      </c>
    </row>
    <row r="758" customFormat="false" ht="15" hidden="true" customHeight="false" outlineLevel="0" collapsed="false">
      <c r="B758" s="17" t="s">
        <v>1115</v>
      </c>
      <c r="C758" s="17" t="s">
        <v>37</v>
      </c>
      <c r="D758" s="17" t="s">
        <v>886</v>
      </c>
      <c r="E758" s="29" t="s">
        <v>1088</v>
      </c>
      <c r="F758" s="14" t="s">
        <v>1089</v>
      </c>
      <c r="G758" s="3" t="s">
        <v>41</v>
      </c>
      <c r="H758" s="108" t="s">
        <v>70</v>
      </c>
      <c r="I758" s="3" t="s">
        <v>43</v>
      </c>
      <c r="K758" s="19" t="s">
        <v>1090</v>
      </c>
      <c r="L758" s="19"/>
      <c r="M758" s="17" t="s">
        <v>1090</v>
      </c>
      <c r="N758" s="17" t="s">
        <v>1113</v>
      </c>
      <c r="O758" s="29" t="s">
        <v>1114</v>
      </c>
      <c r="P758" s="17" t="s">
        <v>92</v>
      </c>
      <c r="Q758" s="17" t="s">
        <v>62</v>
      </c>
      <c r="R758" s="16" t="n">
        <v>2574</v>
      </c>
      <c r="S758" s="16" t="n">
        <v>4700</v>
      </c>
      <c r="T758" s="16" t="n">
        <v>0</v>
      </c>
      <c r="U758" s="1" t="str">
        <f aca="false">D758&amp;"-"&amp;E758&amp;"-"&amp;M758&amp;"-"&amp;O758&amp;"-"&amp;P758&amp;"-"&amp;Q758</f>
        <v>FANTASIE-LUCIA SIDE SUPPORT BRA-FL101501-Black print-32-FF</v>
      </c>
    </row>
    <row r="759" customFormat="false" ht="15" hidden="true" customHeight="false" outlineLevel="0" collapsed="false">
      <c r="B759" s="29" t="s">
        <v>1116</v>
      </c>
      <c r="C759" s="17" t="s">
        <v>37</v>
      </c>
      <c r="D759" s="29" t="s">
        <v>886</v>
      </c>
      <c r="E759" s="17" t="s">
        <v>1088</v>
      </c>
      <c r="F759" s="14" t="s">
        <v>1089</v>
      </c>
      <c r="G759" s="3" t="s">
        <v>41</v>
      </c>
      <c r="H759" s="108" t="s">
        <v>70</v>
      </c>
      <c r="I759" s="3" t="s">
        <v>43</v>
      </c>
      <c r="K759" s="19" t="s">
        <v>1090</v>
      </c>
      <c r="L759" s="19"/>
      <c r="M759" s="17" t="s">
        <v>1090</v>
      </c>
      <c r="N759" s="29" t="s">
        <v>1113</v>
      </c>
      <c r="O759" s="29" t="s">
        <v>1114</v>
      </c>
      <c r="P759" s="29" t="s">
        <v>92</v>
      </c>
      <c r="Q759" s="29" t="s">
        <v>105</v>
      </c>
      <c r="R759" s="16" t="n">
        <v>2574</v>
      </c>
      <c r="S759" s="16" t="n">
        <v>4700</v>
      </c>
      <c r="T759" s="16" t="n">
        <v>0</v>
      </c>
      <c r="U759" s="1" t="str">
        <f aca="false">D759&amp;"-"&amp;E759&amp;"-"&amp;M759&amp;"-"&amp;O759&amp;"-"&amp;P759&amp;"-"&amp;Q759</f>
        <v>FANTASIE-LUCIA SIDE SUPPORT BRA-FL101501-Black print-32-G</v>
      </c>
    </row>
    <row r="760" customFormat="false" ht="15" hidden="true" customHeight="false" outlineLevel="0" collapsed="false">
      <c r="B760" s="17" t="s">
        <v>1117</v>
      </c>
      <c r="C760" s="17" t="s">
        <v>37</v>
      </c>
      <c r="D760" s="17" t="s">
        <v>886</v>
      </c>
      <c r="E760" s="29" t="s">
        <v>1088</v>
      </c>
      <c r="F760" s="14" t="s">
        <v>1089</v>
      </c>
      <c r="G760" s="3" t="s">
        <v>41</v>
      </c>
      <c r="H760" s="108" t="s">
        <v>70</v>
      </c>
      <c r="I760" s="3" t="s">
        <v>43</v>
      </c>
      <c r="K760" s="19" t="s">
        <v>1090</v>
      </c>
      <c r="L760" s="19"/>
      <c r="M760" s="17" t="s">
        <v>1090</v>
      </c>
      <c r="N760" s="17" t="s">
        <v>1113</v>
      </c>
      <c r="O760" s="29" t="s">
        <v>1114</v>
      </c>
      <c r="P760" s="17" t="s">
        <v>134</v>
      </c>
      <c r="Q760" s="17" t="s">
        <v>56</v>
      </c>
      <c r="R760" s="16" t="n">
        <v>2574</v>
      </c>
      <c r="S760" s="16" t="n">
        <v>4700</v>
      </c>
      <c r="T760" s="16" t="n">
        <v>1</v>
      </c>
      <c r="U760" s="1" t="str">
        <f aca="false">D760&amp;"-"&amp;E760&amp;"-"&amp;M760&amp;"-"&amp;O760&amp;"-"&amp;P760&amp;"-"&amp;Q760</f>
        <v>FANTASIE-LUCIA SIDE SUPPORT BRA-FL101501-Black print-34-DD</v>
      </c>
    </row>
    <row r="761" customFormat="false" ht="15" hidden="true" customHeight="false" outlineLevel="0" collapsed="false">
      <c r="B761" s="29" t="s">
        <v>1118</v>
      </c>
      <c r="C761" s="17" t="s">
        <v>37</v>
      </c>
      <c r="D761" s="29" t="s">
        <v>886</v>
      </c>
      <c r="E761" s="17" t="s">
        <v>1088</v>
      </c>
      <c r="F761" s="14" t="s">
        <v>1089</v>
      </c>
      <c r="G761" s="3" t="s">
        <v>41</v>
      </c>
      <c r="H761" s="108" t="s">
        <v>70</v>
      </c>
      <c r="I761" s="3" t="s">
        <v>43</v>
      </c>
      <c r="K761" s="19" t="s">
        <v>1090</v>
      </c>
      <c r="L761" s="19"/>
      <c r="M761" s="17" t="s">
        <v>1090</v>
      </c>
      <c r="N761" s="29" t="s">
        <v>1113</v>
      </c>
      <c r="O761" s="29" t="s">
        <v>1114</v>
      </c>
      <c r="P761" s="29" t="s">
        <v>134</v>
      </c>
      <c r="Q761" s="29" t="s">
        <v>66</v>
      </c>
      <c r="R761" s="16" t="n">
        <v>2574</v>
      </c>
      <c r="S761" s="16" t="n">
        <v>4700</v>
      </c>
      <c r="T761" s="16" t="n">
        <v>1</v>
      </c>
      <c r="U761" s="1" t="str">
        <f aca="false">D761&amp;"-"&amp;E761&amp;"-"&amp;M761&amp;"-"&amp;O761&amp;"-"&amp;P761&amp;"-"&amp;Q761</f>
        <v>FANTASIE-LUCIA SIDE SUPPORT BRA-FL101501-Black print-34-E</v>
      </c>
    </row>
    <row r="762" customFormat="false" ht="15" hidden="true" customHeight="false" outlineLevel="0" collapsed="false">
      <c r="B762" s="17" t="s">
        <v>1119</v>
      </c>
      <c r="C762" s="17" t="s">
        <v>37</v>
      </c>
      <c r="D762" s="17" t="s">
        <v>886</v>
      </c>
      <c r="E762" s="17" t="s">
        <v>1088</v>
      </c>
      <c r="F762" s="14" t="s">
        <v>1089</v>
      </c>
      <c r="G762" s="3" t="s">
        <v>41</v>
      </c>
      <c r="H762" s="108" t="s">
        <v>70</v>
      </c>
      <c r="I762" s="3" t="s">
        <v>43</v>
      </c>
      <c r="K762" s="19" t="s">
        <v>1090</v>
      </c>
      <c r="L762" s="19"/>
      <c r="M762" s="17" t="s">
        <v>1090</v>
      </c>
      <c r="N762" s="17" t="s">
        <v>1113</v>
      </c>
      <c r="O762" s="29" t="s">
        <v>1114</v>
      </c>
      <c r="P762" s="17" t="s">
        <v>134</v>
      </c>
      <c r="Q762" s="17" t="s">
        <v>50</v>
      </c>
      <c r="R762" s="16" t="n">
        <v>2574</v>
      </c>
      <c r="S762" s="16" t="n">
        <v>4700</v>
      </c>
      <c r="T762" s="16" t="n">
        <v>1</v>
      </c>
      <c r="U762" s="1" t="str">
        <f aca="false">D762&amp;"-"&amp;E762&amp;"-"&amp;M762&amp;"-"&amp;O762&amp;"-"&amp;P762&amp;"-"&amp;Q762</f>
        <v>FANTASIE-LUCIA SIDE SUPPORT BRA-FL101501-Black print-34-F</v>
      </c>
    </row>
    <row r="763" customFormat="false" ht="15" hidden="true" customHeight="false" outlineLevel="0" collapsed="false">
      <c r="B763" s="17" t="s">
        <v>1120</v>
      </c>
      <c r="C763" s="17" t="s">
        <v>37</v>
      </c>
      <c r="D763" s="17" t="s">
        <v>886</v>
      </c>
      <c r="E763" s="29" t="s">
        <v>1088</v>
      </c>
      <c r="F763" s="14" t="s">
        <v>1089</v>
      </c>
      <c r="G763" s="3" t="s">
        <v>41</v>
      </c>
      <c r="H763" s="108" t="s">
        <v>70</v>
      </c>
      <c r="I763" s="3" t="s">
        <v>43</v>
      </c>
      <c r="K763" s="19" t="s">
        <v>1090</v>
      </c>
      <c r="L763" s="19"/>
      <c r="M763" s="17" t="s">
        <v>1090</v>
      </c>
      <c r="N763" s="17" t="s">
        <v>1113</v>
      </c>
      <c r="O763" s="29" t="s">
        <v>1114</v>
      </c>
      <c r="P763" s="17" t="s">
        <v>134</v>
      </c>
      <c r="Q763" s="17" t="s">
        <v>62</v>
      </c>
      <c r="R763" s="16" t="n">
        <v>2574</v>
      </c>
      <c r="S763" s="16" t="n">
        <v>4700</v>
      </c>
      <c r="T763" s="16" t="n">
        <v>0</v>
      </c>
      <c r="U763" s="1" t="str">
        <f aca="false">D763&amp;"-"&amp;E763&amp;"-"&amp;M763&amp;"-"&amp;O763&amp;"-"&amp;P763&amp;"-"&amp;Q763</f>
        <v>FANTASIE-LUCIA SIDE SUPPORT BRA-FL101501-Black print-34-FF</v>
      </c>
    </row>
    <row r="764" customFormat="false" ht="15" hidden="true" customHeight="false" outlineLevel="0" collapsed="false">
      <c r="B764" s="29" t="s">
        <v>1121</v>
      </c>
      <c r="C764" s="17" t="s">
        <v>37</v>
      </c>
      <c r="D764" s="29" t="s">
        <v>886</v>
      </c>
      <c r="E764" s="29" t="s">
        <v>1088</v>
      </c>
      <c r="F764" s="14" t="s">
        <v>1089</v>
      </c>
      <c r="G764" s="3" t="s">
        <v>41</v>
      </c>
      <c r="H764" s="108" t="s">
        <v>70</v>
      </c>
      <c r="I764" s="3" t="s">
        <v>43</v>
      </c>
      <c r="K764" s="19" t="s">
        <v>1090</v>
      </c>
      <c r="L764" s="19"/>
      <c r="M764" s="17" t="s">
        <v>1090</v>
      </c>
      <c r="N764" s="29" t="s">
        <v>1113</v>
      </c>
      <c r="O764" s="29" t="s">
        <v>1114</v>
      </c>
      <c r="P764" s="29" t="s">
        <v>65</v>
      </c>
      <c r="Q764" s="29" t="s">
        <v>97</v>
      </c>
      <c r="R764" s="16" t="n">
        <v>2574</v>
      </c>
      <c r="S764" s="16" t="n">
        <v>4700</v>
      </c>
      <c r="T764" s="16" t="n">
        <v>1</v>
      </c>
      <c r="U764" s="1" t="str">
        <f aca="false">D764&amp;"-"&amp;E764&amp;"-"&amp;M764&amp;"-"&amp;O764&amp;"-"&amp;P764&amp;"-"&amp;Q764</f>
        <v>FANTASIE-LUCIA SIDE SUPPORT BRA-FL101501-Black print-36-D</v>
      </c>
    </row>
    <row r="765" customFormat="false" ht="15" hidden="true" customHeight="false" outlineLevel="0" collapsed="false">
      <c r="B765" s="17" t="s">
        <v>1122</v>
      </c>
      <c r="C765" s="17" t="s">
        <v>37</v>
      </c>
      <c r="D765" s="17" t="s">
        <v>886</v>
      </c>
      <c r="E765" s="17" t="s">
        <v>1088</v>
      </c>
      <c r="F765" s="14" t="s">
        <v>1089</v>
      </c>
      <c r="G765" s="3" t="s">
        <v>41</v>
      </c>
      <c r="H765" s="108" t="s">
        <v>70</v>
      </c>
      <c r="I765" s="3" t="s">
        <v>43</v>
      </c>
      <c r="K765" s="19" t="s">
        <v>1090</v>
      </c>
      <c r="L765" s="19"/>
      <c r="M765" s="17" t="s">
        <v>1090</v>
      </c>
      <c r="N765" s="17" t="s">
        <v>1113</v>
      </c>
      <c r="O765" s="29" t="s">
        <v>1114</v>
      </c>
      <c r="P765" s="17" t="s">
        <v>65</v>
      </c>
      <c r="Q765" s="17" t="s">
        <v>66</v>
      </c>
      <c r="R765" s="16" t="n">
        <v>2574</v>
      </c>
      <c r="S765" s="16" t="n">
        <v>4700</v>
      </c>
      <c r="T765" s="16" t="n">
        <v>1</v>
      </c>
      <c r="U765" s="1" t="str">
        <f aca="false">D765&amp;"-"&amp;E765&amp;"-"&amp;M765&amp;"-"&amp;O765&amp;"-"&amp;P765&amp;"-"&amp;Q765</f>
        <v>FANTASIE-LUCIA SIDE SUPPORT BRA-FL101501-Black print-36-E</v>
      </c>
    </row>
    <row r="766" customFormat="false" ht="15" hidden="true" customHeight="false" outlineLevel="0" collapsed="false">
      <c r="B766" s="29" t="s">
        <v>1123</v>
      </c>
      <c r="C766" s="17" t="s">
        <v>37</v>
      </c>
      <c r="D766" s="29" t="s">
        <v>886</v>
      </c>
      <c r="E766" s="17" t="s">
        <v>1088</v>
      </c>
      <c r="F766" s="14" t="s">
        <v>1089</v>
      </c>
      <c r="G766" s="3" t="s">
        <v>41</v>
      </c>
      <c r="H766" s="108" t="s">
        <v>70</v>
      </c>
      <c r="I766" s="3" t="s">
        <v>43</v>
      </c>
      <c r="K766" s="19" t="s">
        <v>1090</v>
      </c>
      <c r="L766" s="19"/>
      <c r="M766" s="17" t="s">
        <v>1090</v>
      </c>
      <c r="N766" s="29" t="s">
        <v>1113</v>
      </c>
      <c r="O766" s="29" t="s">
        <v>1114</v>
      </c>
      <c r="P766" s="29" t="s">
        <v>65</v>
      </c>
      <c r="Q766" s="29" t="s">
        <v>50</v>
      </c>
      <c r="R766" s="16" t="n">
        <v>2574</v>
      </c>
      <c r="S766" s="16" t="n">
        <v>4700</v>
      </c>
      <c r="T766" s="16" t="n">
        <v>1</v>
      </c>
      <c r="U766" s="1" t="str">
        <f aca="false">D766&amp;"-"&amp;E766&amp;"-"&amp;M766&amp;"-"&amp;O766&amp;"-"&amp;P766&amp;"-"&amp;Q766</f>
        <v>FANTASIE-LUCIA SIDE SUPPORT BRA-FL101501-Black print-36-F</v>
      </c>
    </row>
    <row r="767" customFormat="false" ht="15" hidden="true" customHeight="false" outlineLevel="0" collapsed="false">
      <c r="B767" s="17" t="s">
        <v>1124</v>
      </c>
      <c r="C767" s="17" t="s">
        <v>37</v>
      </c>
      <c r="D767" s="17" t="s">
        <v>886</v>
      </c>
      <c r="E767" s="29" t="s">
        <v>1088</v>
      </c>
      <c r="F767" s="14" t="s">
        <v>1089</v>
      </c>
      <c r="G767" s="3" t="s">
        <v>41</v>
      </c>
      <c r="H767" s="108" t="s">
        <v>70</v>
      </c>
      <c r="I767" s="3" t="s">
        <v>43</v>
      </c>
      <c r="K767" s="19" t="s">
        <v>1090</v>
      </c>
      <c r="L767" s="19"/>
      <c r="M767" s="17" t="s">
        <v>1090</v>
      </c>
      <c r="N767" s="17" t="s">
        <v>1113</v>
      </c>
      <c r="O767" s="29" t="s">
        <v>1114</v>
      </c>
      <c r="P767" s="17" t="s">
        <v>65</v>
      </c>
      <c r="Q767" s="17" t="s">
        <v>62</v>
      </c>
      <c r="R767" s="16" t="n">
        <v>2574</v>
      </c>
      <c r="S767" s="16" t="n">
        <v>4700</v>
      </c>
      <c r="T767" s="16" t="n">
        <v>1</v>
      </c>
      <c r="U767" s="1" t="str">
        <f aca="false">D767&amp;"-"&amp;E767&amp;"-"&amp;M767&amp;"-"&amp;O767&amp;"-"&amp;P767&amp;"-"&amp;Q767</f>
        <v>FANTASIE-LUCIA SIDE SUPPORT BRA-FL101501-Black print-36-FF</v>
      </c>
    </row>
    <row r="768" customFormat="false" ht="15" hidden="true" customHeight="false" outlineLevel="0" collapsed="false">
      <c r="B768" s="29" t="s">
        <v>1125</v>
      </c>
      <c r="C768" s="17" t="s">
        <v>37</v>
      </c>
      <c r="D768" s="29" t="s">
        <v>886</v>
      </c>
      <c r="E768" s="17" t="s">
        <v>1088</v>
      </c>
      <c r="F768" s="14" t="s">
        <v>1089</v>
      </c>
      <c r="G768" s="3" t="s">
        <v>41</v>
      </c>
      <c r="H768" s="108" t="s">
        <v>70</v>
      </c>
      <c r="I768" s="3" t="s">
        <v>43</v>
      </c>
      <c r="K768" s="19" t="s">
        <v>1090</v>
      </c>
      <c r="L768" s="19"/>
      <c r="M768" s="17" t="s">
        <v>1090</v>
      </c>
      <c r="N768" s="29" t="s">
        <v>1113</v>
      </c>
      <c r="O768" s="29" t="s">
        <v>1114</v>
      </c>
      <c r="P768" s="29" t="s">
        <v>65</v>
      </c>
      <c r="Q768" s="29" t="s">
        <v>105</v>
      </c>
      <c r="R768" s="16" t="n">
        <v>2574</v>
      </c>
      <c r="S768" s="16" t="n">
        <v>4700</v>
      </c>
      <c r="T768" s="16" t="n">
        <v>0</v>
      </c>
      <c r="U768" s="1" t="str">
        <f aca="false">D768&amp;"-"&amp;E768&amp;"-"&amp;M768&amp;"-"&amp;O768&amp;"-"&amp;P768&amp;"-"&amp;Q768</f>
        <v>FANTASIE-LUCIA SIDE SUPPORT BRA-FL101501-Black print-36-G</v>
      </c>
    </row>
    <row r="769" customFormat="false" ht="15" hidden="true" customHeight="false" outlineLevel="0" collapsed="false">
      <c r="B769" s="29" t="s">
        <v>1126</v>
      </c>
      <c r="C769" s="17" t="s">
        <v>37</v>
      </c>
      <c r="D769" s="29" t="s">
        <v>886</v>
      </c>
      <c r="E769" s="29" t="s">
        <v>1088</v>
      </c>
      <c r="F769" s="14" t="s">
        <v>1089</v>
      </c>
      <c r="G769" s="3" t="s">
        <v>41</v>
      </c>
      <c r="H769" s="108" t="s">
        <v>70</v>
      </c>
      <c r="I769" s="3" t="s">
        <v>43</v>
      </c>
      <c r="K769" s="19" t="s">
        <v>1090</v>
      </c>
      <c r="L769" s="19"/>
      <c r="M769" s="17" t="s">
        <v>1090</v>
      </c>
      <c r="N769" s="29" t="s">
        <v>1113</v>
      </c>
      <c r="O769" s="29" t="s">
        <v>1114</v>
      </c>
      <c r="P769" s="29" t="s">
        <v>154</v>
      </c>
      <c r="Q769" s="29" t="s">
        <v>97</v>
      </c>
      <c r="R769" s="16" t="n">
        <v>2574</v>
      </c>
      <c r="S769" s="16" t="n">
        <v>4700</v>
      </c>
      <c r="T769" s="16" t="n">
        <v>1</v>
      </c>
      <c r="U769" s="1" t="str">
        <f aca="false">D769&amp;"-"&amp;E769&amp;"-"&amp;M769&amp;"-"&amp;O769&amp;"-"&amp;P769&amp;"-"&amp;Q769</f>
        <v>FANTASIE-LUCIA SIDE SUPPORT BRA-FL101501-Black print-38-D</v>
      </c>
    </row>
    <row r="770" customFormat="false" ht="15" hidden="true" customHeight="false" outlineLevel="0" collapsed="false">
      <c r="B770" s="17" t="s">
        <v>1127</v>
      </c>
      <c r="C770" s="17" t="s">
        <v>37</v>
      </c>
      <c r="D770" s="17" t="s">
        <v>886</v>
      </c>
      <c r="E770" s="17" t="s">
        <v>1088</v>
      </c>
      <c r="F770" s="14" t="s">
        <v>1089</v>
      </c>
      <c r="G770" s="3" t="s">
        <v>41</v>
      </c>
      <c r="H770" s="108" t="s">
        <v>70</v>
      </c>
      <c r="I770" s="3" t="s">
        <v>43</v>
      </c>
      <c r="K770" s="19" t="s">
        <v>1090</v>
      </c>
      <c r="L770" s="19"/>
      <c r="M770" s="17" t="s">
        <v>1090</v>
      </c>
      <c r="N770" s="17" t="s">
        <v>1113</v>
      </c>
      <c r="O770" s="29" t="s">
        <v>1114</v>
      </c>
      <c r="P770" s="17" t="s">
        <v>154</v>
      </c>
      <c r="Q770" s="17" t="s">
        <v>66</v>
      </c>
      <c r="R770" s="16" t="n">
        <v>2574</v>
      </c>
      <c r="S770" s="16" t="n">
        <v>4700</v>
      </c>
      <c r="T770" s="16" t="n">
        <v>1</v>
      </c>
      <c r="U770" s="1" t="str">
        <f aca="false">D770&amp;"-"&amp;E770&amp;"-"&amp;M770&amp;"-"&amp;O770&amp;"-"&amp;P770&amp;"-"&amp;Q770</f>
        <v>FANTASIE-LUCIA SIDE SUPPORT BRA-FL101501-Black print-38-E</v>
      </c>
    </row>
    <row r="771" customFormat="false" ht="15" hidden="true" customHeight="false" outlineLevel="0" collapsed="false">
      <c r="B771" s="29" t="s">
        <v>1128</v>
      </c>
      <c r="C771" s="17" t="s">
        <v>37</v>
      </c>
      <c r="D771" s="29" t="s">
        <v>886</v>
      </c>
      <c r="E771" s="17" t="s">
        <v>1088</v>
      </c>
      <c r="F771" s="14" t="s">
        <v>1089</v>
      </c>
      <c r="G771" s="3" t="s">
        <v>41</v>
      </c>
      <c r="H771" s="108" t="s">
        <v>70</v>
      </c>
      <c r="I771" s="3" t="s">
        <v>43</v>
      </c>
      <c r="K771" s="19" t="s">
        <v>1090</v>
      </c>
      <c r="L771" s="19"/>
      <c r="M771" s="17" t="s">
        <v>1090</v>
      </c>
      <c r="N771" s="29" t="s">
        <v>1113</v>
      </c>
      <c r="O771" s="29" t="s">
        <v>1114</v>
      </c>
      <c r="P771" s="29" t="s">
        <v>154</v>
      </c>
      <c r="Q771" s="29" t="s">
        <v>50</v>
      </c>
      <c r="R771" s="16" t="n">
        <v>2574</v>
      </c>
      <c r="S771" s="16" t="n">
        <v>4700</v>
      </c>
      <c r="T771" s="16" t="n">
        <v>0</v>
      </c>
      <c r="U771" s="1" t="str">
        <f aca="false">D771&amp;"-"&amp;E771&amp;"-"&amp;M771&amp;"-"&amp;O771&amp;"-"&amp;P771&amp;"-"&amp;Q771</f>
        <v>FANTASIE-LUCIA SIDE SUPPORT BRA-FL101501-Black print-38-F</v>
      </c>
    </row>
    <row r="772" customFormat="false" ht="15" hidden="true" customHeight="false" outlineLevel="0" collapsed="false">
      <c r="B772" s="17" t="s">
        <v>1129</v>
      </c>
      <c r="C772" s="17" t="s">
        <v>37</v>
      </c>
      <c r="D772" s="17" t="s">
        <v>886</v>
      </c>
      <c r="E772" s="29" t="s">
        <v>1088</v>
      </c>
      <c r="F772" s="14" t="s">
        <v>1089</v>
      </c>
      <c r="G772" s="3" t="s">
        <v>41</v>
      </c>
      <c r="H772" s="108" t="s">
        <v>70</v>
      </c>
      <c r="I772" s="3" t="s">
        <v>43</v>
      </c>
      <c r="K772" s="19" t="s">
        <v>1090</v>
      </c>
      <c r="L772" s="19"/>
      <c r="M772" s="17" t="s">
        <v>1090</v>
      </c>
      <c r="N772" s="17" t="s">
        <v>1113</v>
      </c>
      <c r="O772" s="29" t="s">
        <v>1114</v>
      </c>
      <c r="P772" s="17" t="s">
        <v>154</v>
      </c>
      <c r="Q772" s="17" t="s">
        <v>66</v>
      </c>
      <c r="R772" s="16" t="n">
        <v>2574</v>
      </c>
      <c r="S772" s="16" t="n">
        <v>4700</v>
      </c>
      <c r="T772" s="16" t="n">
        <v>1</v>
      </c>
      <c r="U772" s="1" t="str">
        <f aca="false">D772&amp;"-"&amp;E772&amp;"-"&amp;M772&amp;"-"&amp;O772&amp;"-"&amp;P772&amp;"-"&amp;Q772</f>
        <v>FANTASIE-LUCIA SIDE SUPPORT BRA-FL101501-Black print-38-E</v>
      </c>
    </row>
    <row r="773" customFormat="false" ht="15" hidden="true" customHeight="false" outlineLevel="0" collapsed="false">
      <c r="B773" s="29" t="s">
        <v>1130</v>
      </c>
      <c r="C773" s="17" t="s">
        <v>37</v>
      </c>
      <c r="D773" s="29" t="s">
        <v>886</v>
      </c>
      <c r="E773" s="17" t="s">
        <v>1088</v>
      </c>
      <c r="F773" s="14" t="s">
        <v>1089</v>
      </c>
      <c r="G773" s="3" t="s">
        <v>41</v>
      </c>
      <c r="H773" s="108" t="s">
        <v>70</v>
      </c>
      <c r="I773" s="3" t="s">
        <v>43</v>
      </c>
      <c r="K773" s="19" t="s">
        <v>1090</v>
      </c>
      <c r="L773" s="19"/>
      <c r="M773" s="17" t="s">
        <v>1090</v>
      </c>
      <c r="N773" s="29" t="s">
        <v>1113</v>
      </c>
      <c r="O773" s="29" t="s">
        <v>1114</v>
      </c>
      <c r="P773" s="29" t="s">
        <v>154</v>
      </c>
      <c r="Q773" s="29" t="s">
        <v>105</v>
      </c>
      <c r="R773" s="16" t="n">
        <v>2574</v>
      </c>
      <c r="S773" s="16" t="n">
        <v>4700</v>
      </c>
      <c r="T773" s="16" t="n">
        <v>0</v>
      </c>
      <c r="U773" s="1" t="str">
        <f aca="false">D773&amp;"-"&amp;E773&amp;"-"&amp;M773&amp;"-"&amp;O773&amp;"-"&amp;P773&amp;"-"&amp;Q773</f>
        <v>FANTASIE-LUCIA SIDE SUPPORT BRA-FL101501-Black print-38-G</v>
      </c>
    </row>
    <row r="774" customFormat="false" ht="15" hidden="true" customHeight="false" outlineLevel="0" collapsed="false">
      <c r="B774" s="17" t="s">
        <v>1131</v>
      </c>
      <c r="C774" s="17" t="s">
        <v>37</v>
      </c>
      <c r="D774" s="17" t="s">
        <v>886</v>
      </c>
      <c r="E774" s="17" t="s">
        <v>1088</v>
      </c>
      <c r="F774" s="14" t="s">
        <v>1089</v>
      </c>
      <c r="G774" s="3" t="s">
        <v>41</v>
      </c>
      <c r="H774" s="108" t="s">
        <v>70</v>
      </c>
      <c r="I774" s="3" t="s">
        <v>43</v>
      </c>
      <c r="K774" s="19" t="s">
        <v>1090</v>
      </c>
      <c r="L774" s="19"/>
      <c r="M774" s="17" t="s">
        <v>1090</v>
      </c>
      <c r="N774" s="17" t="s">
        <v>1113</v>
      </c>
      <c r="O774" s="29" t="s">
        <v>1114</v>
      </c>
      <c r="P774" s="17" t="s">
        <v>154</v>
      </c>
      <c r="Q774" s="17" t="s">
        <v>129</v>
      </c>
      <c r="R774" s="16" t="n">
        <v>2574</v>
      </c>
      <c r="S774" s="16" t="n">
        <v>4700</v>
      </c>
      <c r="T774" s="16" t="n">
        <v>0</v>
      </c>
      <c r="U774" s="1" t="str">
        <f aca="false">D774&amp;"-"&amp;E774&amp;"-"&amp;M774&amp;"-"&amp;O774&amp;"-"&amp;P774&amp;"-"&amp;Q774</f>
        <v>FANTASIE-LUCIA SIDE SUPPORT BRA-FL101501-Black print-38-GG</v>
      </c>
    </row>
    <row r="775" customFormat="false" ht="15" hidden="true" customHeight="false" outlineLevel="0" collapsed="false">
      <c r="B775" s="29" t="s">
        <v>1132</v>
      </c>
      <c r="C775" s="17" t="s">
        <v>37</v>
      </c>
      <c r="D775" s="29" t="s">
        <v>886</v>
      </c>
      <c r="E775" s="29" t="s">
        <v>1088</v>
      </c>
      <c r="F775" s="14" t="s">
        <v>1089</v>
      </c>
      <c r="G775" s="3" t="s">
        <v>41</v>
      </c>
      <c r="H775" s="108" t="s">
        <v>70</v>
      </c>
      <c r="I775" s="3" t="s">
        <v>43</v>
      </c>
      <c r="K775" s="19" t="s">
        <v>1090</v>
      </c>
      <c r="L775" s="19"/>
      <c r="M775" s="17" t="s">
        <v>1090</v>
      </c>
      <c r="N775" s="29" t="s">
        <v>1113</v>
      </c>
      <c r="O775" s="29" t="s">
        <v>1114</v>
      </c>
      <c r="P775" s="29" t="s">
        <v>417</v>
      </c>
      <c r="Q775" s="29" t="s">
        <v>56</v>
      </c>
      <c r="R775" s="16" t="n">
        <v>2574</v>
      </c>
      <c r="S775" s="16" t="n">
        <v>4700</v>
      </c>
      <c r="T775" s="16" t="n">
        <v>1</v>
      </c>
      <c r="U775" s="1" t="str">
        <f aca="false">D775&amp;"-"&amp;E775&amp;"-"&amp;M775&amp;"-"&amp;O775&amp;"-"&amp;P775&amp;"-"&amp;Q775</f>
        <v>FANTASIE-LUCIA SIDE SUPPORT BRA-FL101501-Black print-40-DD</v>
      </c>
    </row>
    <row r="776" customFormat="false" ht="15" hidden="true" customHeight="false" outlineLevel="0" collapsed="false">
      <c r="B776" s="17" t="s">
        <v>1133</v>
      </c>
      <c r="C776" s="17" t="s">
        <v>37</v>
      </c>
      <c r="D776" s="17" t="s">
        <v>886</v>
      </c>
      <c r="E776" s="17" t="s">
        <v>1088</v>
      </c>
      <c r="F776" s="14" t="s">
        <v>1089</v>
      </c>
      <c r="G776" s="3" t="s">
        <v>41</v>
      </c>
      <c r="H776" s="108" t="s">
        <v>70</v>
      </c>
      <c r="I776" s="3" t="s">
        <v>43</v>
      </c>
      <c r="K776" s="19" t="s">
        <v>1090</v>
      </c>
      <c r="L776" s="19"/>
      <c r="M776" s="17" t="s">
        <v>1090</v>
      </c>
      <c r="N776" s="17" t="s">
        <v>1113</v>
      </c>
      <c r="O776" s="29" t="s">
        <v>1114</v>
      </c>
      <c r="P776" s="17" t="s">
        <v>417</v>
      </c>
      <c r="Q776" s="17" t="s">
        <v>66</v>
      </c>
      <c r="R776" s="16" t="n">
        <v>2574</v>
      </c>
      <c r="S776" s="16" t="n">
        <v>4700</v>
      </c>
      <c r="T776" s="16" t="n">
        <v>1</v>
      </c>
      <c r="U776" s="1" t="str">
        <f aca="false">D776&amp;"-"&amp;E776&amp;"-"&amp;M776&amp;"-"&amp;O776&amp;"-"&amp;P776&amp;"-"&amp;Q776</f>
        <v>FANTASIE-LUCIA SIDE SUPPORT BRA-FL101501-Black print-40-E</v>
      </c>
    </row>
    <row r="777" customFormat="false" ht="15" hidden="true" customHeight="false" outlineLevel="0" collapsed="false">
      <c r="B777" s="29" t="s">
        <v>1134</v>
      </c>
      <c r="C777" s="17" t="s">
        <v>37</v>
      </c>
      <c r="D777" s="29" t="s">
        <v>886</v>
      </c>
      <c r="E777" s="29" t="s">
        <v>1135</v>
      </c>
      <c r="F777" s="14" t="s">
        <v>1089</v>
      </c>
      <c r="G777" s="3" t="s">
        <v>1136</v>
      </c>
      <c r="H777" s="108" t="s">
        <v>1137</v>
      </c>
      <c r="I777" s="3" t="s">
        <v>1136</v>
      </c>
      <c r="K777" s="19" t="s">
        <v>1138</v>
      </c>
      <c r="L777" s="19"/>
      <c r="M777" s="29" t="s">
        <v>1139</v>
      </c>
      <c r="N777" s="29" t="s">
        <v>53</v>
      </c>
      <c r="O777" s="17" t="s">
        <v>1091</v>
      </c>
      <c r="P777" s="29" t="s">
        <v>1140</v>
      </c>
      <c r="Q777" s="29"/>
      <c r="R777" s="16" t="n">
        <v>1224</v>
      </c>
      <c r="S777" s="16" t="n">
        <v>1800</v>
      </c>
      <c r="T777" s="16" t="n">
        <v>0</v>
      </c>
      <c r="U777" s="1" t="str">
        <f aca="false">D777&amp;"-"&amp;E777&amp;"-"&amp;M777&amp;"-"&amp;O777&amp;"-"&amp;P777&amp;"-"&amp;Q777</f>
        <v>FANTASIE-LUCIA HIPSTER-FL101550-Cherry-XS-</v>
      </c>
    </row>
    <row r="778" customFormat="false" ht="15" hidden="true" customHeight="false" outlineLevel="0" collapsed="false">
      <c r="B778" s="29" t="s">
        <v>1141</v>
      </c>
      <c r="C778" s="17" t="s">
        <v>37</v>
      </c>
      <c r="D778" s="29" t="s">
        <v>886</v>
      </c>
      <c r="E778" s="29" t="s">
        <v>1135</v>
      </c>
      <c r="F778" s="14" t="s">
        <v>1089</v>
      </c>
      <c r="G778" s="3" t="s">
        <v>1136</v>
      </c>
      <c r="H778" s="108" t="s">
        <v>1137</v>
      </c>
      <c r="I778" s="3" t="s">
        <v>1136</v>
      </c>
      <c r="K778" s="19" t="s">
        <v>1138</v>
      </c>
      <c r="L778" s="19"/>
      <c r="M778" s="29" t="s">
        <v>1139</v>
      </c>
      <c r="N778" s="29" t="s">
        <v>1113</v>
      </c>
      <c r="O778" s="29" t="s">
        <v>1114</v>
      </c>
      <c r="P778" s="29" t="s">
        <v>1142</v>
      </c>
      <c r="Q778" s="29"/>
      <c r="R778" s="16" t="n">
        <v>1224</v>
      </c>
      <c r="S778" s="16" t="n">
        <v>1800</v>
      </c>
      <c r="T778" s="16" t="n">
        <v>0</v>
      </c>
      <c r="U778" s="1" t="str">
        <f aca="false">D778&amp;"-"&amp;E778&amp;"-"&amp;M778&amp;"-"&amp;O778&amp;"-"&amp;P778&amp;"-"&amp;Q778</f>
        <v>FANTASIE-LUCIA HIPSTER-FL101550-Black print-L-</v>
      </c>
    </row>
    <row r="779" customFormat="false" ht="15" hidden="true" customHeight="false" outlineLevel="0" collapsed="false">
      <c r="B779" s="29" t="s">
        <v>1143</v>
      </c>
      <c r="C779" s="17" t="s">
        <v>37</v>
      </c>
      <c r="D779" s="29" t="s">
        <v>886</v>
      </c>
      <c r="E779" s="17" t="s">
        <v>1144</v>
      </c>
      <c r="F779" s="14" t="s">
        <v>1089</v>
      </c>
      <c r="G779" s="3" t="s">
        <v>1136</v>
      </c>
      <c r="H779" s="108" t="s">
        <v>1137</v>
      </c>
      <c r="I779" s="3" t="s">
        <v>1136</v>
      </c>
      <c r="K779" s="19" t="s">
        <v>1138</v>
      </c>
      <c r="L779" s="19"/>
      <c r="M779" s="29" t="s">
        <v>1139</v>
      </c>
      <c r="N779" s="29" t="s">
        <v>1113</v>
      </c>
      <c r="O779" s="29" t="s">
        <v>1114</v>
      </c>
      <c r="P779" s="29" t="s">
        <v>1145</v>
      </c>
      <c r="Q779" s="29"/>
      <c r="R779" s="16" t="n">
        <v>1224</v>
      </c>
      <c r="S779" s="16" t="n">
        <v>1800</v>
      </c>
      <c r="T779" s="16" t="n">
        <v>1</v>
      </c>
      <c r="U779" s="1" t="str">
        <f aca="false">D779&amp;"-"&amp;E779&amp;"-"&amp;M779&amp;"-"&amp;O779&amp;"-"&amp;P779&amp;"-"&amp;Q779</f>
        <v>FANTASIE-LOW WAIST PANTY-FL101550-Black print-M-</v>
      </c>
    </row>
    <row r="780" customFormat="false" ht="15" hidden="true" customHeight="false" outlineLevel="0" collapsed="false">
      <c r="B780" s="17" t="s">
        <v>1146</v>
      </c>
      <c r="C780" s="17" t="s">
        <v>37</v>
      </c>
      <c r="D780" s="17" t="s">
        <v>886</v>
      </c>
      <c r="E780" s="17" t="s">
        <v>1144</v>
      </c>
      <c r="F780" s="14" t="s">
        <v>1089</v>
      </c>
      <c r="G780" s="3" t="s">
        <v>1136</v>
      </c>
      <c r="H780" s="108" t="s">
        <v>1137</v>
      </c>
      <c r="I780" s="3" t="s">
        <v>1136</v>
      </c>
      <c r="K780" s="19" t="s">
        <v>1147</v>
      </c>
      <c r="L780" s="19"/>
      <c r="M780" s="17" t="s">
        <v>1139</v>
      </c>
      <c r="N780" s="17" t="s">
        <v>1113</v>
      </c>
      <c r="O780" s="29" t="s">
        <v>1114</v>
      </c>
      <c r="P780" s="17" t="s">
        <v>1148</v>
      </c>
      <c r="Q780" s="17"/>
      <c r="R780" s="16" t="n">
        <v>1224</v>
      </c>
      <c r="S780" s="16" t="n">
        <v>1800</v>
      </c>
      <c r="T780" s="16" t="n">
        <v>1</v>
      </c>
      <c r="U780" s="1" t="str">
        <f aca="false">D780&amp;"-"&amp;E780&amp;"-"&amp;M780&amp;"-"&amp;O780&amp;"-"&amp;P780&amp;"-"&amp;Q780</f>
        <v>FANTASIE-LOW WAIST PANTY-FL101550-Black print-S-</v>
      </c>
    </row>
    <row r="781" customFormat="false" ht="15" hidden="true" customHeight="false" outlineLevel="0" collapsed="false">
      <c r="B781" s="17" t="s">
        <v>1149</v>
      </c>
      <c r="C781" s="17" t="s">
        <v>37</v>
      </c>
      <c r="D781" s="17" t="s">
        <v>886</v>
      </c>
      <c r="E781" s="17" t="s">
        <v>1144</v>
      </c>
      <c r="F781" s="14" t="s">
        <v>1089</v>
      </c>
      <c r="G781" s="3" t="s">
        <v>1136</v>
      </c>
      <c r="H781" s="108" t="s">
        <v>1137</v>
      </c>
      <c r="I781" s="3" t="s">
        <v>1136</v>
      </c>
      <c r="K781" s="19" t="s">
        <v>1147</v>
      </c>
      <c r="L781" s="19"/>
      <c r="M781" s="17" t="s">
        <v>1139</v>
      </c>
      <c r="N781" s="17" t="s">
        <v>1113</v>
      </c>
      <c r="O781" s="29" t="s">
        <v>1114</v>
      </c>
      <c r="P781" s="17" t="s">
        <v>1140</v>
      </c>
      <c r="Q781" s="17"/>
      <c r="R781" s="16" t="n">
        <v>1224</v>
      </c>
      <c r="S781" s="16" t="n">
        <v>1800</v>
      </c>
      <c r="T781" s="16" t="n">
        <v>1</v>
      </c>
      <c r="U781" s="1" t="str">
        <f aca="false">D781&amp;"-"&amp;E781&amp;"-"&amp;M781&amp;"-"&amp;O781&amp;"-"&amp;P781&amp;"-"&amp;Q781</f>
        <v>FANTASIE-LOW WAIST PANTY-FL101550-Black print-XS-</v>
      </c>
    </row>
    <row r="782" customFormat="false" ht="15" hidden="true" customHeight="false" outlineLevel="0" collapsed="false">
      <c r="B782" s="17" t="s">
        <v>1150</v>
      </c>
      <c r="C782" s="17" t="s">
        <v>37</v>
      </c>
      <c r="D782" s="17" t="s">
        <v>886</v>
      </c>
      <c r="E782" s="29" t="s">
        <v>1135</v>
      </c>
      <c r="F782" s="14" t="s">
        <v>1089</v>
      </c>
      <c r="G782" s="3" t="s">
        <v>1136</v>
      </c>
      <c r="H782" s="108" t="s">
        <v>1137</v>
      </c>
      <c r="I782" s="3" t="s">
        <v>1136</v>
      </c>
      <c r="K782" s="19" t="s">
        <v>1138</v>
      </c>
      <c r="L782" s="19"/>
      <c r="M782" s="17" t="s">
        <v>1138</v>
      </c>
      <c r="N782" s="17" t="s">
        <v>1113</v>
      </c>
      <c r="O782" s="29" t="s">
        <v>1114</v>
      </c>
      <c r="P782" s="17" t="s">
        <v>1142</v>
      </c>
      <c r="Q782" s="17"/>
      <c r="R782" s="16" t="n">
        <v>1386</v>
      </c>
      <c r="S782" s="16" t="n">
        <v>1800</v>
      </c>
      <c r="T782" s="16" t="n">
        <v>1</v>
      </c>
      <c r="U782" s="1" t="str">
        <f aca="false">D782&amp;"-"&amp;E782&amp;"-"&amp;M782&amp;"-"&amp;O782&amp;"-"&amp;P782&amp;"-"&amp;Q782</f>
        <v>FANTASIE-LUCIA HIPSTER-FL101580-Black print-L-</v>
      </c>
    </row>
    <row r="783" customFormat="false" ht="15" hidden="true" customHeight="false" outlineLevel="0" collapsed="false">
      <c r="B783" s="17" t="s">
        <v>1151</v>
      </c>
      <c r="C783" s="17" t="s">
        <v>37</v>
      </c>
      <c r="D783" s="17" t="s">
        <v>886</v>
      </c>
      <c r="E783" s="29" t="s">
        <v>1135</v>
      </c>
      <c r="F783" s="14" t="s">
        <v>1089</v>
      </c>
      <c r="G783" s="3" t="s">
        <v>1136</v>
      </c>
      <c r="H783" s="108" t="s">
        <v>1137</v>
      </c>
      <c r="I783" s="3" t="s">
        <v>1136</v>
      </c>
      <c r="K783" s="19" t="s">
        <v>1138</v>
      </c>
      <c r="L783" s="19"/>
      <c r="M783" s="17" t="s">
        <v>1138</v>
      </c>
      <c r="N783" s="17" t="s">
        <v>1113</v>
      </c>
      <c r="O783" s="29" t="s">
        <v>1114</v>
      </c>
      <c r="P783" s="17" t="s">
        <v>1145</v>
      </c>
      <c r="Q783" s="17"/>
      <c r="R783" s="16" t="n">
        <v>1386</v>
      </c>
      <c r="S783" s="16" t="n">
        <v>1800</v>
      </c>
      <c r="T783" s="16" t="n">
        <v>0</v>
      </c>
      <c r="U783" s="1" t="str">
        <f aca="false">D783&amp;"-"&amp;E783&amp;"-"&amp;M783&amp;"-"&amp;O783&amp;"-"&amp;P783&amp;"-"&amp;Q783</f>
        <v>FANTASIE-LUCIA HIPSTER-FL101580-Black print-M-</v>
      </c>
    </row>
    <row r="784" customFormat="false" ht="15" hidden="true" customHeight="false" outlineLevel="0" collapsed="false">
      <c r="B784" s="29" t="s">
        <v>1152</v>
      </c>
      <c r="C784" s="17" t="s">
        <v>37</v>
      </c>
      <c r="D784" s="29" t="s">
        <v>886</v>
      </c>
      <c r="E784" s="29" t="s">
        <v>1135</v>
      </c>
      <c r="F784" s="14" t="s">
        <v>1089</v>
      </c>
      <c r="G784" s="3" t="s">
        <v>1136</v>
      </c>
      <c r="H784" s="108" t="s">
        <v>1137</v>
      </c>
      <c r="I784" s="3" t="s">
        <v>1136</v>
      </c>
      <c r="K784" s="19" t="s">
        <v>1138</v>
      </c>
      <c r="L784" s="19"/>
      <c r="M784" s="29" t="s">
        <v>1138</v>
      </c>
      <c r="N784" s="29" t="s">
        <v>1113</v>
      </c>
      <c r="O784" s="29" t="s">
        <v>1114</v>
      </c>
      <c r="P784" s="29" t="s">
        <v>1148</v>
      </c>
      <c r="Q784" s="29"/>
      <c r="R784" s="16" t="n">
        <v>1386</v>
      </c>
      <c r="S784" s="16" t="n">
        <v>1800</v>
      </c>
      <c r="T784" s="16" t="n">
        <v>1</v>
      </c>
      <c r="U784" s="1" t="str">
        <f aca="false">D784&amp;"-"&amp;E784&amp;"-"&amp;M784&amp;"-"&amp;O784&amp;"-"&amp;P784&amp;"-"&amp;Q784</f>
        <v>FANTASIE-LUCIA HIPSTER-FL101580-Black print-S-</v>
      </c>
    </row>
    <row r="785" customFormat="false" ht="15" hidden="true" customHeight="false" outlineLevel="0" collapsed="false">
      <c r="B785" s="29" t="s">
        <v>1153</v>
      </c>
      <c r="C785" s="17" t="s">
        <v>37</v>
      </c>
      <c r="D785" s="29" t="s">
        <v>886</v>
      </c>
      <c r="E785" s="17" t="s">
        <v>1154</v>
      </c>
      <c r="F785" s="14" t="s">
        <v>1089</v>
      </c>
      <c r="G785" s="3" t="s">
        <v>689</v>
      </c>
      <c r="H785" s="108" t="s">
        <v>1137</v>
      </c>
      <c r="I785" s="3" t="s">
        <v>1155</v>
      </c>
      <c r="K785" s="19" t="s">
        <v>1147</v>
      </c>
      <c r="L785" s="19"/>
      <c r="M785" s="29" t="s">
        <v>1147</v>
      </c>
      <c r="N785" s="29" t="s">
        <v>1113</v>
      </c>
      <c r="O785" s="29" t="s">
        <v>1114</v>
      </c>
      <c r="P785" s="29" t="s">
        <v>1142</v>
      </c>
      <c r="Q785" s="29"/>
      <c r="R785" s="16" t="n">
        <v>3726</v>
      </c>
      <c r="S785" s="16" t="n">
        <v>1800</v>
      </c>
      <c r="T785" s="16" t="n">
        <v>1</v>
      </c>
      <c r="U785" s="1" t="str">
        <f aca="false">D785&amp;"-"&amp;E785&amp;"-"&amp;M785&amp;"-"&amp;O785&amp;"-"&amp;P785&amp;"-"&amp;Q785</f>
        <v>FANTASIE-NIGHTWEAR-FL101590-Black print-L-</v>
      </c>
    </row>
    <row r="786" customFormat="false" ht="15" hidden="true" customHeight="false" outlineLevel="0" collapsed="false">
      <c r="B786" s="29" t="s">
        <v>1156</v>
      </c>
      <c r="C786" s="17" t="s">
        <v>37</v>
      </c>
      <c r="D786" s="29" t="s">
        <v>886</v>
      </c>
      <c r="E786" s="17" t="s">
        <v>1154</v>
      </c>
      <c r="F786" s="14" t="s">
        <v>1089</v>
      </c>
      <c r="G786" s="3" t="s">
        <v>689</v>
      </c>
      <c r="H786" s="108" t="s">
        <v>1137</v>
      </c>
      <c r="I786" s="3" t="s">
        <v>1155</v>
      </c>
      <c r="K786" s="19" t="s">
        <v>1147</v>
      </c>
      <c r="L786" s="19"/>
      <c r="M786" s="29" t="s">
        <v>1147</v>
      </c>
      <c r="N786" s="29" t="s">
        <v>1113</v>
      </c>
      <c r="O786" s="29" t="s">
        <v>1114</v>
      </c>
      <c r="P786" s="29" t="s">
        <v>1145</v>
      </c>
      <c r="Q786" s="29"/>
      <c r="R786" s="16" t="n">
        <v>3726</v>
      </c>
      <c r="S786" s="16" t="n">
        <v>4700</v>
      </c>
      <c r="T786" s="16" t="n">
        <v>0</v>
      </c>
      <c r="U786" s="1" t="str">
        <f aca="false">D786&amp;"-"&amp;E786&amp;"-"&amp;M786&amp;"-"&amp;O786&amp;"-"&amp;P786&amp;"-"&amp;Q786</f>
        <v>FANTASIE-NIGHTWEAR-FL101590-Black print-M-</v>
      </c>
    </row>
    <row r="787" customFormat="false" ht="15" hidden="true" customHeight="false" outlineLevel="0" collapsed="false">
      <c r="B787" s="17" t="s">
        <v>1157</v>
      </c>
      <c r="C787" s="17" t="s">
        <v>37</v>
      </c>
      <c r="D787" s="17" t="s">
        <v>886</v>
      </c>
      <c r="E787" s="17" t="s">
        <v>1154</v>
      </c>
      <c r="F787" s="14" t="s">
        <v>1089</v>
      </c>
      <c r="G787" s="3" t="s">
        <v>689</v>
      </c>
      <c r="H787" s="108" t="s">
        <v>1137</v>
      </c>
      <c r="I787" s="3" t="s">
        <v>1155</v>
      </c>
      <c r="K787" s="19" t="s">
        <v>1147</v>
      </c>
      <c r="L787" s="19"/>
      <c r="M787" s="17" t="s">
        <v>1147</v>
      </c>
      <c r="N787" s="17" t="s">
        <v>1113</v>
      </c>
      <c r="O787" s="29" t="s">
        <v>1114</v>
      </c>
      <c r="P787" s="17" t="s">
        <v>1148</v>
      </c>
      <c r="Q787" s="17"/>
      <c r="R787" s="16" t="n">
        <v>3726</v>
      </c>
      <c r="S787" s="16" t="n">
        <v>4700</v>
      </c>
      <c r="T787" s="16" t="n">
        <v>0</v>
      </c>
      <c r="U787" s="1" t="str">
        <f aca="false">D787&amp;"-"&amp;E787&amp;"-"&amp;M787&amp;"-"&amp;O787&amp;"-"&amp;P787&amp;"-"&amp;Q787</f>
        <v>FANTASIE-NIGHTWEAR-FL101590-Black print-S-</v>
      </c>
    </row>
    <row r="788" customFormat="false" ht="15" hidden="true" customHeight="false" outlineLevel="0" collapsed="false">
      <c r="B788" s="29" t="s">
        <v>1158</v>
      </c>
      <c r="C788" s="17" t="s">
        <v>37</v>
      </c>
      <c r="D788" s="29" t="s">
        <v>886</v>
      </c>
      <c r="E788" s="17" t="s">
        <v>1154</v>
      </c>
      <c r="F788" s="14" t="s">
        <v>1089</v>
      </c>
      <c r="G788" s="3" t="s">
        <v>689</v>
      </c>
      <c r="H788" s="108" t="s">
        <v>1137</v>
      </c>
      <c r="I788" s="3" t="s">
        <v>1155</v>
      </c>
      <c r="K788" s="19" t="s">
        <v>1147</v>
      </c>
      <c r="L788" s="19"/>
      <c r="M788" s="29" t="s">
        <v>1147</v>
      </c>
      <c r="N788" s="29" t="s">
        <v>1113</v>
      </c>
      <c r="O788" s="29" t="s">
        <v>1114</v>
      </c>
      <c r="P788" s="29" t="s">
        <v>1159</v>
      </c>
      <c r="Q788" s="29"/>
      <c r="R788" s="16" t="n">
        <v>3726</v>
      </c>
      <c r="S788" s="16" t="n">
        <v>4700</v>
      </c>
      <c r="T788" s="16" t="n">
        <v>1</v>
      </c>
      <c r="U788" s="1" t="str">
        <f aca="false">D788&amp;"-"&amp;E788&amp;"-"&amp;M788&amp;"-"&amp;O788&amp;"-"&amp;P788&amp;"-"&amp;Q788</f>
        <v>FANTASIE-NIGHTWEAR-FL101590-Black print-XL-</v>
      </c>
    </row>
    <row r="789" customFormat="false" ht="15" hidden="true" customHeight="false" outlineLevel="0" collapsed="false">
      <c r="B789" s="17" t="s">
        <v>1160</v>
      </c>
      <c r="C789" s="17" t="s">
        <v>37</v>
      </c>
      <c r="D789" s="17" t="s">
        <v>886</v>
      </c>
      <c r="E789" s="17" t="s">
        <v>1154</v>
      </c>
      <c r="F789" s="14" t="s">
        <v>1089</v>
      </c>
      <c r="G789" s="3" t="s">
        <v>689</v>
      </c>
      <c r="H789" s="108" t="s">
        <v>1137</v>
      </c>
      <c r="I789" s="3" t="s">
        <v>1155</v>
      </c>
      <c r="K789" s="19" t="s">
        <v>1147</v>
      </c>
      <c r="L789" s="19"/>
      <c r="M789" s="17" t="s">
        <v>1147</v>
      </c>
      <c r="N789" s="17" t="s">
        <v>1113</v>
      </c>
      <c r="O789" s="29" t="s">
        <v>1114</v>
      </c>
      <c r="P789" s="17" t="s">
        <v>1140</v>
      </c>
      <c r="Q789" s="17"/>
      <c r="R789" s="16" t="n">
        <v>3726</v>
      </c>
      <c r="S789" s="16" t="n">
        <v>4700</v>
      </c>
      <c r="T789" s="16" t="n">
        <v>1</v>
      </c>
      <c r="U789" s="1" t="str">
        <f aca="false">D789&amp;"-"&amp;E789&amp;"-"&amp;M789&amp;"-"&amp;O789&amp;"-"&amp;P789&amp;"-"&amp;Q789</f>
        <v>FANTASIE-NIGHTWEAR-FL101590-Black print-XS-</v>
      </c>
    </row>
    <row r="790" customFormat="false" ht="15" hidden="true" customHeight="false" outlineLevel="0" collapsed="false">
      <c r="B790" s="29" t="s">
        <v>1156</v>
      </c>
      <c r="C790" s="17" t="s">
        <v>37</v>
      </c>
      <c r="D790" s="29" t="s">
        <v>886</v>
      </c>
      <c r="E790" s="17" t="s">
        <v>1154</v>
      </c>
      <c r="F790" s="14" t="s">
        <v>1089</v>
      </c>
      <c r="G790" s="3" t="s">
        <v>689</v>
      </c>
      <c r="H790" s="108" t="s">
        <v>1137</v>
      </c>
      <c r="I790" s="3" t="s">
        <v>1155</v>
      </c>
      <c r="K790" s="19" t="s">
        <v>1147</v>
      </c>
      <c r="L790" s="19"/>
      <c r="M790" s="29" t="s">
        <v>1147</v>
      </c>
      <c r="N790" s="29" t="s">
        <v>1113</v>
      </c>
      <c r="O790" s="29" t="s">
        <v>1114</v>
      </c>
      <c r="P790" s="29" t="s">
        <v>1145</v>
      </c>
      <c r="Q790" s="29"/>
      <c r="R790" s="16" t="n">
        <v>3726</v>
      </c>
      <c r="S790" s="16" t="n">
        <v>4700</v>
      </c>
      <c r="T790" s="16" t="n">
        <v>1</v>
      </c>
      <c r="U790" s="1" t="str">
        <f aca="false">D790&amp;"-"&amp;E790&amp;"-"&amp;M790&amp;"-"&amp;O790&amp;"-"&amp;P790&amp;"-"&amp;Q790</f>
        <v>FANTASIE-NIGHTWEAR-FL101590-Black print-M-</v>
      </c>
    </row>
    <row r="791" customFormat="false" ht="15" hidden="true" customHeight="false" outlineLevel="0" collapsed="false">
      <c r="B791" s="20" t="s">
        <v>1161</v>
      </c>
      <c r="C791" s="20" t="s">
        <v>37</v>
      </c>
      <c r="D791" s="20" t="s">
        <v>886</v>
      </c>
      <c r="E791" s="20" t="s">
        <v>887</v>
      </c>
      <c r="F791" s="14" t="s">
        <v>1089</v>
      </c>
      <c r="G791" s="3" t="s">
        <v>41</v>
      </c>
      <c r="H791" s="108" t="s">
        <v>80</v>
      </c>
      <c r="I791" s="3" t="s">
        <v>43</v>
      </c>
      <c r="K791" s="19" t="s">
        <v>1162</v>
      </c>
      <c r="L791" s="19"/>
      <c r="M791" s="20" t="s">
        <v>1162</v>
      </c>
      <c r="N791" s="20" t="s">
        <v>76</v>
      </c>
      <c r="O791" s="20" t="s">
        <v>1163</v>
      </c>
      <c r="P791" s="20" t="s">
        <v>55</v>
      </c>
      <c r="Q791" s="20" t="s">
        <v>66</v>
      </c>
      <c r="R791" s="16" t="n">
        <v>2864.38</v>
      </c>
      <c r="S791" s="16" t="n">
        <v>4500</v>
      </c>
      <c r="T791" s="1" t="n">
        <v>1</v>
      </c>
      <c r="U791" s="1" t="str">
        <f aca="false">D791&amp;"-"&amp;E791&amp;"-"&amp;M791&amp;"-"&amp;O791&amp;"-"&amp;P791&amp;"-"&amp;Q791</f>
        <v>FANTASIE-ENVISAGE UW FULL CUP SIDE-FL6911-BLACK -30-E</v>
      </c>
      <c r="W791" s="1" t="s">
        <v>113</v>
      </c>
    </row>
    <row r="792" customFormat="false" ht="15" hidden="true" customHeight="false" outlineLevel="0" collapsed="false">
      <c r="B792" s="17" t="s">
        <v>1164</v>
      </c>
      <c r="C792" s="17" t="s">
        <v>37</v>
      </c>
      <c r="D792" s="17" t="s">
        <v>886</v>
      </c>
      <c r="E792" s="17" t="s">
        <v>887</v>
      </c>
      <c r="F792" s="14" t="s">
        <v>1089</v>
      </c>
      <c r="G792" s="3" t="s">
        <v>41</v>
      </c>
      <c r="H792" s="108" t="s">
        <v>80</v>
      </c>
      <c r="I792" s="3" t="s">
        <v>43</v>
      </c>
      <c r="K792" s="19" t="s">
        <v>1162</v>
      </c>
      <c r="L792" s="19"/>
      <c r="M792" s="29" t="s">
        <v>1162</v>
      </c>
      <c r="N792" s="29" t="s">
        <v>892</v>
      </c>
      <c r="O792" s="29" t="s">
        <v>1165</v>
      </c>
      <c r="P792" s="17" t="s">
        <v>55</v>
      </c>
      <c r="Q792" s="17" t="s">
        <v>66</v>
      </c>
      <c r="R792" s="16" t="n">
        <v>2864.38</v>
      </c>
      <c r="S792" s="16" t="n">
        <v>4500</v>
      </c>
      <c r="T792" s="1" t="n">
        <v>2</v>
      </c>
      <c r="U792" s="1" t="str">
        <f aca="false">D792&amp;"-"&amp;E792&amp;"-"&amp;M792&amp;"-"&amp;O792&amp;"-"&amp;P792&amp;"-"&amp;Q792</f>
        <v>FANTASIE-ENVISAGE UW FULL CUP SIDE-FL6911-DARK SKIN-30-E</v>
      </c>
      <c r="W792" s="1" t="s">
        <v>113</v>
      </c>
    </row>
    <row r="793" customFormat="false" ht="15" hidden="true" customHeight="false" outlineLevel="0" collapsed="false">
      <c r="B793" s="29" t="s">
        <v>1166</v>
      </c>
      <c r="C793" s="17" t="s">
        <v>37</v>
      </c>
      <c r="D793" s="29" t="s">
        <v>886</v>
      </c>
      <c r="E793" s="17" t="s">
        <v>887</v>
      </c>
      <c r="F793" s="14" t="s">
        <v>1089</v>
      </c>
      <c r="G793" s="3" t="s">
        <v>41</v>
      </c>
      <c r="H793" s="108" t="s">
        <v>80</v>
      </c>
      <c r="I793" s="3" t="s">
        <v>43</v>
      </c>
      <c r="K793" s="19" t="s">
        <v>1162</v>
      </c>
      <c r="L793" s="19"/>
      <c r="M793" s="29" t="s">
        <v>1162</v>
      </c>
      <c r="N793" s="29" t="s">
        <v>76</v>
      </c>
      <c r="O793" s="29" t="s">
        <v>1163</v>
      </c>
      <c r="P793" s="29" t="s">
        <v>55</v>
      </c>
      <c r="Q793" s="29" t="s">
        <v>50</v>
      </c>
      <c r="R793" s="16" t="n">
        <v>2864.38</v>
      </c>
      <c r="S793" s="16" t="n">
        <v>4500</v>
      </c>
      <c r="T793" s="1" t="n">
        <v>1</v>
      </c>
      <c r="U793" s="1" t="str">
        <f aca="false">D793&amp;"-"&amp;E793&amp;"-"&amp;M793&amp;"-"&amp;O793&amp;"-"&amp;P793&amp;"-"&amp;Q793</f>
        <v>FANTASIE-ENVISAGE UW FULL CUP SIDE-FL6911-BLACK -30-F</v>
      </c>
      <c r="W793" s="1" t="s">
        <v>113</v>
      </c>
    </row>
    <row r="794" customFormat="false" ht="15" hidden="true" customHeight="false" outlineLevel="0" collapsed="false">
      <c r="B794" s="29" t="s">
        <v>1166</v>
      </c>
      <c r="C794" s="17" t="s">
        <v>37</v>
      </c>
      <c r="D794" s="29" t="s">
        <v>886</v>
      </c>
      <c r="E794" s="17" t="s">
        <v>887</v>
      </c>
      <c r="F794" s="14" t="s">
        <v>1089</v>
      </c>
      <c r="G794" s="3" t="s">
        <v>41</v>
      </c>
      <c r="H794" s="108" t="s">
        <v>80</v>
      </c>
      <c r="I794" s="3" t="s">
        <v>43</v>
      </c>
      <c r="K794" s="19" t="s">
        <v>1162</v>
      </c>
      <c r="L794" s="19"/>
      <c r="M794" s="29" t="s">
        <v>1162</v>
      </c>
      <c r="N794" s="29" t="s">
        <v>119</v>
      </c>
      <c r="O794" s="29" t="s">
        <v>465</v>
      </c>
      <c r="P794" s="29" t="s">
        <v>55</v>
      </c>
      <c r="Q794" s="29" t="s">
        <v>50</v>
      </c>
      <c r="R794" s="16" t="n">
        <v>2864.38</v>
      </c>
      <c r="S794" s="16" t="n">
        <v>4500</v>
      </c>
      <c r="T794" s="1" t="n">
        <v>1</v>
      </c>
      <c r="U794" s="1" t="str">
        <f aca="false">D794&amp;"-"&amp;E794&amp;"-"&amp;M794&amp;"-"&amp;O794&amp;"-"&amp;P794&amp;"-"&amp;Q794</f>
        <v>FANTASIE-ENVISAGE UW FULL CUP SIDE-FL6911-SKIN-30-F</v>
      </c>
      <c r="W794" s="1" t="s">
        <v>113</v>
      </c>
    </row>
    <row r="795" customFormat="false" ht="15" hidden="true" customHeight="false" outlineLevel="0" collapsed="false">
      <c r="B795" s="29" t="s">
        <v>1167</v>
      </c>
      <c r="C795" s="17" t="s">
        <v>37</v>
      </c>
      <c r="D795" s="29" t="s">
        <v>886</v>
      </c>
      <c r="E795" s="17" t="s">
        <v>887</v>
      </c>
      <c r="F795" s="14" t="s">
        <v>1089</v>
      </c>
      <c r="G795" s="3" t="s">
        <v>41</v>
      </c>
      <c r="H795" s="108" t="s">
        <v>80</v>
      </c>
      <c r="I795" s="3" t="s">
        <v>43</v>
      </c>
      <c r="K795" s="19" t="s">
        <v>1162</v>
      </c>
      <c r="L795" s="19"/>
      <c r="M795" s="29" t="s">
        <v>1162</v>
      </c>
      <c r="N795" s="29" t="s">
        <v>892</v>
      </c>
      <c r="O795" s="29" t="s">
        <v>1165</v>
      </c>
      <c r="P795" s="29" t="s">
        <v>55</v>
      </c>
      <c r="Q795" s="29" t="s">
        <v>50</v>
      </c>
      <c r="R795" s="16" t="n">
        <v>2864.38</v>
      </c>
      <c r="S795" s="16" t="n">
        <v>4500</v>
      </c>
      <c r="T795" s="1" t="n">
        <v>1</v>
      </c>
      <c r="U795" s="1" t="str">
        <f aca="false">D795&amp;"-"&amp;E795&amp;"-"&amp;M795&amp;"-"&amp;O795&amp;"-"&amp;P795&amp;"-"&amp;Q795</f>
        <v>FANTASIE-ENVISAGE UW FULL CUP SIDE-FL6911-DARK SKIN-30-F</v>
      </c>
      <c r="W795" s="1" t="s">
        <v>113</v>
      </c>
    </row>
    <row r="796" customFormat="false" ht="15" hidden="true" customHeight="false" outlineLevel="0" collapsed="false">
      <c r="B796" s="29" t="s">
        <v>1168</v>
      </c>
      <c r="C796" s="17" t="s">
        <v>37</v>
      </c>
      <c r="D796" s="29" t="s">
        <v>886</v>
      </c>
      <c r="E796" s="17" t="s">
        <v>887</v>
      </c>
      <c r="F796" s="14" t="s">
        <v>1089</v>
      </c>
      <c r="G796" s="3" t="s">
        <v>41</v>
      </c>
      <c r="H796" s="108" t="s">
        <v>80</v>
      </c>
      <c r="I796" s="3" t="s">
        <v>43</v>
      </c>
      <c r="K796" s="19" t="s">
        <v>1162</v>
      </c>
      <c r="L796" s="19"/>
      <c r="M796" s="29" t="s">
        <v>1162</v>
      </c>
      <c r="N796" s="29" t="s">
        <v>892</v>
      </c>
      <c r="O796" s="29" t="s">
        <v>1165</v>
      </c>
      <c r="P796" s="29" t="s">
        <v>55</v>
      </c>
      <c r="Q796" s="29" t="s">
        <v>62</v>
      </c>
      <c r="R796" s="16" t="n">
        <v>2772</v>
      </c>
      <c r="S796" s="16" t="n">
        <v>4700</v>
      </c>
      <c r="T796" s="1" t="n">
        <v>3</v>
      </c>
      <c r="U796" s="1" t="str">
        <f aca="false">D796&amp;"-"&amp;E796&amp;"-"&amp;M796&amp;"-"&amp;O796&amp;"-"&amp;P796&amp;"-"&amp;Q796</f>
        <v>FANTASIE-ENVISAGE UW FULL CUP SIDE-FL6911-DARK SKIN-30-FF</v>
      </c>
      <c r="W796" s="1" t="s">
        <v>113</v>
      </c>
    </row>
    <row r="797" customFormat="false" ht="15" hidden="true" customHeight="false" outlineLevel="0" collapsed="false">
      <c r="B797" s="29" t="s">
        <v>1169</v>
      </c>
      <c r="C797" s="17" t="s">
        <v>37</v>
      </c>
      <c r="D797" s="29" t="s">
        <v>886</v>
      </c>
      <c r="E797" s="17" t="s">
        <v>887</v>
      </c>
      <c r="F797" s="14" t="s">
        <v>1089</v>
      </c>
      <c r="G797" s="3" t="s">
        <v>41</v>
      </c>
      <c r="H797" s="108" t="s">
        <v>80</v>
      </c>
      <c r="I797" s="3" t="s">
        <v>43</v>
      </c>
      <c r="K797" s="19" t="s">
        <v>1162</v>
      </c>
      <c r="L797" s="19"/>
      <c r="M797" s="29" t="s">
        <v>1162</v>
      </c>
      <c r="N797" s="29" t="s">
        <v>892</v>
      </c>
      <c r="O797" s="29" t="s">
        <v>1165</v>
      </c>
      <c r="P797" s="29" t="s">
        <v>55</v>
      </c>
      <c r="Q797" s="29" t="s">
        <v>131</v>
      </c>
      <c r="R797" s="16" t="n">
        <v>2525.5</v>
      </c>
      <c r="S797" s="16" t="n">
        <v>4500</v>
      </c>
      <c r="T797" s="1" t="n">
        <v>1</v>
      </c>
      <c r="U797" s="1" t="str">
        <f aca="false">D797&amp;"-"&amp;E797&amp;"-"&amp;M797&amp;"-"&amp;O797&amp;"-"&amp;P797&amp;"-"&amp;Q797</f>
        <v>FANTASIE-ENVISAGE UW FULL CUP SIDE-FL6911-DARK SKIN-30-HH</v>
      </c>
      <c r="W797" s="1" t="s">
        <v>113</v>
      </c>
    </row>
    <row r="798" customFormat="false" ht="15" hidden="true" customHeight="false" outlineLevel="0" collapsed="false">
      <c r="B798" s="17" t="s">
        <v>1170</v>
      </c>
      <c r="C798" s="17" t="s">
        <v>37</v>
      </c>
      <c r="D798" s="17" t="s">
        <v>886</v>
      </c>
      <c r="E798" s="17" t="s">
        <v>887</v>
      </c>
      <c r="F798" s="14" t="s">
        <v>1089</v>
      </c>
      <c r="G798" s="3" t="s">
        <v>41</v>
      </c>
      <c r="H798" s="108" t="s">
        <v>80</v>
      </c>
      <c r="I798" s="3" t="s">
        <v>43</v>
      </c>
      <c r="K798" s="19" t="s">
        <v>1162</v>
      </c>
      <c r="L798" s="19"/>
      <c r="M798" s="29" t="s">
        <v>1162</v>
      </c>
      <c r="N798" s="29" t="s">
        <v>892</v>
      </c>
      <c r="O798" s="29" t="s">
        <v>1165</v>
      </c>
      <c r="P798" s="17" t="s">
        <v>92</v>
      </c>
      <c r="Q798" s="17" t="s">
        <v>50</v>
      </c>
      <c r="R798" s="16" t="n">
        <v>2525.5</v>
      </c>
      <c r="S798" s="16" t="n">
        <v>4500</v>
      </c>
      <c r="T798" s="1" t="n">
        <v>2</v>
      </c>
      <c r="U798" s="1" t="str">
        <f aca="false">D798&amp;"-"&amp;E798&amp;"-"&amp;M798&amp;"-"&amp;O798&amp;"-"&amp;P798&amp;"-"&amp;Q798</f>
        <v>FANTASIE-ENVISAGE UW FULL CUP SIDE-FL6911-DARK SKIN-32-F</v>
      </c>
      <c r="W798" s="1" t="s">
        <v>113</v>
      </c>
    </row>
    <row r="799" customFormat="false" ht="15" hidden="true" customHeight="false" outlineLevel="0" collapsed="false">
      <c r="B799" s="17" t="s">
        <v>1171</v>
      </c>
      <c r="C799" s="17" t="s">
        <v>37</v>
      </c>
      <c r="D799" s="17" t="s">
        <v>886</v>
      </c>
      <c r="E799" s="17" t="s">
        <v>887</v>
      </c>
      <c r="F799" s="14" t="s">
        <v>1089</v>
      </c>
      <c r="G799" s="3" t="s">
        <v>41</v>
      </c>
      <c r="H799" s="108" t="s">
        <v>80</v>
      </c>
      <c r="I799" s="3" t="s">
        <v>43</v>
      </c>
      <c r="K799" s="19" t="s">
        <v>1162</v>
      </c>
      <c r="L799" s="19"/>
      <c r="M799" s="29" t="s">
        <v>1162</v>
      </c>
      <c r="N799" s="17" t="s">
        <v>889</v>
      </c>
      <c r="O799" s="17" t="s">
        <v>1172</v>
      </c>
      <c r="P799" s="17" t="s">
        <v>92</v>
      </c>
      <c r="Q799" s="17" t="s">
        <v>50</v>
      </c>
      <c r="R799" s="16" t="n">
        <v>2525.5</v>
      </c>
      <c r="S799" s="16" t="n">
        <v>4500</v>
      </c>
      <c r="T799" s="1" t="n">
        <v>0</v>
      </c>
      <c r="U799" s="1" t="str">
        <f aca="false">D799&amp;"-"&amp;E799&amp;"-"&amp;M799&amp;"-"&amp;O799&amp;"-"&amp;P799&amp;"-"&amp;Q799</f>
        <v>FANTASIE-ENVISAGE UW FULL CUP SIDE-FL6911-ICE BLUE-32-F</v>
      </c>
      <c r="W799" s="1" t="s">
        <v>113</v>
      </c>
    </row>
    <row r="800" customFormat="false" ht="15" hidden="true" customHeight="false" outlineLevel="0" collapsed="false">
      <c r="B800" s="29" t="s">
        <v>1173</v>
      </c>
      <c r="C800" s="17" t="s">
        <v>37</v>
      </c>
      <c r="D800" s="29" t="s">
        <v>886</v>
      </c>
      <c r="E800" s="17" t="s">
        <v>887</v>
      </c>
      <c r="F800" s="14" t="s">
        <v>1089</v>
      </c>
      <c r="G800" s="3" t="s">
        <v>41</v>
      </c>
      <c r="H800" s="108" t="s">
        <v>80</v>
      </c>
      <c r="I800" s="3" t="s">
        <v>43</v>
      </c>
      <c r="K800" s="19" t="s">
        <v>1162</v>
      </c>
      <c r="L800" s="19"/>
      <c r="M800" s="29" t="s">
        <v>1162</v>
      </c>
      <c r="N800" s="29" t="s">
        <v>76</v>
      </c>
      <c r="O800" s="29" t="s">
        <v>437</v>
      </c>
      <c r="P800" s="29" t="s">
        <v>92</v>
      </c>
      <c r="Q800" s="29" t="s">
        <v>50</v>
      </c>
      <c r="R800" s="16" t="n">
        <v>2525.5</v>
      </c>
      <c r="S800" s="16" t="n">
        <v>4500</v>
      </c>
      <c r="T800" s="1" t="n">
        <v>1</v>
      </c>
      <c r="U800" s="1" t="str">
        <f aca="false">D800&amp;"-"&amp;E800&amp;"-"&amp;M800&amp;"-"&amp;O800&amp;"-"&amp;P800&amp;"-"&amp;Q800</f>
        <v>FANTASIE-ENVISAGE UW FULL CUP SIDE-FL6911-Black-32-F</v>
      </c>
      <c r="W800" s="1" t="s">
        <v>113</v>
      </c>
    </row>
    <row r="801" customFormat="false" ht="15" hidden="true" customHeight="false" outlineLevel="0" collapsed="false">
      <c r="B801" s="17" t="s">
        <v>1174</v>
      </c>
      <c r="C801" s="17" t="s">
        <v>37</v>
      </c>
      <c r="D801" s="17" t="s">
        <v>886</v>
      </c>
      <c r="E801" s="17" t="s">
        <v>887</v>
      </c>
      <c r="F801" s="14" t="s">
        <v>1089</v>
      </c>
      <c r="G801" s="3" t="s">
        <v>41</v>
      </c>
      <c r="H801" s="108" t="s">
        <v>80</v>
      </c>
      <c r="I801" s="3" t="s">
        <v>43</v>
      </c>
      <c r="K801" s="19" t="s">
        <v>1162</v>
      </c>
      <c r="L801" s="19"/>
      <c r="M801" s="29" t="s">
        <v>1162</v>
      </c>
      <c r="N801" s="29" t="s">
        <v>892</v>
      </c>
      <c r="O801" s="29" t="s">
        <v>1165</v>
      </c>
      <c r="P801" s="17" t="s">
        <v>92</v>
      </c>
      <c r="Q801" s="17" t="s">
        <v>129</v>
      </c>
      <c r="R801" s="16" t="n">
        <v>2525.5</v>
      </c>
      <c r="S801" s="16" t="n">
        <v>4500</v>
      </c>
      <c r="T801" s="1" t="n">
        <v>1</v>
      </c>
      <c r="U801" s="1" t="str">
        <f aca="false">D801&amp;"-"&amp;E801&amp;"-"&amp;M801&amp;"-"&amp;O801&amp;"-"&amp;P801&amp;"-"&amp;Q801</f>
        <v>FANTASIE-ENVISAGE UW FULL CUP SIDE-FL6911-DARK SKIN-32-GG</v>
      </c>
      <c r="W801" s="1" t="s">
        <v>113</v>
      </c>
    </row>
    <row r="802" customFormat="false" ht="15" hidden="true" customHeight="false" outlineLevel="0" collapsed="false">
      <c r="B802" s="29" t="s">
        <v>1175</v>
      </c>
      <c r="C802" s="17" t="s">
        <v>37</v>
      </c>
      <c r="D802" s="29" t="s">
        <v>886</v>
      </c>
      <c r="E802" s="17" t="s">
        <v>887</v>
      </c>
      <c r="F802" s="14" t="s">
        <v>1089</v>
      </c>
      <c r="G802" s="3" t="s">
        <v>41</v>
      </c>
      <c r="H802" s="108" t="s">
        <v>80</v>
      </c>
      <c r="I802" s="3" t="s">
        <v>43</v>
      </c>
      <c r="K802" s="19" t="s">
        <v>1162</v>
      </c>
      <c r="L802" s="19"/>
      <c r="M802" s="29" t="s">
        <v>1162</v>
      </c>
      <c r="N802" s="29" t="s">
        <v>892</v>
      </c>
      <c r="O802" s="29" t="s">
        <v>1165</v>
      </c>
      <c r="P802" s="29" t="s">
        <v>92</v>
      </c>
      <c r="Q802" s="29" t="s">
        <v>143</v>
      </c>
      <c r="R802" s="16" t="n">
        <v>2525.5</v>
      </c>
      <c r="S802" s="16" t="n">
        <v>4500</v>
      </c>
      <c r="T802" s="1" t="n">
        <v>1</v>
      </c>
      <c r="U802" s="1" t="str">
        <f aca="false">D802&amp;"-"&amp;E802&amp;"-"&amp;M802&amp;"-"&amp;O802&amp;"-"&amp;P802&amp;"-"&amp;Q802</f>
        <v>FANTASIE-ENVISAGE UW FULL CUP SIDE-FL6911-DARK SKIN-32-H</v>
      </c>
      <c r="W802" s="1" t="s">
        <v>113</v>
      </c>
    </row>
    <row r="803" customFormat="false" ht="15" hidden="true" customHeight="false" outlineLevel="0" collapsed="false">
      <c r="B803" s="17" t="s">
        <v>1176</v>
      </c>
      <c r="C803" s="17" t="s">
        <v>37</v>
      </c>
      <c r="D803" s="17" t="s">
        <v>886</v>
      </c>
      <c r="E803" s="17" t="s">
        <v>887</v>
      </c>
      <c r="F803" s="14" t="s">
        <v>1089</v>
      </c>
      <c r="G803" s="3" t="s">
        <v>41</v>
      </c>
      <c r="H803" s="108" t="s">
        <v>80</v>
      </c>
      <c r="I803" s="3" t="s">
        <v>43</v>
      </c>
      <c r="K803" s="19" t="s">
        <v>1162</v>
      </c>
      <c r="L803" s="19"/>
      <c r="M803" s="29" t="s">
        <v>1162</v>
      </c>
      <c r="N803" s="17" t="s">
        <v>889</v>
      </c>
      <c r="O803" s="17" t="s">
        <v>1172</v>
      </c>
      <c r="P803" s="17" t="s">
        <v>92</v>
      </c>
      <c r="Q803" s="17" t="s">
        <v>131</v>
      </c>
      <c r="R803" s="16" t="n">
        <v>2525.5</v>
      </c>
      <c r="S803" s="16" t="n">
        <v>4500</v>
      </c>
      <c r="T803" s="1" t="n">
        <v>0</v>
      </c>
      <c r="U803" s="1" t="str">
        <f aca="false">D803&amp;"-"&amp;E803&amp;"-"&amp;M803&amp;"-"&amp;O803&amp;"-"&amp;P803&amp;"-"&amp;Q803</f>
        <v>FANTASIE-ENVISAGE UW FULL CUP SIDE-FL6911-ICE BLUE-32-HH</v>
      </c>
      <c r="W803" s="1" t="s">
        <v>113</v>
      </c>
    </row>
    <row r="804" customFormat="false" ht="15" hidden="true" customHeight="false" outlineLevel="0" collapsed="false">
      <c r="B804" s="17" t="s">
        <v>1177</v>
      </c>
      <c r="C804" s="17" t="s">
        <v>37</v>
      </c>
      <c r="D804" s="17" t="s">
        <v>886</v>
      </c>
      <c r="E804" s="17" t="s">
        <v>887</v>
      </c>
      <c r="F804" s="14" t="s">
        <v>1089</v>
      </c>
      <c r="G804" s="3" t="s">
        <v>41</v>
      </c>
      <c r="H804" s="108" t="s">
        <v>80</v>
      </c>
      <c r="I804" s="3" t="s">
        <v>43</v>
      </c>
      <c r="K804" s="19" t="s">
        <v>1162</v>
      </c>
      <c r="L804" s="19"/>
      <c r="M804" s="29" t="s">
        <v>1162</v>
      </c>
      <c r="N804" s="17" t="s">
        <v>76</v>
      </c>
      <c r="O804" s="29" t="s">
        <v>437</v>
      </c>
      <c r="P804" s="17" t="s">
        <v>92</v>
      </c>
      <c r="Q804" s="17" t="s">
        <v>131</v>
      </c>
      <c r="R804" s="16" t="n">
        <v>2525.5</v>
      </c>
      <c r="S804" s="16" t="n">
        <v>4500</v>
      </c>
      <c r="T804" s="1" t="n">
        <v>0</v>
      </c>
      <c r="U804" s="1" t="str">
        <f aca="false">D804&amp;"-"&amp;E804&amp;"-"&amp;M804&amp;"-"&amp;O804&amp;"-"&amp;P804&amp;"-"&amp;Q804</f>
        <v>FANTASIE-ENVISAGE UW FULL CUP SIDE-FL6911-Black-32-HH</v>
      </c>
      <c r="W804" s="1" t="s">
        <v>113</v>
      </c>
    </row>
    <row r="805" customFormat="false" ht="15" hidden="true" customHeight="false" outlineLevel="0" collapsed="false">
      <c r="B805" s="17" t="s">
        <v>1178</v>
      </c>
      <c r="C805" s="17" t="s">
        <v>37</v>
      </c>
      <c r="D805" s="17" t="s">
        <v>886</v>
      </c>
      <c r="E805" s="17" t="s">
        <v>887</v>
      </c>
      <c r="F805" s="14" t="s">
        <v>1089</v>
      </c>
      <c r="G805" s="3" t="s">
        <v>41</v>
      </c>
      <c r="H805" s="108" t="s">
        <v>80</v>
      </c>
      <c r="I805" s="3" t="s">
        <v>43</v>
      </c>
      <c r="K805" s="19" t="s">
        <v>1162</v>
      </c>
      <c r="L805" s="19"/>
      <c r="M805" s="29" t="s">
        <v>1162</v>
      </c>
      <c r="N805" s="29" t="s">
        <v>892</v>
      </c>
      <c r="O805" s="29" t="s">
        <v>1165</v>
      </c>
      <c r="P805" s="17" t="s">
        <v>134</v>
      </c>
      <c r="Q805" s="17" t="s">
        <v>97</v>
      </c>
      <c r="R805" s="16" t="n">
        <v>2525.5</v>
      </c>
      <c r="S805" s="16" t="n">
        <v>4500</v>
      </c>
      <c r="T805" s="1" t="n">
        <v>1</v>
      </c>
      <c r="U805" s="1" t="str">
        <f aca="false">D805&amp;"-"&amp;E805&amp;"-"&amp;M805&amp;"-"&amp;O805&amp;"-"&amp;P805&amp;"-"&amp;Q805</f>
        <v>FANTASIE-ENVISAGE UW FULL CUP SIDE-FL6911-DARK SKIN-34-D</v>
      </c>
      <c r="W805" s="1" t="s">
        <v>113</v>
      </c>
    </row>
    <row r="806" customFormat="false" ht="15" hidden="true" customHeight="false" outlineLevel="0" collapsed="false">
      <c r="B806" s="29" t="s">
        <v>1179</v>
      </c>
      <c r="C806" s="17" t="s">
        <v>37</v>
      </c>
      <c r="D806" s="29" t="s">
        <v>886</v>
      </c>
      <c r="E806" s="17" t="s">
        <v>887</v>
      </c>
      <c r="F806" s="14" t="s">
        <v>1089</v>
      </c>
      <c r="G806" s="3" t="s">
        <v>41</v>
      </c>
      <c r="H806" s="108" t="s">
        <v>80</v>
      </c>
      <c r="I806" s="3" t="s">
        <v>43</v>
      </c>
      <c r="K806" s="19" t="s">
        <v>1162</v>
      </c>
      <c r="L806" s="19"/>
      <c r="M806" s="29" t="s">
        <v>1162</v>
      </c>
      <c r="N806" s="29" t="s">
        <v>892</v>
      </c>
      <c r="O806" s="29" t="s">
        <v>1165</v>
      </c>
      <c r="P806" s="29" t="s">
        <v>134</v>
      </c>
      <c r="Q806" s="29" t="s">
        <v>56</v>
      </c>
      <c r="R806" s="16" t="n">
        <v>2525.5</v>
      </c>
      <c r="S806" s="16" t="n">
        <v>4500</v>
      </c>
      <c r="T806" s="1" t="n">
        <v>1</v>
      </c>
      <c r="U806" s="1" t="str">
        <f aca="false">D806&amp;"-"&amp;E806&amp;"-"&amp;M806&amp;"-"&amp;O806&amp;"-"&amp;P806&amp;"-"&amp;Q806</f>
        <v>FANTASIE-ENVISAGE UW FULL CUP SIDE-FL6911-DARK SKIN-34-DD</v>
      </c>
      <c r="W806" s="1" t="s">
        <v>113</v>
      </c>
    </row>
    <row r="807" customFormat="false" ht="15" hidden="true" customHeight="false" outlineLevel="0" collapsed="false">
      <c r="B807" s="29" t="s">
        <v>1180</v>
      </c>
      <c r="C807" s="17" t="s">
        <v>37</v>
      </c>
      <c r="D807" s="29" t="s">
        <v>886</v>
      </c>
      <c r="E807" s="17" t="s">
        <v>887</v>
      </c>
      <c r="F807" s="14" t="s">
        <v>1089</v>
      </c>
      <c r="G807" s="3" t="s">
        <v>41</v>
      </c>
      <c r="H807" s="108" t="s">
        <v>80</v>
      </c>
      <c r="I807" s="3" t="s">
        <v>43</v>
      </c>
      <c r="K807" s="19" t="s">
        <v>1162</v>
      </c>
      <c r="L807" s="19"/>
      <c r="M807" s="29" t="s">
        <v>1162</v>
      </c>
      <c r="N807" s="29" t="s">
        <v>119</v>
      </c>
      <c r="O807" s="29" t="s">
        <v>465</v>
      </c>
      <c r="P807" s="29" t="s">
        <v>134</v>
      </c>
      <c r="Q807" s="29" t="s">
        <v>66</v>
      </c>
      <c r="R807" s="16" t="n">
        <v>2574</v>
      </c>
      <c r="S807" s="16" t="n">
        <v>4500</v>
      </c>
      <c r="T807" s="16" t="n">
        <v>1</v>
      </c>
      <c r="U807" s="1" t="str">
        <f aca="false">D807&amp;"-"&amp;E807&amp;"-"&amp;M807&amp;"-"&amp;O807&amp;"-"&amp;P807&amp;"-"&amp;Q807</f>
        <v>FANTASIE-ENVISAGE UW FULL CUP SIDE-FL6911-SKIN-34-E</v>
      </c>
      <c r="W807" s="1" t="s">
        <v>113</v>
      </c>
    </row>
    <row r="808" customFormat="false" ht="15" hidden="true" customHeight="false" outlineLevel="0" collapsed="false">
      <c r="B808" s="29" t="s">
        <v>1181</v>
      </c>
      <c r="C808" s="17" t="s">
        <v>37</v>
      </c>
      <c r="D808" s="29" t="s">
        <v>886</v>
      </c>
      <c r="E808" s="17" t="s">
        <v>887</v>
      </c>
      <c r="F808" s="14" t="s">
        <v>1089</v>
      </c>
      <c r="G808" s="3" t="s">
        <v>41</v>
      </c>
      <c r="H808" s="108" t="s">
        <v>80</v>
      </c>
      <c r="I808" s="3" t="s">
        <v>43</v>
      </c>
      <c r="K808" s="19" t="s">
        <v>1162</v>
      </c>
      <c r="L808" s="19"/>
      <c r="M808" s="29" t="s">
        <v>1162</v>
      </c>
      <c r="N808" s="29" t="s">
        <v>76</v>
      </c>
      <c r="O808" s="29" t="s">
        <v>77</v>
      </c>
      <c r="P808" s="29" t="s">
        <v>134</v>
      </c>
      <c r="Q808" s="29" t="s">
        <v>66</v>
      </c>
      <c r="R808" s="16" t="n">
        <v>2574</v>
      </c>
      <c r="S808" s="16" t="n">
        <v>4500</v>
      </c>
      <c r="T808" s="16" t="n">
        <v>1</v>
      </c>
      <c r="U808" s="1" t="str">
        <f aca="false">D808&amp;"-"&amp;E808&amp;"-"&amp;M808&amp;"-"&amp;O808&amp;"-"&amp;P808&amp;"-"&amp;Q808</f>
        <v>FANTASIE-ENVISAGE UW FULL CUP SIDE-FL6911-BLACK-34-E</v>
      </c>
      <c r="W808" s="1" t="s">
        <v>113</v>
      </c>
    </row>
    <row r="809" customFormat="false" ht="15" hidden="true" customHeight="false" outlineLevel="0" collapsed="false">
      <c r="B809" s="29" t="s">
        <v>1182</v>
      </c>
      <c r="C809" s="17" t="s">
        <v>37</v>
      </c>
      <c r="D809" s="29" t="s">
        <v>886</v>
      </c>
      <c r="E809" s="17" t="s">
        <v>887</v>
      </c>
      <c r="F809" s="14" t="s">
        <v>1089</v>
      </c>
      <c r="G809" s="3" t="s">
        <v>41</v>
      </c>
      <c r="H809" s="108" t="s">
        <v>80</v>
      </c>
      <c r="I809" s="3" t="s">
        <v>43</v>
      </c>
      <c r="K809" s="19" t="s">
        <v>1162</v>
      </c>
      <c r="L809" s="19"/>
      <c r="M809" s="29" t="s">
        <v>1162</v>
      </c>
      <c r="N809" s="29" t="s">
        <v>889</v>
      </c>
      <c r="O809" s="17" t="s">
        <v>1172</v>
      </c>
      <c r="P809" s="29" t="s">
        <v>134</v>
      </c>
      <c r="Q809" s="29" t="s">
        <v>66</v>
      </c>
      <c r="R809" s="16" t="n">
        <v>2525.5</v>
      </c>
      <c r="S809" s="16" t="n">
        <v>4500</v>
      </c>
      <c r="T809" s="16" t="n">
        <v>1</v>
      </c>
      <c r="U809" s="1" t="str">
        <f aca="false">D809&amp;"-"&amp;E809&amp;"-"&amp;M809&amp;"-"&amp;O809&amp;"-"&amp;P809&amp;"-"&amp;Q809</f>
        <v>FANTASIE-ENVISAGE UW FULL CUP SIDE-FL6911-ICE BLUE-34-E</v>
      </c>
      <c r="W809" s="1" t="s">
        <v>113</v>
      </c>
    </row>
    <row r="810" customFormat="false" ht="15" hidden="true" customHeight="false" outlineLevel="0" collapsed="false">
      <c r="B810" s="17" t="s">
        <v>1183</v>
      </c>
      <c r="C810" s="17" t="s">
        <v>37</v>
      </c>
      <c r="D810" s="17" t="s">
        <v>886</v>
      </c>
      <c r="E810" s="17" t="s">
        <v>887</v>
      </c>
      <c r="F810" s="14" t="s">
        <v>1089</v>
      </c>
      <c r="G810" s="3" t="s">
        <v>41</v>
      </c>
      <c r="H810" s="108" t="s">
        <v>80</v>
      </c>
      <c r="I810" s="3" t="s">
        <v>43</v>
      </c>
      <c r="K810" s="19" t="s">
        <v>1162</v>
      </c>
      <c r="L810" s="19"/>
      <c r="M810" s="29" t="s">
        <v>1162</v>
      </c>
      <c r="N810" s="17" t="s">
        <v>889</v>
      </c>
      <c r="O810" s="17" t="s">
        <v>1172</v>
      </c>
      <c r="P810" s="17" t="s">
        <v>134</v>
      </c>
      <c r="Q810" s="17" t="s">
        <v>50</v>
      </c>
      <c r="R810" s="16" t="n">
        <v>2525.5</v>
      </c>
      <c r="S810" s="16" t="n">
        <v>4500</v>
      </c>
      <c r="T810" s="16" t="n">
        <v>1</v>
      </c>
      <c r="U810" s="1" t="str">
        <f aca="false">D810&amp;"-"&amp;E810&amp;"-"&amp;M810&amp;"-"&amp;O810&amp;"-"&amp;P810&amp;"-"&amp;Q810</f>
        <v>FANTASIE-ENVISAGE UW FULL CUP SIDE-FL6911-ICE BLUE-34-F</v>
      </c>
      <c r="W810" s="1" t="s">
        <v>113</v>
      </c>
    </row>
    <row r="811" customFormat="false" ht="15" hidden="true" customHeight="false" outlineLevel="0" collapsed="false">
      <c r="B811" s="29" t="s">
        <v>1184</v>
      </c>
      <c r="C811" s="17" t="s">
        <v>37</v>
      </c>
      <c r="D811" s="29" t="s">
        <v>886</v>
      </c>
      <c r="E811" s="17" t="s">
        <v>887</v>
      </c>
      <c r="F811" s="14" t="s">
        <v>1089</v>
      </c>
      <c r="G811" s="3" t="s">
        <v>41</v>
      </c>
      <c r="H811" s="108" t="s">
        <v>80</v>
      </c>
      <c r="I811" s="3" t="s">
        <v>43</v>
      </c>
      <c r="K811" s="19" t="s">
        <v>1162</v>
      </c>
      <c r="L811" s="19"/>
      <c r="M811" s="29" t="s">
        <v>1162</v>
      </c>
      <c r="N811" s="29" t="s">
        <v>119</v>
      </c>
      <c r="O811" s="29" t="s">
        <v>465</v>
      </c>
      <c r="P811" s="29" t="s">
        <v>134</v>
      </c>
      <c r="Q811" s="29" t="s">
        <v>50</v>
      </c>
      <c r="R811" s="16" t="n">
        <v>2574</v>
      </c>
      <c r="S811" s="16" t="n">
        <v>4500</v>
      </c>
      <c r="T811" s="16" t="n">
        <v>1</v>
      </c>
      <c r="U811" s="1" t="str">
        <f aca="false">D811&amp;"-"&amp;E811&amp;"-"&amp;M811&amp;"-"&amp;O811&amp;"-"&amp;P811&amp;"-"&amp;Q811</f>
        <v>FANTASIE-ENVISAGE UW FULL CUP SIDE-FL6911-SKIN-34-F</v>
      </c>
      <c r="W811" s="1" t="s">
        <v>113</v>
      </c>
    </row>
    <row r="812" customFormat="false" ht="15" hidden="true" customHeight="false" outlineLevel="0" collapsed="false">
      <c r="B812" s="29" t="s">
        <v>1185</v>
      </c>
      <c r="C812" s="17" t="s">
        <v>37</v>
      </c>
      <c r="D812" s="29" t="s">
        <v>886</v>
      </c>
      <c r="E812" s="17" t="s">
        <v>887</v>
      </c>
      <c r="F812" s="14" t="s">
        <v>1089</v>
      </c>
      <c r="G812" s="3" t="s">
        <v>41</v>
      </c>
      <c r="H812" s="108" t="s">
        <v>80</v>
      </c>
      <c r="I812" s="3" t="s">
        <v>43</v>
      </c>
      <c r="K812" s="19" t="s">
        <v>1162</v>
      </c>
      <c r="L812" s="19"/>
      <c r="M812" s="29" t="s">
        <v>1162</v>
      </c>
      <c r="N812" s="29" t="s">
        <v>1186</v>
      </c>
      <c r="O812" s="29" t="s">
        <v>1187</v>
      </c>
      <c r="P812" s="29" t="s">
        <v>134</v>
      </c>
      <c r="Q812" s="29" t="s">
        <v>62</v>
      </c>
      <c r="R812" s="16" t="n">
        <v>2574</v>
      </c>
      <c r="S812" s="16" t="n">
        <v>4500</v>
      </c>
      <c r="T812" s="16" t="n">
        <v>0</v>
      </c>
      <c r="U812" s="1" t="str">
        <f aca="false">D812&amp;"-"&amp;E812&amp;"-"&amp;M812&amp;"-"&amp;O812&amp;"-"&amp;P812&amp;"-"&amp;Q812</f>
        <v>FANTASIE-ENVISAGE UW FULL CUP SIDE-FL6911-WINE-34-FF</v>
      </c>
      <c r="W812" s="1" t="s">
        <v>113</v>
      </c>
    </row>
    <row r="813" customFormat="false" ht="15" hidden="true" customHeight="false" outlineLevel="0" collapsed="false">
      <c r="B813" s="29" t="s">
        <v>1188</v>
      </c>
      <c r="C813" s="17" t="s">
        <v>37</v>
      </c>
      <c r="D813" s="29" t="s">
        <v>886</v>
      </c>
      <c r="E813" s="17" t="s">
        <v>887</v>
      </c>
      <c r="F813" s="14" t="s">
        <v>1089</v>
      </c>
      <c r="G813" s="3" t="s">
        <v>41</v>
      </c>
      <c r="H813" s="108" t="s">
        <v>80</v>
      </c>
      <c r="I813" s="3" t="s">
        <v>43</v>
      </c>
      <c r="K813" s="19" t="s">
        <v>1162</v>
      </c>
      <c r="L813" s="19"/>
      <c r="M813" s="29" t="s">
        <v>1162</v>
      </c>
      <c r="N813" s="29" t="s">
        <v>889</v>
      </c>
      <c r="O813" s="17" t="s">
        <v>1172</v>
      </c>
      <c r="P813" s="29" t="s">
        <v>134</v>
      </c>
      <c r="Q813" s="29" t="s">
        <v>62</v>
      </c>
      <c r="R813" s="16" t="n">
        <v>2525.5</v>
      </c>
      <c r="S813" s="16" t="n">
        <v>4500</v>
      </c>
      <c r="T813" s="16" t="n">
        <v>1</v>
      </c>
      <c r="U813" s="1" t="str">
        <f aca="false">D813&amp;"-"&amp;E813&amp;"-"&amp;M813&amp;"-"&amp;O813&amp;"-"&amp;P813&amp;"-"&amp;Q813</f>
        <v>FANTASIE-ENVISAGE UW FULL CUP SIDE-FL6911-ICE BLUE-34-FF</v>
      </c>
      <c r="W813" s="1" t="s">
        <v>113</v>
      </c>
    </row>
    <row r="814" customFormat="false" ht="15" hidden="true" customHeight="false" outlineLevel="0" collapsed="false">
      <c r="B814" s="17" t="s">
        <v>1189</v>
      </c>
      <c r="C814" s="17" t="s">
        <v>37</v>
      </c>
      <c r="D814" s="17" t="s">
        <v>886</v>
      </c>
      <c r="E814" s="17" t="s">
        <v>887</v>
      </c>
      <c r="F814" s="14" t="s">
        <v>1089</v>
      </c>
      <c r="G814" s="3" t="s">
        <v>41</v>
      </c>
      <c r="H814" s="108" t="s">
        <v>80</v>
      </c>
      <c r="I814" s="3" t="s">
        <v>43</v>
      </c>
      <c r="K814" s="19" t="s">
        <v>1162</v>
      </c>
      <c r="L814" s="19"/>
      <c r="M814" s="29" t="s">
        <v>1162</v>
      </c>
      <c r="N814" s="17" t="s">
        <v>76</v>
      </c>
      <c r="O814" s="29" t="s">
        <v>437</v>
      </c>
      <c r="P814" s="17" t="s">
        <v>134</v>
      </c>
      <c r="Q814" s="17" t="s">
        <v>105</v>
      </c>
      <c r="R814" s="16" t="n">
        <v>2525.5</v>
      </c>
      <c r="S814" s="16" t="n">
        <v>4500</v>
      </c>
      <c r="T814" s="16" t="n">
        <v>0</v>
      </c>
      <c r="U814" s="1" t="str">
        <f aca="false">D814&amp;"-"&amp;E814&amp;"-"&amp;M814&amp;"-"&amp;O814&amp;"-"&amp;P814&amp;"-"&amp;Q814</f>
        <v>FANTASIE-ENVISAGE UW FULL CUP SIDE-FL6911-Black-34-G</v>
      </c>
      <c r="W814" s="1" t="s">
        <v>113</v>
      </c>
    </row>
    <row r="815" customFormat="false" ht="15" hidden="true" customHeight="false" outlineLevel="0" collapsed="false">
      <c r="B815" s="17" t="s">
        <v>1190</v>
      </c>
      <c r="C815" s="17" t="s">
        <v>37</v>
      </c>
      <c r="D815" s="17" t="s">
        <v>886</v>
      </c>
      <c r="E815" s="17" t="s">
        <v>887</v>
      </c>
      <c r="F815" s="14" t="s">
        <v>1089</v>
      </c>
      <c r="G815" s="3" t="s">
        <v>41</v>
      </c>
      <c r="H815" s="108" t="s">
        <v>80</v>
      </c>
      <c r="I815" s="3" t="s">
        <v>43</v>
      </c>
      <c r="K815" s="19" t="s">
        <v>1162</v>
      </c>
      <c r="L815" s="19"/>
      <c r="M815" s="29" t="s">
        <v>1162</v>
      </c>
      <c r="N815" s="17" t="s">
        <v>119</v>
      </c>
      <c r="O815" s="17" t="s">
        <v>120</v>
      </c>
      <c r="P815" s="17" t="s">
        <v>134</v>
      </c>
      <c r="Q815" s="17" t="s">
        <v>131</v>
      </c>
      <c r="R815" s="16" t="n">
        <v>2538</v>
      </c>
      <c r="S815" s="16" t="n">
        <v>4700</v>
      </c>
      <c r="T815" s="16" t="n">
        <v>0</v>
      </c>
      <c r="U815" s="1" t="str">
        <f aca="false">D815&amp;"-"&amp;E815&amp;"-"&amp;M815&amp;"-"&amp;O815&amp;"-"&amp;P815&amp;"-"&amp;Q815</f>
        <v>FANTASIE-ENVISAGE UW FULL CUP SIDE-FL6911-Skin-34-HH</v>
      </c>
      <c r="W815" s="1" t="s">
        <v>113</v>
      </c>
    </row>
    <row r="816" customFormat="false" ht="15" hidden="true" customHeight="false" outlineLevel="0" collapsed="false">
      <c r="B816" s="17" t="s">
        <v>1191</v>
      </c>
      <c r="C816" s="17" t="s">
        <v>37</v>
      </c>
      <c r="D816" s="17" t="s">
        <v>886</v>
      </c>
      <c r="E816" s="17" t="s">
        <v>887</v>
      </c>
      <c r="F816" s="14" t="s">
        <v>1089</v>
      </c>
      <c r="G816" s="3" t="s">
        <v>41</v>
      </c>
      <c r="H816" s="108" t="s">
        <v>80</v>
      </c>
      <c r="I816" s="3" t="s">
        <v>43</v>
      </c>
      <c r="K816" s="19" t="s">
        <v>1162</v>
      </c>
      <c r="L816" s="19"/>
      <c r="M816" s="29" t="s">
        <v>1162</v>
      </c>
      <c r="N816" s="29" t="s">
        <v>892</v>
      </c>
      <c r="O816" s="29" t="s">
        <v>1165</v>
      </c>
      <c r="P816" s="17" t="s">
        <v>65</v>
      </c>
      <c r="Q816" s="17" t="s">
        <v>97</v>
      </c>
      <c r="R816" s="16" t="n">
        <v>2574</v>
      </c>
      <c r="S816" s="16" t="n">
        <v>4500</v>
      </c>
      <c r="T816" s="16" t="n">
        <v>1</v>
      </c>
      <c r="U816" s="1" t="str">
        <f aca="false">D816&amp;"-"&amp;E816&amp;"-"&amp;M816&amp;"-"&amp;O816&amp;"-"&amp;P816&amp;"-"&amp;Q816</f>
        <v>FANTASIE-ENVISAGE UW FULL CUP SIDE-FL6911-DARK SKIN-36-D</v>
      </c>
      <c r="W816" s="1" t="s">
        <v>113</v>
      </c>
    </row>
    <row r="817" customFormat="false" ht="15" hidden="true" customHeight="false" outlineLevel="0" collapsed="false">
      <c r="B817" s="29" t="s">
        <v>1192</v>
      </c>
      <c r="C817" s="17" t="s">
        <v>37</v>
      </c>
      <c r="D817" s="29" t="s">
        <v>886</v>
      </c>
      <c r="E817" s="29" t="s">
        <v>887</v>
      </c>
      <c r="F817" s="14" t="s">
        <v>1089</v>
      </c>
      <c r="G817" s="3" t="s">
        <v>41</v>
      </c>
      <c r="H817" s="108" t="s">
        <v>80</v>
      </c>
      <c r="I817" s="3" t="s">
        <v>43</v>
      </c>
      <c r="K817" s="19" t="s">
        <v>1162</v>
      </c>
      <c r="L817" s="19"/>
      <c r="M817" s="29" t="s">
        <v>1162</v>
      </c>
      <c r="N817" s="29" t="s">
        <v>892</v>
      </c>
      <c r="O817" s="29" t="s">
        <v>1165</v>
      </c>
      <c r="P817" s="29" t="s">
        <v>65</v>
      </c>
      <c r="Q817" s="29" t="s">
        <v>66</v>
      </c>
      <c r="R817" s="16" t="n">
        <v>2574</v>
      </c>
      <c r="S817" s="16" t="n">
        <v>4500</v>
      </c>
      <c r="T817" s="16" t="n">
        <v>0</v>
      </c>
      <c r="U817" s="1" t="str">
        <f aca="false">D817&amp;"-"&amp;E817&amp;"-"&amp;M817&amp;"-"&amp;O817&amp;"-"&amp;P817&amp;"-"&amp;Q817</f>
        <v>FANTASIE-ENVISAGE UW FULL CUP SIDE-FL6911-DARK SKIN-36-E</v>
      </c>
      <c r="W817" s="1" t="s">
        <v>113</v>
      </c>
    </row>
    <row r="818" customFormat="false" ht="15" hidden="true" customHeight="false" outlineLevel="0" collapsed="false">
      <c r="B818" s="29" t="s">
        <v>1193</v>
      </c>
      <c r="C818" s="17" t="s">
        <v>37</v>
      </c>
      <c r="D818" s="29" t="s">
        <v>886</v>
      </c>
      <c r="E818" s="17" t="s">
        <v>887</v>
      </c>
      <c r="F818" s="14" t="s">
        <v>1089</v>
      </c>
      <c r="G818" s="3" t="s">
        <v>41</v>
      </c>
      <c r="H818" s="108" t="s">
        <v>80</v>
      </c>
      <c r="I818" s="3" t="s">
        <v>43</v>
      </c>
      <c r="K818" s="19" t="s">
        <v>1162</v>
      </c>
      <c r="L818" s="19"/>
      <c r="M818" s="29" t="s">
        <v>1162</v>
      </c>
      <c r="N818" s="29" t="s">
        <v>76</v>
      </c>
      <c r="O818" s="29" t="s">
        <v>437</v>
      </c>
      <c r="P818" s="29" t="s">
        <v>65</v>
      </c>
      <c r="Q818" s="29" t="s">
        <v>66</v>
      </c>
      <c r="R818" s="16" t="n">
        <v>2525.5</v>
      </c>
      <c r="S818" s="16" t="n">
        <v>4500</v>
      </c>
      <c r="T818" s="16" t="n">
        <v>1</v>
      </c>
      <c r="U818" s="1" t="str">
        <f aca="false">D818&amp;"-"&amp;E818&amp;"-"&amp;M818&amp;"-"&amp;O818&amp;"-"&amp;P818&amp;"-"&amp;Q818</f>
        <v>FANTASIE-ENVISAGE UW FULL CUP SIDE-FL6911-Black-36-E</v>
      </c>
      <c r="W818" s="1" t="s">
        <v>113</v>
      </c>
    </row>
    <row r="819" customFormat="false" ht="13.5" hidden="true" customHeight="true" outlineLevel="0" collapsed="false">
      <c r="B819" s="17" t="s">
        <v>1194</v>
      </c>
      <c r="C819" s="17" t="s">
        <v>37</v>
      </c>
      <c r="D819" s="17" t="s">
        <v>886</v>
      </c>
      <c r="E819" s="17" t="s">
        <v>887</v>
      </c>
      <c r="F819" s="14" t="s">
        <v>1089</v>
      </c>
      <c r="G819" s="3" t="s">
        <v>41</v>
      </c>
      <c r="H819" s="108" t="s">
        <v>80</v>
      </c>
      <c r="I819" s="3" t="s">
        <v>43</v>
      </c>
      <c r="K819" s="19" t="s">
        <v>1162</v>
      </c>
      <c r="L819" s="19"/>
      <c r="M819" s="29" t="s">
        <v>1162</v>
      </c>
      <c r="N819" s="17" t="s">
        <v>76</v>
      </c>
      <c r="O819" s="29" t="s">
        <v>437</v>
      </c>
      <c r="P819" s="17" t="s">
        <v>65</v>
      </c>
      <c r="Q819" s="17" t="s">
        <v>50</v>
      </c>
      <c r="R819" s="16" t="n">
        <v>2525.5</v>
      </c>
      <c r="S819" s="16" t="n">
        <v>4500</v>
      </c>
      <c r="T819" s="16" t="n">
        <v>2</v>
      </c>
      <c r="U819" s="1" t="str">
        <f aca="false">D819&amp;"-"&amp;E819&amp;"-"&amp;M819&amp;"-"&amp;O819&amp;"-"&amp;P819&amp;"-"&amp;Q819</f>
        <v>FANTASIE-ENVISAGE UW FULL CUP SIDE-FL6911-Black-36-F</v>
      </c>
      <c r="W819" s="1" t="s">
        <v>113</v>
      </c>
    </row>
    <row r="820" customFormat="false" ht="15" hidden="true" customHeight="false" outlineLevel="0" collapsed="false">
      <c r="B820" s="17" t="s">
        <v>1195</v>
      </c>
      <c r="C820" s="17" t="s">
        <v>37</v>
      </c>
      <c r="D820" s="17" t="s">
        <v>886</v>
      </c>
      <c r="E820" s="17" t="s">
        <v>887</v>
      </c>
      <c r="F820" s="14" t="s">
        <v>1089</v>
      </c>
      <c r="G820" s="3" t="s">
        <v>41</v>
      </c>
      <c r="H820" s="108" t="s">
        <v>80</v>
      </c>
      <c r="I820" s="3" t="s">
        <v>43</v>
      </c>
      <c r="K820" s="19" t="s">
        <v>1162</v>
      </c>
      <c r="L820" s="19"/>
      <c r="M820" s="29" t="s">
        <v>1162</v>
      </c>
      <c r="N820" s="17" t="s">
        <v>119</v>
      </c>
      <c r="O820" s="29" t="s">
        <v>465</v>
      </c>
      <c r="P820" s="17" t="s">
        <v>65</v>
      </c>
      <c r="Q820" s="17" t="s">
        <v>50</v>
      </c>
      <c r="R820" s="16" t="n">
        <v>2525.5</v>
      </c>
      <c r="S820" s="16" t="n">
        <v>4500</v>
      </c>
      <c r="T820" s="16" t="n">
        <v>1</v>
      </c>
      <c r="U820" s="1" t="str">
        <f aca="false">D820&amp;"-"&amp;E820&amp;"-"&amp;M820&amp;"-"&amp;O820&amp;"-"&amp;P820&amp;"-"&amp;Q820</f>
        <v>FANTASIE-ENVISAGE UW FULL CUP SIDE-FL6911-SKIN-36-F</v>
      </c>
      <c r="W820" s="1" t="s">
        <v>113</v>
      </c>
    </row>
    <row r="821" customFormat="false" ht="15" hidden="true" customHeight="false" outlineLevel="0" collapsed="false">
      <c r="B821" s="17" t="s">
        <v>1196</v>
      </c>
      <c r="C821" s="17" t="s">
        <v>37</v>
      </c>
      <c r="D821" s="17" t="s">
        <v>886</v>
      </c>
      <c r="E821" s="17" t="s">
        <v>887</v>
      </c>
      <c r="F821" s="14" t="s">
        <v>1089</v>
      </c>
      <c r="G821" s="3" t="s">
        <v>41</v>
      </c>
      <c r="H821" s="108" t="s">
        <v>80</v>
      </c>
      <c r="I821" s="3" t="s">
        <v>43</v>
      </c>
      <c r="K821" s="19" t="s">
        <v>1162</v>
      </c>
      <c r="L821" s="19"/>
      <c r="M821" s="29" t="s">
        <v>1162</v>
      </c>
      <c r="N821" s="17" t="s">
        <v>889</v>
      </c>
      <c r="O821" s="17" t="s">
        <v>1172</v>
      </c>
      <c r="P821" s="17" t="s">
        <v>65</v>
      </c>
      <c r="Q821" s="17" t="s">
        <v>50</v>
      </c>
      <c r="R821" s="16" t="n">
        <v>2525.5</v>
      </c>
      <c r="S821" s="16" t="n">
        <v>4500</v>
      </c>
      <c r="T821" s="16" t="n">
        <v>1</v>
      </c>
      <c r="U821" s="1" t="str">
        <f aca="false">D821&amp;"-"&amp;E821&amp;"-"&amp;M821&amp;"-"&amp;O821&amp;"-"&amp;P821&amp;"-"&amp;Q821</f>
        <v>FANTASIE-ENVISAGE UW FULL CUP SIDE-FL6911-ICE BLUE-36-F</v>
      </c>
      <c r="W821" s="1" t="s">
        <v>113</v>
      </c>
    </row>
    <row r="822" customFormat="false" ht="15" hidden="true" customHeight="false" outlineLevel="0" collapsed="false">
      <c r="B822" s="17" t="s">
        <v>1197</v>
      </c>
      <c r="C822" s="17" t="s">
        <v>37</v>
      </c>
      <c r="D822" s="17" t="s">
        <v>886</v>
      </c>
      <c r="E822" s="17" t="s">
        <v>887</v>
      </c>
      <c r="F822" s="14" t="s">
        <v>1089</v>
      </c>
      <c r="G822" s="3" t="s">
        <v>41</v>
      </c>
      <c r="H822" s="108" t="s">
        <v>80</v>
      </c>
      <c r="I822" s="3" t="s">
        <v>43</v>
      </c>
      <c r="K822" s="19" t="s">
        <v>1162</v>
      </c>
      <c r="L822" s="19"/>
      <c r="M822" s="29" t="s">
        <v>1162</v>
      </c>
      <c r="N822" s="17" t="s">
        <v>1186</v>
      </c>
      <c r="O822" s="17" t="s">
        <v>1187</v>
      </c>
      <c r="P822" s="17" t="s">
        <v>65</v>
      </c>
      <c r="Q822" s="17" t="s">
        <v>50</v>
      </c>
      <c r="R822" s="16" t="n">
        <v>2525.5</v>
      </c>
      <c r="S822" s="16" t="n">
        <v>4500</v>
      </c>
      <c r="T822" s="16" t="n">
        <v>1</v>
      </c>
      <c r="U822" s="1" t="str">
        <f aca="false">D822&amp;"-"&amp;E822&amp;"-"&amp;M822&amp;"-"&amp;O822&amp;"-"&amp;P822&amp;"-"&amp;Q822</f>
        <v>FANTASIE-ENVISAGE UW FULL CUP SIDE-FL6911-WINE-36-F</v>
      </c>
      <c r="W822" s="1" t="s">
        <v>113</v>
      </c>
    </row>
    <row r="823" customFormat="false" ht="15" hidden="true" customHeight="false" outlineLevel="0" collapsed="false">
      <c r="B823" s="29" t="s">
        <v>1198</v>
      </c>
      <c r="C823" s="17" t="s">
        <v>37</v>
      </c>
      <c r="D823" s="29" t="s">
        <v>886</v>
      </c>
      <c r="E823" s="17" t="s">
        <v>887</v>
      </c>
      <c r="F823" s="14" t="s">
        <v>1089</v>
      </c>
      <c r="G823" s="3" t="s">
        <v>41</v>
      </c>
      <c r="H823" s="108" t="s">
        <v>80</v>
      </c>
      <c r="I823" s="3" t="s">
        <v>43</v>
      </c>
      <c r="K823" s="19" t="s">
        <v>1162</v>
      </c>
      <c r="L823" s="19"/>
      <c r="M823" s="29" t="s">
        <v>1162</v>
      </c>
      <c r="N823" s="29" t="s">
        <v>889</v>
      </c>
      <c r="O823" s="17" t="s">
        <v>1172</v>
      </c>
      <c r="P823" s="29" t="s">
        <v>65</v>
      </c>
      <c r="Q823" s="29" t="s">
        <v>62</v>
      </c>
      <c r="R823" s="16" t="n">
        <v>2864.38</v>
      </c>
      <c r="S823" s="16" t="n">
        <v>4500</v>
      </c>
      <c r="T823" s="16" t="n">
        <v>2</v>
      </c>
      <c r="U823" s="1" t="str">
        <f aca="false">D823&amp;"-"&amp;E823&amp;"-"&amp;M823&amp;"-"&amp;O823&amp;"-"&amp;P823&amp;"-"&amp;Q823</f>
        <v>FANTASIE-ENVISAGE UW FULL CUP SIDE-FL6911-ICE BLUE-36-FF</v>
      </c>
      <c r="W823" s="1" t="s">
        <v>113</v>
      </c>
    </row>
    <row r="824" customFormat="false" ht="15" hidden="true" customHeight="false" outlineLevel="0" collapsed="false">
      <c r="B824" s="29" t="s">
        <v>1199</v>
      </c>
      <c r="C824" s="17" t="s">
        <v>37</v>
      </c>
      <c r="D824" s="29" t="s">
        <v>886</v>
      </c>
      <c r="E824" s="17" t="s">
        <v>887</v>
      </c>
      <c r="F824" s="14" t="s">
        <v>1089</v>
      </c>
      <c r="G824" s="3" t="s">
        <v>41</v>
      </c>
      <c r="H824" s="108" t="s">
        <v>80</v>
      </c>
      <c r="I824" s="3" t="s">
        <v>43</v>
      </c>
      <c r="K824" s="19" t="s">
        <v>1162</v>
      </c>
      <c r="L824" s="19"/>
      <c r="M824" s="29" t="s">
        <v>1162</v>
      </c>
      <c r="N824" s="29" t="s">
        <v>76</v>
      </c>
      <c r="O824" s="29" t="s">
        <v>437</v>
      </c>
      <c r="P824" s="29" t="s">
        <v>65</v>
      </c>
      <c r="Q824" s="29" t="s">
        <v>105</v>
      </c>
      <c r="R824" s="16" t="n">
        <v>2525.5</v>
      </c>
      <c r="S824" s="16" t="n">
        <v>4500</v>
      </c>
      <c r="T824" s="16" t="n">
        <v>1</v>
      </c>
      <c r="U824" s="1" t="str">
        <f aca="false">D824&amp;"-"&amp;E824&amp;"-"&amp;M824&amp;"-"&amp;O824&amp;"-"&amp;P824&amp;"-"&amp;Q824</f>
        <v>FANTASIE-ENVISAGE UW FULL CUP SIDE-FL6911-Black-36-G</v>
      </c>
      <c r="W824" s="1" t="s">
        <v>113</v>
      </c>
    </row>
    <row r="825" customFormat="false" ht="15" hidden="true" customHeight="false" outlineLevel="0" collapsed="false">
      <c r="B825" s="29" t="s">
        <v>1200</v>
      </c>
      <c r="C825" s="17" t="s">
        <v>37</v>
      </c>
      <c r="D825" s="29" t="s">
        <v>886</v>
      </c>
      <c r="E825" s="17" t="s">
        <v>887</v>
      </c>
      <c r="F825" s="14" t="s">
        <v>1089</v>
      </c>
      <c r="G825" s="3" t="s">
        <v>41</v>
      </c>
      <c r="H825" s="108" t="s">
        <v>80</v>
      </c>
      <c r="I825" s="3" t="s">
        <v>43</v>
      </c>
      <c r="K825" s="19" t="s">
        <v>1162</v>
      </c>
      <c r="L825" s="19"/>
      <c r="M825" s="29" t="s">
        <v>1162</v>
      </c>
      <c r="N825" s="29" t="s">
        <v>889</v>
      </c>
      <c r="O825" s="17" t="s">
        <v>1172</v>
      </c>
      <c r="P825" s="29" t="s">
        <v>65</v>
      </c>
      <c r="Q825" s="29" t="s">
        <v>129</v>
      </c>
      <c r="R825" s="16" t="n">
        <v>2864.38</v>
      </c>
      <c r="S825" s="16" t="n">
        <v>4500</v>
      </c>
      <c r="T825" s="1" t="n">
        <v>0</v>
      </c>
      <c r="U825" s="1" t="str">
        <f aca="false">D825&amp;"-"&amp;E825&amp;"-"&amp;M825&amp;"-"&amp;O825&amp;"-"&amp;P825&amp;"-"&amp;Q825</f>
        <v>FANTASIE-ENVISAGE UW FULL CUP SIDE-FL6911-ICE BLUE-36-GG</v>
      </c>
      <c r="W825" s="1" t="s">
        <v>113</v>
      </c>
    </row>
    <row r="826" customFormat="false" ht="15" hidden="true" customHeight="false" outlineLevel="0" collapsed="false">
      <c r="B826" s="29" t="s">
        <v>1201</v>
      </c>
      <c r="C826" s="17" t="s">
        <v>37</v>
      </c>
      <c r="D826" s="29" t="s">
        <v>886</v>
      </c>
      <c r="E826" s="17" t="s">
        <v>887</v>
      </c>
      <c r="F826" s="14" t="s">
        <v>1089</v>
      </c>
      <c r="G826" s="3" t="s">
        <v>41</v>
      </c>
      <c r="H826" s="108" t="s">
        <v>80</v>
      </c>
      <c r="I826" s="3" t="s">
        <v>43</v>
      </c>
      <c r="K826" s="19" t="s">
        <v>1162</v>
      </c>
      <c r="L826" s="19"/>
      <c r="M826" s="29" t="s">
        <v>1162</v>
      </c>
      <c r="N826" s="29" t="s">
        <v>76</v>
      </c>
      <c r="O826" s="17" t="s">
        <v>77</v>
      </c>
      <c r="P826" s="29" t="s">
        <v>65</v>
      </c>
      <c r="Q826" s="29" t="s">
        <v>129</v>
      </c>
      <c r="R826" s="16" t="n">
        <v>2864.38</v>
      </c>
      <c r="S826" s="16" t="n">
        <v>4500</v>
      </c>
      <c r="T826" s="1" t="n">
        <v>4</v>
      </c>
      <c r="U826" s="1" t="str">
        <f aca="false">D826&amp;"-"&amp;E826&amp;"-"&amp;M826&amp;"-"&amp;O826&amp;"-"&amp;P826&amp;"-"&amp;Q826</f>
        <v>FANTASIE-ENVISAGE UW FULL CUP SIDE-FL6911-BLACK-36-GG</v>
      </c>
      <c r="W826" s="1" t="s">
        <v>113</v>
      </c>
    </row>
    <row r="827" customFormat="false" ht="15" hidden="true" customHeight="false" outlineLevel="0" collapsed="false">
      <c r="B827" s="17" t="s">
        <v>1202</v>
      </c>
      <c r="C827" s="17" t="s">
        <v>37</v>
      </c>
      <c r="D827" s="17" t="s">
        <v>886</v>
      </c>
      <c r="E827" s="17" t="s">
        <v>887</v>
      </c>
      <c r="F827" s="14" t="s">
        <v>1089</v>
      </c>
      <c r="G827" s="3" t="s">
        <v>41</v>
      </c>
      <c r="H827" s="108" t="s">
        <v>80</v>
      </c>
      <c r="I827" s="3" t="s">
        <v>43</v>
      </c>
      <c r="K827" s="19" t="s">
        <v>1162</v>
      </c>
      <c r="L827" s="19"/>
      <c r="M827" s="29" t="s">
        <v>1162</v>
      </c>
      <c r="N827" s="17" t="s">
        <v>119</v>
      </c>
      <c r="O827" s="17" t="s">
        <v>465</v>
      </c>
      <c r="P827" s="17" t="s">
        <v>65</v>
      </c>
      <c r="Q827" s="17" t="s">
        <v>143</v>
      </c>
      <c r="R827" s="16" t="n">
        <v>2538</v>
      </c>
      <c r="S827" s="16" t="n">
        <v>4700</v>
      </c>
      <c r="T827" s="16" t="n">
        <v>1</v>
      </c>
      <c r="U827" s="1" t="str">
        <f aca="false">D827&amp;"-"&amp;E827&amp;"-"&amp;M827&amp;"-"&amp;O827&amp;"-"&amp;P827&amp;"-"&amp;Q827</f>
        <v>FANTASIE-ENVISAGE UW FULL CUP SIDE-FL6911-SKIN-36-H</v>
      </c>
      <c r="W827" s="1" t="s">
        <v>113</v>
      </c>
    </row>
    <row r="828" customFormat="false" ht="15" hidden="true" customHeight="false" outlineLevel="0" collapsed="false">
      <c r="B828" s="29" t="s">
        <v>1203</v>
      </c>
      <c r="C828" s="17" t="s">
        <v>37</v>
      </c>
      <c r="D828" s="29" t="s">
        <v>886</v>
      </c>
      <c r="E828" s="17" t="s">
        <v>887</v>
      </c>
      <c r="F828" s="14" t="s">
        <v>1089</v>
      </c>
      <c r="G828" s="3" t="s">
        <v>41</v>
      </c>
      <c r="H828" s="108" t="s">
        <v>80</v>
      </c>
      <c r="I828" s="3" t="s">
        <v>43</v>
      </c>
      <c r="K828" s="19" t="s">
        <v>1162</v>
      </c>
      <c r="L828" s="19"/>
      <c r="M828" s="29" t="s">
        <v>1162</v>
      </c>
      <c r="N828" s="29" t="s">
        <v>76</v>
      </c>
      <c r="O828" s="29" t="s">
        <v>77</v>
      </c>
      <c r="P828" s="29" t="s">
        <v>65</v>
      </c>
      <c r="Q828" s="29" t="s">
        <v>131</v>
      </c>
      <c r="R828" s="16" t="n">
        <v>2538</v>
      </c>
      <c r="S828" s="16" t="n">
        <v>4700</v>
      </c>
      <c r="T828" s="16" t="n">
        <v>1</v>
      </c>
      <c r="U828" s="1" t="str">
        <f aca="false">D828&amp;"-"&amp;E828&amp;"-"&amp;M828&amp;"-"&amp;O828&amp;"-"&amp;P828&amp;"-"&amp;Q828</f>
        <v>FANTASIE-ENVISAGE UW FULL CUP SIDE-FL6911-BLACK-36-HH</v>
      </c>
      <c r="W828" s="1" t="s">
        <v>113</v>
      </c>
    </row>
    <row r="829" customFormat="false" ht="15" hidden="true" customHeight="false" outlineLevel="0" collapsed="false">
      <c r="B829" s="17" t="s">
        <v>1204</v>
      </c>
      <c r="C829" s="17" t="s">
        <v>37</v>
      </c>
      <c r="D829" s="17" t="s">
        <v>886</v>
      </c>
      <c r="E829" s="17" t="s">
        <v>887</v>
      </c>
      <c r="F829" s="14" t="s">
        <v>1089</v>
      </c>
      <c r="G829" s="3" t="s">
        <v>41</v>
      </c>
      <c r="H829" s="108"/>
      <c r="I829" s="3" t="s">
        <v>43</v>
      </c>
      <c r="K829" s="19" t="s">
        <v>1162</v>
      </c>
      <c r="L829" s="19"/>
      <c r="M829" s="29" t="s">
        <v>1162</v>
      </c>
      <c r="N829" s="29" t="s">
        <v>892</v>
      </c>
      <c r="O829" s="29" t="s">
        <v>1165</v>
      </c>
      <c r="P829" s="17" t="s">
        <v>154</v>
      </c>
      <c r="Q829" s="17" t="s">
        <v>97</v>
      </c>
      <c r="R829" s="16" t="n">
        <v>2525.5</v>
      </c>
      <c r="S829" s="16" t="n">
        <v>4500</v>
      </c>
      <c r="T829" s="16" t="n">
        <v>1</v>
      </c>
      <c r="U829" s="1" t="str">
        <f aca="false">D829&amp;"-"&amp;E829&amp;"-"&amp;M829&amp;"-"&amp;O829&amp;"-"&amp;P829&amp;"-"&amp;Q829</f>
        <v>FANTASIE-ENVISAGE UW FULL CUP SIDE-FL6911-DARK SKIN-38-D</v>
      </c>
      <c r="W829" s="1" t="s">
        <v>113</v>
      </c>
    </row>
    <row r="830" customFormat="false" ht="15" hidden="true" customHeight="false" outlineLevel="0" collapsed="false">
      <c r="B830" s="17" t="s">
        <v>1205</v>
      </c>
      <c r="C830" s="17" t="s">
        <v>37</v>
      </c>
      <c r="D830" s="17" t="s">
        <v>886</v>
      </c>
      <c r="E830" s="17" t="s">
        <v>887</v>
      </c>
      <c r="F830" s="14" t="s">
        <v>1089</v>
      </c>
      <c r="G830" s="3" t="s">
        <v>41</v>
      </c>
      <c r="H830" s="108"/>
      <c r="I830" s="3" t="s">
        <v>43</v>
      </c>
      <c r="K830" s="19" t="s">
        <v>1162</v>
      </c>
      <c r="L830" s="19"/>
      <c r="M830" s="29" t="s">
        <v>1162</v>
      </c>
      <c r="N830" s="29" t="s">
        <v>892</v>
      </c>
      <c r="O830" s="29" t="s">
        <v>1165</v>
      </c>
      <c r="P830" s="17" t="s">
        <v>154</v>
      </c>
      <c r="Q830" s="17" t="s">
        <v>56</v>
      </c>
      <c r="R830" s="16" t="n">
        <v>2525.5</v>
      </c>
      <c r="S830" s="16" t="n">
        <v>4500</v>
      </c>
      <c r="T830" s="16" t="n">
        <v>1</v>
      </c>
      <c r="U830" s="1" t="str">
        <f aca="false">D830&amp;"-"&amp;E830&amp;"-"&amp;M830&amp;"-"&amp;O830&amp;"-"&amp;P830&amp;"-"&amp;Q830</f>
        <v>FANTASIE-ENVISAGE UW FULL CUP SIDE-FL6911-DARK SKIN-38-DD</v>
      </c>
      <c r="W830" s="1" t="s">
        <v>113</v>
      </c>
    </row>
    <row r="831" customFormat="false" ht="15" hidden="true" customHeight="false" outlineLevel="0" collapsed="false">
      <c r="B831" s="29" t="s">
        <v>1206</v>
      </c>
      <c r="C831" s="17" t="s">
        <v>37</v>
      </c>
      <c r="D831" s="29" t="s">
        <v>886</v>
      </c>
      <c r="E831" s="17" t="s">
        <v>887</v>
      </c>
      <c r="F831" s="14" t="s">
        <v>1089</v>
      </c>
      <c r="G831" s="3" t="s">
        <v>41</v>
      </c>
      <c r="H831" s="108" t="s">
        <v>80</v>
      </c>
      <c r="I831" s="3" t="s">
        <v>43</v>
      </c>
      <c r="K831" s="19" t="s">
        <v>1162</v>
      </c>
      <c r="L831" s="19"/>
      <c r="M831" s="29" t="s">
        <v>1162</v>
      </c>
      <c r="N831" s="29" t="s">
        <v>889</v>
      </c>
      <c r="O831" s="17" t="s">
        <v>1172</v>
      </c>
      <c r="P831" s="29" t="s">
        <v>154</v>
      </c>
      <c r="Q831" s="29" t="s">
        <v>50</v>
      </c>
      <c r="R831" s="16" t="n">
        <v>2525.5</v>
      </c>
      <c r="S831" s="16" t="n">
        <v>4500</v>
      </c>
      <c r="T831" s="16" t="n">
        <v>1</v>
      </c>
      <c r="U831" s="1" t="str">
        <f aca="false">D831&amp;"-"&amp;E831&amp;"-"&amp;M831&amp;"-"&amp;O831&amp;"-"&amp;P831&amp;"-"&amp;Q831</f>
        <v>FANTASIE-ENVISAGE UW FULL CUP SIDE-FL6911-ICE BLUE-38-F</v>
      </c>
      <c r="W831" s="1" t="s">
        <v>113</v>
      </c>
    </row>
    <row r="832" customFormat="false" ht="15" hidden="true" customHeight="false" outlineLevel="0" collapsed="false">
      <c r="B832" s="29" t="s">
        <v>1207</v>
      </c>
      <c r="C832" s="17" t="s">
        <v>37</v>
      </c>
      <c r="D832" s="29" t="s">
        <v>886</v>
      </c>
      <c r="E832" s="17" t="s">
        <v>887</v>
      </c>
      <c r="F832" s="14" t="s">
        <v>1089</v>
      </c>
      <c r="G832" s="3" t="s">
        <v>41</v>
      </c>
      <c r="H832" s="108" t="s">
        <v>80</v>
      </c>
      <c r="I832" s="3" t="s">
        <v>43</v>
      </c>
      <c r="K832" s="19" t="s">
        <v>1162</v>
      </c>
      <c r="L832" s="19"/>
      <c r="M832" s="29" t="s">
        <v>1162</v>
      </c>
      <c r="N832" s="17" t="s">
        <v>1186</v>
      </c>
      <c r="O832" s="17" t="s">
        <v>1187</v>
      </c>
      <c r="P832" s="29" t="s">
        <v>154</v>
      </c>
      <c r="Q832" s="29" t="s">
        <v>62</v>
      </c>
      <c r="R832" s="16" t="n">
        <v>2525.5</v>
      </c>
      <c r="S832" s="16" t="n">
        <v>4500</v>
      </c>
      <c r="T832" s="16" t="n">
        <v>1</v>
      </c>
      <c r="U832" s="1" t="str">
        <f aca="false">D832&amp;"-"&amp;E832&amp;"-"&amp;M832&amp;"-"&amp;O832&amp;"-"&amp;P832&amp;"-"&amp;Q832</f>
        <v>FANTASIE-ENVISAGE UW FULL CUP SIDE-FL6911-WINE-38-FF</v>
      </c>
      <c r="W832" s="1" t="s">
        <v>113</v>
      </c>
    </row>
    <row r="833" customFormat="false" ht="15" hidden="true" customHeight="false" outlineLevel="0" collapsed="false">
      <c r="B833" s="29" t="s">
        <v>1208</v>
      </c>
      <c r="C833" s="17" t="s">
        <v>37</v>
      </c>
      <c r="D833" s="29" t="s">
        <v>886</v>
      </c>
      <c r="E833" s="17" t="s">
        <v>887</v>
      </c>
      <c r="F833" s="14" t="s">
        <v>1089</v>
      </c>
      <c r="G833" s="3" t="s">
        <v>41</v>
      </c>
      <c r="H833" s="108" t="s">
        <v>80</v>
      </c>
      <c r="I833" s="3" t="s">
        <v>43</v>
      </c>
      <c r="K833" s="19" t="s">
        <v>1162</v>
      </c>
      <c r="L833" s="19"/>
      <c r="M833" s="29" t="s">
        <v>1162</v>
      </c>
      <c r="N833" s="29" t="s">
        <v>892</v>
      </c>
      <c r="O833" s="17" t="s">
        <v>1165</v>
      </c>
      <c r="P833" s="29" t="s">
        <v>154</v>
      </c>
      <c r="Q833" s="29" t="s">
        <v>105</v>
      </c>
      <c r="R833" s="16" t="n">
        <v>2525.5</v>
      </c>
      <c r="S833" s="16" t="n">
        <v>4500</v>
      </c>
      <c r="T833" s="16" t="n">
        <v>1</v>
      </c>
      <c r="U833" s="1" t="str">
        <f aca="false">D833&amp;"-"&amp;E833&amp;"-"&amp;M833&amp;"-"&amp;O833&amp;"-"&amp;P833&amp;"-"&amp;Q833</f>
        <v>FANTASIE-ENVISAGE UW FULL CUP SIDE-FL6911-DARK SKIN-38-G</v>
      </c>
      <c r="W833" s="1" t="s">
        <v>113</v>
      </c>
    </row>
    <row r="834" customFormat="false" ht="15" hidden="true" customHeight="false" outlineLevel="0" collapsed="false">
      <c r="B834" s="17" t="s">
        <v>1209</v>
      </c>
      <c r="C834" s="17" t="s">
        <v>37</v>
      </c>
      <c r="D834" s="17" t="s">
        <v>886</v>
      </c>
      <c r="E834" s="17" t="s">
        <v>887</v>
      </c>
      <c r="F834" s="14" t="s">
        <v>1089</v>
      </c>
      <c r="G834" s="3" t="s">
        <v>41</v>
      </c>
      <c r="H834" s="108" t="s">
        <v>80</v>
      </c>
      <c r="I834" s="3" t="s">
        <v>43</v>
      </c>
      <c r="K834" s="19" t="s">
        <v>1162</v>
      </c>
      <c r="L834" s="19"/>
      <c r="M834" s="29" t="s">
        <v>1162</v>
      </c>
      <c r="N834" s="17" t="s">
        <v>929</v>
      </c>
      <c r="O834" s="17" t="s">
        <v>528</v>
      </c>
      <c r="P834" s="17" t="s">
        <v>154</v>
      </c>
      <c r="Q834" s="17" t="s">
        <v>105</v>
      </c>
      <c r="R834" s="16" t="n">
        <v>2520</v>
      </c>
      <c r="S834" s="16" t="n">
        <v>4500</v>
      </c>
      <c r="T834" s="16" t="n">
        <v>2</v>
      </c>
      <c r="U834" s="1" t="str">
        <f aca="false">D834&amp;"-"&amp;E834&amp;"-"&amp;M834&amp;"-"&amp;O834&amp;"-"&amp;P834&amp;"-"&amp;Q834</f>
        <v>FANTASIE-ENVISAGE UW FULL CUP SIDE-FL6911-RED-38-G</v>
      </c>
      <c r="W834" s="1" t="s">
        <v>113</v>
      </c>
    </row>
    <row r="835" customFormat="false" ht="15" hidden="true" customHeight="false" outlineLevel="0" collapsed="false">
      <c r="B835" s="17" t="s">
        <v>1210</v>
      </c>
      <c r="C835" s="17" t="s">
        <v>37</v>
      </c>
      <c r="D835" s="17" t="s">
        <v>886</v>
      </c>
      <c r="E835" s="17" t="s">
        <v>887</v>
      </c>
      <c r="F835" s="14" t="s">
        <v>1089</v>
      </c>
      <c r="G835" s="3" t="s">
        <v>41</v>
      </c>
      <c r="H835" s="108" t="s">
        <v>80</v>
      </c>
      <c r="I835" s="3" t="s">
        <v>43</v>
      </c>
      <c r="K835" s="19" t="s">
        <v>1162</v>
      </c>
      <c r="L835" s="19"/>
      <c r="M835" s="29" t="s">
        <v>1162</v>
      </c>
      <c r="N835" s="17" t="s">
        <v>119</v>
      </c>
      <c r="O835" s="17" t="s">
        <v>465</v>
      </c>
      <c r="P835" s="17" t="s">
        <v>154</v>
      </c>
      <c r="Q835" s="17" t="s">
        <v>129</v>
      </c>
      <c r="R835" s="16" t="n">
        <v>2525.5</v>
      </c>
      <c r="S835" s="16" t="n">
        <v>4500</v>
      </c>
      <c r="T835" s="16" t="n">
        <v>1</v>
      </c>
      <c r="U835" s="1" t="str">
        <f aca="false">D835&amp;"-"&amp;E835&amp;"-"&amp;M835&amp;"-"&amp;O835&amp;"-"&amp;P835&amp;"-"&amp;Q835</f>
        <v>FANTASIE-ENVISAGE UW FULL CUP SIDE-FL6911-SKIN-38-GG</v>
      </c>
      <c r="W835" s="1" t="s">
        <v>113</v>
      </c>
    </row>
    <row r="836" customFormat="false" ht="14.25" hidden="true" customHeight="true" outlineLevel="0" collapsed="false">
      <c r="B836" s="17" t="s">
        <v>1211</v>
      </c>
      <c r="C836" s="17" t="s">
        <v>37</v>
      </c>
      <c r="D836" s="17" t="s">
        <v>886</v>
      </c>
      <c r="E836" s="17" t="s">
        <v>887</v>
      </c>
      <c r="F836" s="14" t="s">
        <v>1089</v>
      </c>
      <c r="G836" s="3" t="s">
        <v>41</v>
      </c>
      <c r="H836" s="108" t="s">
        <v>80</v>
      </c>
      <c r="I836" s="3" t="s">
        <v>43</v>
      </c>
      <c r="K836" s="19" t="s">
        <v>1162</v>
      </c>
      <c r="L836" s="19"/>
      <c r="M836" s="29" t="s">
        <v>1162</v>
      </c>
      <c r="N836" s="17" t="s">
        <v>119</v>
      </c>
      <c r="O836" s="17" t="s">
        <v>465</v>
      </c>
      <c r="P836" s="17" t="s">
        <v>417</v>
      </c>
      <c r="Q836" s="17" t="s">
        <v>56</v>
      </c>
      <c r="R836" s="16" t="n">
        <v>2525.5</v>
      </c>
      <c r="S836" s="16" t="n">
        <v>4500</v>
      </c>
      <c r="T836" s="16" t="n">
        <v>1</v>
      </c>
      <c r="U836" s="1" t="str">
        <f aca="false">D836&amp;"-"&amp;E836&amp;"-"&amp;M836&amp;"-"&amp;O836&amp;"-"&amp;P836&amp;"-"&amp;Q836</f>
        <v>FANTASIE-ENVISAGE UW FULL CUP SIDE-FL6911-SKIN-40-DD</v>
      </c>
      <c r="W836" s="1" t="s">
        <v>113</v>
      </c>
    </row>
    <row r="837" customFormat="false" ht="15" hidden="true" customHeight="false" outlineLevel="0" collapsed="false">
      <c r="B837" s="29" t="s">
        <v>1212</v>
      </c>
      <c r="C837" s="17" t="s">
        <v>37</v>
      </c>
      <c r="D837" s="29" t="s">
        <v>886</v>
      </c>
      <c r="E837" s="17" t="s">
        <v>887</v>
      </c>
      <c r="F837" s="14" t="s">
        <v>1089</v>
      </c>
      <c r="G837" s="3" t="s">
        <v>41</v>
      </c>
      <c r="H837" s="108" t="s">
        <v>80</v>
      </c>
      <c r="I837" s="3" t="s">
        <v>43</v>
      </c>
      <c r="K837" s="19" t="s">
        <v>1162</v>
      </c>
      <c r="L837" s="19"/>
      <c r="M837" s="29" t="s">
        <v>1162</v>
      </c>
      <c r="N837" s="29" t="s">
        <v>892</v>
      </c>
      <c r="O837" s="29" t="s">
        <v>1165</v>
      </c>
      <c r="P837" s="29" t="s">
        <v>417</v>
      </c>
      <c r="Q837" s="29" t="s">
        <v>66</v>
      </c>
      <c r="R837" s="16" t="n">
        <v>2525.5</v>
      </c>
      <c r="S837" s="16" t="n">
        <v>4500</v>
      </c>
      <c r="T837" s="1" t="n">
        <v>3</v>
      </c>
      <c r="U837" s="1" t="str">
        <f aca="false">D837&amp;"-"&amp;E837&amp;"-"&amp;M837&amp;"-"&amp;O837&amp;"-"&amp;P837&amp;"-"&amp;Q837</f>
        <v>FANTASIE-ENVISAGE UW FULL CUP SIDE-FL6911-DARK SKIN-40-E</v>
      </c>
      <c r="W837" s="1" t="s">
        <v>113</v>
      </c>
    </row>
    <row r="838" customFormat="false" ht="15" hidden="true" customHeight="false" outlineLevel="0" collapsed="false">
      <c r="B838" s="17" t="s">
        <v>1213</v>
      </c>
      <c r="C838" s="17" t="s">
        <v>37</v>
      </c>
      <c r="D838" s="17" t="s">
        <v>886</v>
      </c>
      <c r="E838" s="17" t="s">
        <v>887</v>
      </c>
      <c r="F838" s="14" t="s">
        <v>1089</v>
      </c>
      <c r="G838" s="3" t="s">
        <v>41</v>
      </c>
      <c r="H838" s="108" t="s">
        <v>80</v>
      </c>
      <c r="I838" s="3" t="s">
        <v>43</v>
      </c>
      <c r="K838" s="19" t="s">
        <v>1162</v>
      </c>
      <c r="L838" s="19"/>
      <c r="M838" s="29" t="s">
        <v>1162</v>
      </c>
      <c r="N838" s="29" t="s">
        <v>892</v>
      </c>
      <c r="O838" s="29" t="s">
        <v>1165</v>
      </c>
      <c r="P838" s="17" t="s">
        <v>417</v>
      </c>
      <c r="Q838" s="17" t="s">
        <v>50</v>
      </c>
      <c r="R838" s="16" t="n">
        <v>2525.5</v>
      </c>
      <c r="S838" s="16" t="n">
        <v>4500</v>
      </c>
      <c r="T838" s="1" t="n">
        <v>2</v>
      </c>
      <c r="U838" s="1" t="str">
        <f aca="false">D838&amp;"-"&amp;E838&amp;"-"&amp;M838&amp;"-"&amp;O838&amp;"-"&amp;P838&amp;"-"&amp;Q838</f>
        <v>FANTASIE-ENVISAGE UW FULL CUP SIDE-FL6911-DARK SKIN-40-F</v>
      </c>
      <c r="W838" s="1" t="s">
        <v>113</v>
      </c>
    </row>
    <row r="839" customFormat="false" ht="15" hidden="true" customHeight="false" outlineLevel="0" collapsed="false">
      <c r="B839" s="29" t="s">
        <v>1214</v>
      </c>
      <c r="C839" s="17" t="s">
        <v>37</v>
      </c>
      <c r="D839" s="29" t="s">
        <v>886</v>
      </c>
      <c r="E839" s="17" t="s">
        <v>887</v>
      </c>
      <c r="F839" s="14" t="s">
        <v>1089</v>
      </c>
      <c r="G839" s="3" t="s">
        <v>41</v>
      </c>
      <c r="H839" s="108" t="s">
        <v>80</v>
      </c>
      <c r="I839" s="3" t="s">
        <v>43</v>
      </c>
      <c r="K839" s="19" t="s">
        <v>1162</v>
      </c>
      <c r="L839" s="19"/>
      <c r="M839" s="29" t="s">
        <v>1162</v>
      </c>
      <c r="N839" s="29" t="s">
        <v>892</v>
      </c>
      <c r="O839" s="29" t="s">
        <v>1165</v>
      </c>
      <c r="P839" s="29" t="s">
        <v>417</v>
      </c>
      <c r="Q839" s="29" t="s">
        <v>62</v>
      </c>
      <c r="R839" s="16" t="n">
        <v>2525.5</v>
      </c>
      <c r="S839" s="16" t="n">
        <v>4500</v>
      </c>
      <c r="T839" s="1" t="n">
        <v>2</v>
      </c>
      <c r="U839" s="1" t="str">
        <f aca="false">D839&amp;"-"&amp;E839&amp;"-"&amp;M839&amp;"-"&amp;O839&amp;"-"&amp;P839&amp;"-"&amp;Q839</f>
        <v>FANTASIE-ENVISAGE UW FULL CUP SIDE-FL6911-DARK SKIN-40-FF</v>
      </c>
      <c r="W839" s="1" t="s">
        <v>113</v>
      </c>
    </row>
    <row r="840" customFormat="false" ht="15" hidden="true" customHeight="false" outlineLevel="0" collapsed="false">
      <c r="B840" s="29" t="s">
        <v>1215</v>
      </c>
      <c r="C840" s="17" t="s">
        <v>37</v>
      </c>
      <c r="D840" s="29" t="s">
        <v>886</v>
      </c>
      <c r="E840" s="17" t="s">
        <v>887</v>
      </c>
      <c r="F840" s="14" t="s">
        <v>1089</v>
      </c>
      <c r="G840" s="3" t="s">
        <v>41</v>
      </c>
      <c r="H840" s="108" t="s">
        <v>80</v>
      </c>
      <c r="I840" s="3" t="s">
        <v>43</v>
      </c>
      <c r="K840" s="19" t="s">
        <v>1162</v>
      </c>
      <c r="L840" s="19"/>
      <c r="M840" s="29" t="s">
        <v>1162</v>
      </c>
      <c r="N840" s="29" t="s">
        <v>76</v>
      </c>
      <c r="O840" s="29" t="s">
        <v>1163</v>
      </c>
      <c r="P840" s="29" t="s">
        <v>417</v>
      </c>
      <c r="Q840" s="29" t="s">
        <v>62</v>
      </c>
      <c r="R840" s="16" t="n">
        <v>2525.5</v>
      </c>
      <c r="S840" s="16" t="n">
        <v>4500</v>
      </c>
      <c r="T840" s="1" t="n">
        <v>1</v>
      </c>
      <c r="U840" s="1" t="str">
        <f aca="false">D840&amp;"-"&amp;E840&amp;"-"&amp;M840&amp;"-"&amp;O840&amp;"-"&amp;P840&amp;"-"&amp;Q840</f>
        <v>FANTASIE-ENVISAGE UW FULL CUP SIDE-FL6911-BLACK -40-FF</v>
      </c>
      <c r="W840" s="1" t="s">
        <v>113</v>
      </c>
    </row>
    <row r="841" customFormat="false" ht="15" hidden="true" customHeight="false" outlineLevel="0" collapsed="false">
      <c r="B841" s="29" t="s">
        <v>1216</v>
      </c>
      <c r="C841" s="17" t="s">
        <v>37</v>
      </c>
      <c r="D841" s="29" t="s">
        <v>886</v>
      </c>
      <c r="E841" s="17" t="s">
        <v>887</v>
      </c>
      <c r="F841" s="14" t="s">
        <v>1089</v>
      </c>
      <c r="G841" s="3" t="s">
        <v>41</v>
      </c>
      <c r="H841" s="108" t="s">
        <v>80</v>
      </c>
      <c r="I841" s="3" t="s">
        <v>43</v>
      </c>
      <c r="K841" s="19" t="s">
        <v>1162</v>
      </c>
      <c r="L841" s="19"/>
      <c r="M841" s="29" t="s">
        <v>1162</v>
      </c>
      <c r="N841" s="29" t="s">
        <v>76</v>
      </c>
      <c r="O841" s="29" t="s">
        <v>437</v>
      </c>
      <c r="P841" s="29" t="s">
        <v>417</v>
      </c>
      <c r="Q841" s="29" t="s">
        <v>143</v>
      </c>
      <c r="R841" s="16" t="n">
        <v>2525.5</v>
      </c>
      <c r="S841" s="16" t="n">
        <v>4500</v>
      </c>
      <c r="T841" s="1" t="n">
        <v>1</v>
      </c>
      <c r="U841" s="1" t="str">
        <f aca="false">D841&amp;"-"&amp;E841&amp;"-"&amp;M841&amp;"-"&amp;O841&amp;"-"&amp;P841&amp;"-"&amp;Q841</f>
        <v>FANTASIE-ENVISAGE UW FULL CUP SIDE-FL6911-Black-40-H</v>
      </c>
      <c r="W841" s="1" t="s">
        <v>113</v>
      </c>
    </row>
    <row r="842" customFormat="false" ht="15" hidden="true" customHeight="false" outlineLevel="0" collapsed="false">
      <c r="B842" s="29" t="s">
        <v>1217</v>
      </c>
      <c r="C842" s="17" t="s">
        <v>37</v>
      </c>
      <c r="D842" s="29" t="s">
        <v>886</v>
      </c>
      <c r="E842" s="17" t="s">
        <v>887</v>
      </c>
      <c r="F842" s="14" t="s">
        <v>1089</v>
      </c>
      <c r="G842" s="3" t="s">
        <v>41</v>
      </c>
      <c r="H842" s="108" t="s">
        <v>80</v>
      </c>
      <c r="I842" s="3" t="s">
        <v>43</v>
      </c>
      <c r="K842" s="19" t="s">
        <v>1162</v>
      </c>
      <c r="L842" s="19"/>
      <c r="M842" s="29" t="s">
        <v>1162</v>
      </c>
      <c r="N842" s="29" t="s">
        <v>76</v>
      </c>
      <c r="O842" s="29" t="s">
        <v>437</v>
      </c>
      <c r="P842" s="29" t="s">
        <v>417</v>
      </c>
      <c r="Q842" s="29" t="s">
        <v>105</v>
      </c>
      <c r="R842" s="16" t="n">
        <v>2525.5</v>
      </c>
      <c r="S842" s="16" t="n">
        <v>4500</v>
      </c>
      <c r="T842" s="1" t="n">
        <v>1</v>
      </c>
      <c r="U842" s="1" t="str">
        <f aca="false">D842&amp;"-"&amp;E842&amp;"-"&amp;M842&amp;"-"&amp;O842&amp;"-"&amp;P842&amp;"-"&amp;Q842</f>
        <v>FANTASIE-ENVISAGE UW FULL CUP SIDE-FL6911-Black-40-G</v>
      </c>
      <c r="W842" s="1" t="s">
        <v>113</v>
      </c>
    </row>
    <row r="843" customFormat="false" ht="15" hidden="true" customHeight="false" outlineLevel="0" collapsed="false">
      <c r="B843" s="20" t="s">
        <v>1218</v>
      </c>
      <c r="C843" s="20" t="s">
        <v>37</v>
      </c>
      <c r="D843" s="20" t="s">
        <v>886</v>
      </c>
      <c r="E843" s="20" t="s">
        <v>1219</v>
      </c>
      <c r="F843" s="14" t="s">
        <v>1089</v>
      </c>
      <c r="G843" s="3" t="s">
        <v>41</v>
      </c>
      <c r="H843" s="108" t="s">
        <v>80</v>
      </c>
      <c r="I843" s="3" t="s">
        <v>43</v>
      </c>
      <c r="K843" s="4" t="s">
        <v>1220</v>
      </c>
      <c r="L843" s="19"/>
      <c r="M843" s="1" t="s">
        <v>1220</v>
      </c>
      <c r="N843" s="20" t="s">
        <v>1221</v>
      </c>
      <c r="O843" s="20" t="s">
        <v>612</v>
      </c>
      <c r="P843" s="20" t="s">
        <v>55</v>
      </c>
      <c r="Q843" s="20" t="s">
        <v>66</v>
      </c>
      <c r="R843" s="16" t="n">
        <v>2525.5</v>
      </c>
      <c r="S843" s="16" t="n">
        <v>4500</v>
      </c>
      <c r="T843" s="16" t="n">
        <v>1</v>
      </c>
      <c r="U843" s="1" t="str">
        <f aca="false">D843&amp;"-"&amp;E843&amp;"-"&amp;M843&amp;"-"&amp;O843&amp;"-"&amp;P843&amp;"-"&amp;Q843</f>
        <v>FANTASIE-ILLUSION UW SIDE SUPPORT BRA-FL2982-WHITE-30-E</v>
      </c>
      <c r="W843" s="1" t="s">
        <v>1222</v>
      </c>
    </row>
    <row r="844" customFormat="false" ht="15" hidden="true" customHeight="false" outlineLevel="0" collapsed="false">
      <c r="B844" s="17" t="s">
        <v>1223</v>
      </c>
      <c r="C844" s="17" t="s">
        <v>37</v>
      </c>
      <c r="D844" s="29" t="s">
        <v>886</v>
      </c>
      <c r="E844" s="17" t="s">
        <v>1219</v>
      </c>
      <c r="F844" s="14" t="s">
        <v>1089</v>
      </c>
      <c r="G844" s="3" t="s">
        <v>41</v>
      </c>
      <c r="H844" s="108" t="s">
        <v>80</v>
      </c>
      <c r="I844" s="3" t="s">
        <v>43</v>
      </c>
      <c r="K844" s="4" t="s">
        <v>1220</v>
      </c>
      <c r="L844" s="19"/>
      <c r="M844" s="1" t="s">
        <v>1220</v>
      </c>
      <c r="N844" s="17" t="s">
        <v>119</v>
      </c>
      <c r="O844" s="17" t="s">
        <v>465</v>
      </c>
      <c r="P844" s="17" t="s">
        <v>55</v>
      </c>
      <c r="Q844" s="17" t="s">
        <v>66</v>
      </c>
      <c r="R844" s="16" t="n">
        <v>2525.5</v>
      </c>
      <c r="S844" s="16" t="n">
        <v>4500</v>
      </c>
      <c r="T844" s="16" t="n">
        <v>1</v>
      </c>
      <c r="U844" s="1" t="str">
        <f aca="false">D844&amp;"-"&amp;E844&amp;"-"&amp;M844&amp;"-"&amp;O844&amp;"-"&amp;P844&amp;"-"&amp;Q844</f>
        <v>FANTASIE-ILLUSION UW SIDE SUPPORT BRA-FL2982-SKIN-30-E</v>
      </c>
      <c r="W844" s="1" t="s">
        <v>1222</v>
      </c>
    </row>
    <row r="845" customFormat="false" ht="15" hidden="true" customHeight="false" outlineLevel="0" collapsed="false">
      <c r="B845" s="17" t="s">
        <v>1224</v>
      </c>
      <c r="C845" s="17" t="s">
        <v>37</v>
      </c>
      <c r="D845" s="29" t="s">
        <v>886</v>
      </c>
      <c r="E845" s="17" t="s">
        <v>1219</v>
      </c>
      <c r="F845" s="14" t="s">
        <v>1089</v>
      </c>
      <c r="G845" s="3" t="s">
        <v>41</v>
      </c>
      <c r="H845" s="108" t="s">
        <v>80</v>
      </c>
      <c r="I845" s="3" t="s">
        <v>43</v>
      </c>
      <c r="K845" s="4" t="s">
        <v>1220</v>
      </c>
      <c r="L845" s="19"/>
      <c r="M845" s="1" t="s">
        <v>1220</v>
      </c>
      <c r="N845" s="17" t="s">
        <v>1225</v>
      </c>
      <c r="O845" s="17" t="s">
        <v>619</v>
      </c>
      <c r="P845" s="17" t="s">
        <v>55</v>
      </c>
      <c r="Q845" s="17" t="s">
        <v>66</v>
      </c>
      <c r="R845" s="16" t="n">
        <v>2525.5</v>
      </c>
      <c r="S845" s="16" t="n">
        <v>4500</v>
      </c>
      <c r="T845" s="16" t="n">
        <v>1</v>
      </c>
      <c r="U845" s="1" t="str">
        <f aca="false">D845&amp;"-"&amp;E845&amp;"-"&amp;M845&amp;"-"&amp;O845&amp;"-"&amp;P845&amp;"-"&amp;Q845</f>
        <v>FANTASIE-ILLUSION UW SIDE SUPPORT BRA-FL2982-GREEN-30-E</v>
      </c>
      <c r="W845" s="1" t="s">
        <v>1222</v>
      </c>
    </row>
    <row r="846" customFormat="false" ht="15" hidden="true" customHeight="false" outlineLevel="0" collapsed="false">
      <c r="B846" s="17" t="s">
        <v>1226</v>
      </c>
      <c r="C846" s="17" t="s">
        <v>37</v>
      </c>
      <c r="D846" s="29" t="s">
        <v>886</v>
      </c>
      <c r="E846" s="17" t="s">
        <v>1219</v>
      </c>
      <c r="F846" s="14" t="s">
        <v>1089</v>
      </c>
      <c r="G846" s="3" t="s">
        <v>41</v>
      </c>
      <c r="H846" s="108" t="s">
        <v>80</v>
      </c>
      <c r="I846" s="3" t="s">
        <v>43</v>
      </c>
      <c r="K846" s="4" t="s">
        <v>1220</v>
      </c>
      <c r="L846" s="19"/>
      <c r="M846" s="1" t="s">
        <v>1220</v>
      </c>
      <c r="N846" s="17" t="s">
        <v>119</v>
      </c>
      <c r="O846" s="17" t="s">
        <v>465</v>
      </c>
      <c r="P846" s="17" t="s">
        <v>55</v>
      </c>
      <c r="Q846" s="17" t="s">
        <v>50</v>
      </c>
      <c r="R846" s="16" t="n">
        <v>2525.5</v>
      </c>
      <c r="S846" s="16" t="n">
        <v>4500</v>
      </c>
      <c r="T846" s="16" t="n">
        <v>1</v>
      </c>
      <c r="U846" s="1" t="str">
        <f aca="false">D846&amp;"-"&amp;E846&amp;"-"&amp;M846&amp;"-"&amp;O846&amp;"-"&amp;P846&amp;"-"&amp;Q846</f>
        <v>FANTASIE-ILLUSION UW SIDE SUPPORT BRA-FL2982-SKIN-30-F</v>
      </c>
      <c r="W846" s="1" t="s">
        <v>1222</v>
      </c>
    </row>
    <row r="847" customFormat="false" ht="15" hidden="true" customHeight="false" outlineLevel="0" collapsed="false">
      <c r="B847" s="17" t="s">
        <v>1226</v>
      </c>
      <c r="C847" s="17" t="s">
        <v>37</v>
      </c>
      <c r="D847" s="29" t="s">
        <v>886</v>
      </c>
      <c r="E847" s="17" t="s">
        <v>1219</v>
      </c>
      <c r="F847" s="14" t="s">
        <v>1089</v>
      </c>
      <c r="G847" s="3" t="s">
        <v>41</v>
      </c>
      <c r="H847" s="108" t="s">
        <v>80</v>
      </c>
      <c r="I847" s="3" t="s">
        <v>43</v>
      </c>
      <c r="K847" s="4" t="s">
        <v>1220</v>
      </c>
      <c r="L847" s="19"/>
      <c r="M847" s="1" t="s">
        <v>1220</v>
      </c>
      <c r="N847" s="17" t="s">
        <v>119</v>
      </c>
      <c r="O847" s="17" t="s">
        <v>465</v>
      </c>
      <c r="P847" s="17" t="s">
        <v>55</v>
      </c>
      <c r="Q847" s="17" t="s">
        <v>50</v>
      </c>
      <c r="R847" s="16" t="n">
        <v>2525.5</v>
      </c>
      <c r="S847" s="16" t="n">
        <v>4500</v>
      </c>
      <c r="T847" s="16" t="n">
        <v>1</v>
      </c>
      <c r="U847" s="1" t="str">
        <f aca="false">D847&amp;"-"&amp;E847&amp;"-"&amp;M847&amp;"-"&amp;O847&amp;"-"&amp;P847&amp;"-"&amp;Q847</f>
        <v>FANTASIE-ILLUSION UW SIDE SUPPORT BRA-FL2982-SKIN-30-F</v>
      </c>
      <c r="W847" s="1" t="s">
        <v>1222</v>
      </c>
    </row>
    <row r="848" customFormat="false" ht="15" hidden="true" customHeight="false" outlineLevel="0" collapsed="false">
      <c r="B848" s="17" t="s">
        <v>1227</v>
      </c>
      <c r="C848" s="17" t="s">
        <v>37</v>
      </c>
      <c r="D848" s="29" t="s">
        <v>886</v>
      </c>
      <c r="E848" s="17" t="s">
        <v>1219</v>
      </c>
      <c r="F848" s="14" t="s">
        <v>1089</v>
      </c>
      <c r="G848" s="3" t="s">
        <v>41</v>
      </c>
      <c r="H848" s="108" t="s">
        <v>80</v>
      </c>
      <c r="I848" s="3" t="s">
        <v>43</v>
      </c>
      <c r="K848" s="4" t="s">
        <v>1220</v>
      </c>
      <c r="L848" s="19"/>
      <c r="M848" s="1" t="s">
        <v>1220</v>
      </c>
      <c r="N848" s="17" t="s">
        <v>1228</v>
      </c>
      <c r="O848" s="17" t="s">
        <v>1229</v>
      </c>
      <c r="P848" s="17" t="s">
        <v>55</v>
      </c>
      <c r="Q848" s="17" t="s">
        <v>129</v>
      </c>
      <c r="R848" s="16" t="n">
        <v>2525.5</v>
      </c>
      <c r="S848" s="16" t="n">
        <v>4500</v>
      </c>
      <c r="T848" s="16" t="n">
        <v>1</v>
      </c>
      <c r="U848" s="1" t="str">
        <f aca="false">D848&amp;"-"&amp;E848&amp;"-"&amp;M848&amp;"-"&amp;O848&amp;"-"&amp;P848&amp;"-"&amp;Q848</f>
        <v>FANTASIE-ILLUSION UW SIDE SUPPORT BRA-FL2982-LILAC-30-GG</v>
      </c>
      <c r="W848" s="1" t="s">
        <v>1222</v>
      </c>
    </row>
    <row r="849" customFormat="false" ht="15" hidden="true" customHeight="false" outlineLevel="0" collapsed="false">
      <c r="B849" s="29" t="s">
        <v>1230</v>
      </c>
      <c r="C849" s="17" t="s">
        <v>37</v>
      </c>
      <c r="D849" s="29" t="s">
        <v>886</v>
      </c>
      <c r="E849" s="29" t="s">
        <v>1219</v>
      </c>
      <c r="F849" s="14" t="s">
        <v>1089</v>
      </c>
      <c r="G849" s="3" t="s">
        <v>41</v>
      </c>
      <c r="H849" s="108" t="s">
        <v>80</v>
      </c>
      <c r="I849" s="3" t="s">
        <v>43</v>
      </c>
      <c r="K849" s="4" t="s">
        <v>1220</v>
      </c>
      <c r="L849" s="19"/>
      <c r="M849" s="1" t="s">
        <v>1220</v>
      </c>
      <c r="N849" s="29" t="s">
        <v>1231</v>
      </c>
      <c r="O849" s="29" t="s">
        <v>528</v>
      </c>
      <c r="P849" s="29" t="s">
        <v>92</v>
      </c>
      <c r="Q849" s="29" t="s">
        <v>50</v>
      </c>
      <c r="R849" s="16" t="n">
        <v>2525.5</v>
      </c>
      <c r="S849" s="16" t="n">
        <v>4500</v>
      </c>
      <c r="T849" s="16" t="n">
        <v>1</v>
      </c>
      <c r="U849" s="1" t="str">
        <f aca="false">D849&amp;"-"&amp;E849&amp;"-"&amp;M849&amp;"-"&amp;O849&amp;"-"&amp;P849&amp;"-"&amp;Q849</f>
        <v>FANTASIE-ILLUSION UW SIDE SUPPORT BRA-FL2982-RED-32-F</v>
      </c>
      <c r="W849" s="1" t="s">
        <v>1222</v>
      </c>
    </row>
    <row r="850" customFormat="false" ht="15" hidden="true" customHeight="false" outlineLevel="0" collapsed="false">
      <c r="B850" s="29" t="s">
        <v>1232</v>
      </c>
      <c r="C850" s="17" t="s">
        <v>37</v>
      </c>
      <c r="D850" s="29" t="s">
        <v>886</v>
      </c>
      <c r="E850" s="29" t="s">
        <v>1219</v>
      </c>
      <c r="F850" s="14" t="s">
        <v>1089</v>
      </c>
      <c r="G850" s="3" t="s">
        <v>41</v>
      </c>
      <c r="H850" s="108" t="s">
        <v>80</v>
      </c>
      <c r="I850" s="3" t="s">
        <v>43</v>
      </c>
      <c r="K850" s="4" t="s">
        <v>1220</v>
      </c>
      <c r="L850" s="19"/>
      <c r="M850" s="1" t="s">
        <v>1220</v>
      </c>
      <c r="N850" s="29" t="s">
        <v>1233</v>
      </c>
      <c r="O850" s="29" t="s">
        <v>1229</v>
      </c>
      <c r="P850" s="29" t="s">
        <v>134</v>
      </c>
      <c r="Q850" s="29" t="s">
        <v>50</v>
      </c>
      <c r="R850" s="16" t="n">
        <v>2525.5</v>
      </c>
      <c r="S850" s="16" t="n">
        <v>4500</v>
      </c>
      <c r="T850" s="16" t="n">
        <v>2</v>
      </c>
      <c r="U850" s="1" t="str">
        <f aca="false">D850&amp;"-"&amp;E850&amp;"-"&amp;M850&amp;"-"&amp;O850&amp;"-"&amp;P850&amp;"-"&amp;Q850</f>
        <v>FANTASIE-ILLUSION UW SIDE SUPPORT BRA-FL2982-LILAC-34-F</v>
      </c>
      <c r="W850" s="1" t="s">
        <v>1222</v>
      </c>
    </row>
    <row r="851" customFormat="false" ht="15" hidden="true" customHeight="false" outlineLevel="0" collapsed="false">
      <c r="B851" s="29" t="s">
        <v>1234</v>
      </c>
      <c r="C851" s="17" t="s">
        <v>37</v>
      </c>
      <c r="D851" s="29" t="s">
        <v>886</v>
      </c>
      <c r="E851" s="29" t="s">
        <v>1219</v>
      </c>
      <c r="F851" s="14" t="s">
        <v>1089</v>
      </c>
      <c r="G851" s="3" t="s">
        <v>41</v>
      </c>
      <c r="H851" s="108" t="s">
        <v>80</v>
      </c>
      <c r="I851" s="3" t="s">
        <v>43</v>
      </c>
      <c r="K851" s="4" t="s">
        <v>1220</v>
      </c>
      <c r="L851" s="19"/>
      <c r="M851" s="1" t="s">
        <v>1220</v>
      </c>
      <c r="N851" s="29" t="s">
        <v>1233</v>
      </c>
      <c r="O851" s="29" t="s">
        <v>1229</v>
      </c>
      <c r="P851" s="29" t="s">
        <v>154</v>
      </c>
      <c r="Q851" s="29" t="s">
        <v>105</v>
      </c>
      <c r="R851" s="16" t="n">
        <v>2525.5</v>
      </c>
      <c r="S851" s="16" t="n">
        <v>4500</v>
      </c>
      <c r="T851" s="16" t="n">
        <v>1</v>
      </c>
      <c r="U851" s="1" t="str">
        <f aca="false">D851&amp;"-"&amp;E851&amp;"-"&amp;M851&amp;"-"&amp;O851&amp;"-"&amp;P851&amp;"-"&amp;Q851</f>
        <v>FANTASIE-ILLUSION UW SIDE SUPPORT BRA-FL2982-LILAC-38-G</v>
      </c>
      <c r="W851" s="1" t="s">
        <v>1222</v>
      </c>
    </row>
    <row r="852" customFormat="false" ht="15" hidden="true" customHeight="false" outlineLevel="0" collapsed="false">
      <c r="B852" s="29" t="s">
        <v>1235</v>
      </c>
      <c r="C852" s="17" t="s">
        <v>37</v>
      </c>
      <c r="D852" s="29" t="s">
        <v>886</v>
      </c>
      <c r="E852" s="29" t="s">
        <v>1236</v>
      </c>
      <c r="F852" s="14" t="s">
        <v>1089</v>
      </c>
      <c r="G852" s="3" t="s">
        <v>41</v>
      </c>
      <c r="H852" s="108" t="s">
        <v>1137</v>
      </c>
      <c r="I852" s="3" t="s">
        <v>43</v>
      </c>
      <c r="K852" s="19" t="s">
        <v>1237</v>
      </c>
      <c r="L852" s="19"/>
      <c r="M852" s="29" t="s">
        <v>1237</v>
      </c>
      <c r="N852" s="29" t="s">
        <v>1238</v>
      </c>
      <c r="O852" s="29" t="s">
        <v>1239</v>
      </c>
      <c r="P852" s="29" t="s">
        <v>55</v>
      </c>
      <c r="Q852" s="29" t="s">
        <v>50</v>
      </c>
      <c r="R852" s="16" t="n">
        <v>2574</v>
      </c>
      <c r="S852" s="16" t="n">
        <v>4500</v>
      </c>
      <c r="T852" s="16" t="n">
        <v>1</v>
      </c>
      <c r="U852" s="1" t="str">
        <f aca="false">D852&amp;"-"&amp;E852&amp;"-"&amp;M852&amp;"-"&amp;O852&amp;"-"&amp;P852&amp;"-"&amp;Q852</f>
        <v>FANTASIE-ADELLE SIDE SUPPORT BRA-FL101447-Light Pink Print-30-F</v>
      </c>
    </row>
    <row r="853" customFormat="false" ht="15" hidden="true" customHeight="false" outlineLevel="0" collapsed="false">
      <c r="B853" s="29" t="s">
        <v>1240</v>
      </c>
      <c r="C853" s="17" t="s">
        <v>37</v>
      </c>
      <c r="D853" s="29" t="s">
        <v>886</v>
      </c>
      <c r="E853" s="29" t="s">
        <v>1236</v>
      </c>
      <c r="F853" s="14" t="s">
        <v>1089</v>
      </c>
      <c r="G853" s="3" t="s">
        <v>41</v>
      </c>
      <c r="H853" s="108" t="s">
        <v>1137</v>
      </c>
      <c r="I853" s="3" t="s">
        <v>43</v>
      </c>
      <c r="K853" s="19" t="s">
        <v>1237</v>
      </c>
      <c r="L853" s="19"/>
      <c r="M853" s="29" t="s">
        <v>1237</v>
      </c>
      <c r="N853" s="29" t="s">
        <v>1238</v>
      </c>
      <c r="O853" s="29" t="s">
        <v>1239</v>
      </c>
      <c r="P853" s="29" t="s">
        <v>55</v>
      </c>
      <c r="Q853" s="29" t="s">
        <v>62</v>
      </c>
      <c r="R853" s="16" t="n">
        <v>2574</v>
      </c>
      <c r="S853" s="16" t="n">
        <v>4500</v>
      </c>
      <c r="T853" s="16" t="n">
        <v>1</v>
      </c>
      <c r="U853" s="1" t="str">
        <f aca="false">D853&amp;"-"&amp;E853&amp;"-"&amp;M853&amp;"-"&amp;O853&amp;"-"&amp;P853&amp;"-"&amp;Q853</f>
        <v>FANTASIE-ADELLE SIDE SUPPORT BRA-FL101447-Light Pink Print-30-FF</v>
      </c>
    </row>
    <row r="854" customFormat="false" ht="15" hidden="true" customHeight="false" outlineLevel="0" collapsed="false">
      <c r="B854" s="29" t="s">
        <v>1241</v>
      </c>
      <c r="C854" s="17" t="s">
        <v>37</v>
      </c>
      <c r="D854" s="29" t="s">
        <v>886</v>
      </c>
      <c r="E854" s="29" t="s">
        <v>1236</v>
      </c>
      <c r="F854" s="14" t="s">
        <v>1089</v>
      </c>
      <c r="G854" s="3" t="s">
        <v>41</v>
      </c>
      <c r="H854" s="108" t="s">
        <v>1137</v>
      </c>
      <c r="I854" s="3" t="s">
        <v>43</v>
      </c>
      <c r="K854" s="19" t="s">
        <v>1237</v>
      </c>
      <c r="L854" s="19"/>
      <c r="M854" s="29" t="s">
        <v>1237</v>
      </c>
      <c r="N854" s="29" t="s">
        <v>1238</v>
      </c>
      <c r="O854" s="29" t="s">
        <v>1239</v>
      </c>
      <c r="P854" s="29" t="s">
        <v>55</v>
      </c>
      <c r="Q854" s="29" t="s">
        <v>105</v>
      </c>
      <c r="R854" s="16" t="n">
        <v>2574</v>
      </c>
      <c r="S854" s="16" t="n">
        <v>4500</v>
      </c>
      <c r="T854" s="16" t="n">
        <v>1</v>
      </c>
      <c r="U854" s="1" t="str">
        <f aca="false">D854&amp;"-"&amp;E854&amp;"-"&amp;M854&amp;"-"&amp;O854&amp;"-"&amp;P854&amp;"-"&amp;Q854</f>
        <v>FANTASIE-ADELLE SIDE SUPPORT BRA-FL101447-Light Pink Print-30-G</v>
      </c>
    </row>
    <row r="855" customFormat="false" ht="15" hidden="true" customHeight="false" outlineLevel="0" collapsed="false">
      <c r="B855" s="17" t="s">
        <v>1242</v>
      </c>
      <c r="C855" s="17" t="s">
        <v>37</v>
      </c>
      <c r="D855" s="29" t="s">
        <v>886</v>
      </c>
      <c r="E855" s="29" t="s">
        <v>1236</v>
      </c>
      <c r="F855" s="14" t="s">
        <v>1089</v>
      </c>
      <c r="G855" s="3" t="s">
        <v>41</v>
      </c>
      <c r="H855" s="108" t="s">
        <v>1137</v>
      </c>
      <c r="I855" s="3" t="s">
        <v>43</v>
      </c>
      <c r="K855" s="19" t="s">
        <v>1237</v>
      </c>
      <c r="L855" s="19"/>
      <c r="M855" s="29" t="s">
        <v>1237</v>
      </c>
      <c r="N855" s="29" t="s">
        <v>1238</v>
      </c>
      <c r="O855" s="29" t="s">
        <v>1239</v>
      </c>
      <c r="P855" s="29" t="s">
        <v>92</v>
      </c>
      <c r="Q855" s="29" t="s">
        <v>105</v>
      </c>
      <c r="R855" s="16" t="n">
        <v>2574</v>
      </c>
      <c r="S855" s="16" t="n">
        <v>4500</v>
      </c>
      <c r="T855" s="16" t="n">
        <v>1</v>
      </c>
      <c r="U855" s="1" t="str">
        <f aca="false">D855&amp;"-"&amp;E855&amp;"-"&amp;M855&amp;"-"&amp;O855&amp;"-"&amp;P855&amp;"-"&amp;Q855</f>
        <v>FANTASIE-ADELLE SIDE SUPPORT BRA-FL101447-Light Pink Print-32-G</v>
      </c>
    </row>
    <row r="856" customFormat="false" ht="15" hidden="true" customHeight="false" outlineLevel="0" collapsed="false">
      <c r="B856" s="17" t="s">
        <v>1243</v>
      </c>
      <c r="C856" s="17" t="s">
        <v>37</v>
      </c>
      <c r="D856" s="29" t="s">
        <v>886</v>
      </c>
      <c r="E856" s="29" t="s">
        <v>1236</v>
      </c>
      <c r="F856" s="14" t="s">
        <v>1089</v>
      </c>
      <c r="G856" s="3" t="s">
        <v>41</v>
      </c>
      <c r="H856" s="108" t="s">
        <v>1137</v>
      </c>
      <c r="I856" s="3" t="s">
        <v>43</v>
      </c>
      <c r="K856" s="19" t="s">
        <v>1237</v>
      </c>
      <c r="L856" s="19"/>
      <c r="M856" s="29" t="s">
        <v>1237</v>
      </c>
      <c r="N856" s="29" t="s">
        <v>1238</v>
      </c>
      <c r="O856" s="29" t="s">
        <v>1239</v>
      </c>
      <c r="P856" s="29" t="s">
        <v>154</v>
      </c>
      <c r="Q856" s="29" t="s">
        <v>50</v>
      </c>
      <c r="R856" s="16" t="n">
        <v>2574</v>
      </c>
      <c r="S856" s="16" t="n">
        <v>4500</v>
      </c>
      <c r="T856" s="16" t="n">
        <v>1</v>
      </c>
      <c r="U856" s="1" t="str">
        <f aca="false">D856&amp;"-"&amp;E856&amp;"-"&amp;M856&amp;"-"&amp;O856&amp;"-"&amp;P856&amp;"-"&amp;Q856</f>
        <v>FANTASIE-ADELLE SIDE SUPPORT BRA-FL101447-Light Pink Print-38-F</v>
      </c>
    </row>
    <row r="857" customFormat="false" ht="15" hidden="true" customHeight="false" outlineLevel="0" collapsed="false">
      <c r="B857" s="17" t="s">
        <v>1244</v>
      </c>
      <c r="C857" s="17" t="s">
        <v>37</v>
      </c>
      <c r="D857" s="29" t="s">
        <v>886</v>
      </c>
      <c r="E857" s="29" t="s">
        <v>1236</v>
      </c>
      <c r="F857" s="14" t="s">
        <v>1089</v>
      </c>
      <c r="G857" s="3" t="s">
        <v>41</v>
      </c>
      <c r="H857" s="108" t="s">
        <v>1137</v>
      </c>
      <c r="I857" s="3" t="s">
        <v>43</v>
      </c>
      <c r="K857" s="19" t="s">
        <v>1237</v>
      </c>
      <c r="L857" s="19"/>
      <c r="M857" s="29" t="s">
        <v>1237</v>
      </c>
      <c r="N857" s="29" t="s">
        <v>1245</v>
      </c>
      <c r="O857" s="29" t="s">
        <v>594</v>
      </c>
      <c r="P857" s="29" t="s">
        <v>65</v>
      </c>
      <c r="Q857" s="29" t="s">
        <v>66</v>
      </c>
      <c r="R857" s="16" t="n">
        <v>2574</v>
      </c>
      <c r="S857" s="16" t="n">
        <v>4500</v>
      </c>
      <c r="T857" s="16" t="n">
        <v>0</v>
      </c>
      <c r="U857" s="1" t="str">
        <f aca="false">D857&amp;"-"&amp;E857&amp;"-"&amp;M857&amp;"-"&amp;O857&amp;"-"&amp;P857&amp;"-"&amp;Q857</f>
        <v>FANTASIE-ADELLE SIDE SUPPORT BRA-FL101447-PINK-36-E</v>
      </c>
    </row>
    <row r="858" customFormat="false" ht="15" hidden="true" customHeight="false" outlineLevel="0" collapsed="false">
      <c r="B858" s="29" t="s">
        <v>1246</v>
      </c>
      <c r="C858" s="17" t="s">
        <v>37</v>
      </c>
      <c r="D858" s="29" t="s">
        <v>886</v>
      </c>
      <c r="E858" s="29" t="s">
        <v>1236</v>
      </c>
      <c r="F858" s="14" t="s">
        <v>1089</v>
      </c>
      <c r="G858" s="3" t="s">
        <v>41</v>
      </c>
      <c r="H858" s="108" t="s">
        <v>1137</v>
      </c>
      <c r="I858" s="3" t="s">
        <v>43</v>
      </c>
      <c r="K858" s="19" t="s">
        <v>1237</v>
      </c>
      <c r="L858" s="19"/>
      <c r="M858" s="29" t="s">
        <v>1237</v>
      </c>
      <c r="N858" s="29" t="s">
        <v>1247</v>
      </c>
      <c r="O858" s="29" t="s">
        <v>1247</v>
      </c>
      <c r="P858" s="29" t="s">
        <v>65</v>
      </c>
      <c r="Q858" s="29" t="s">
        <v>66</v>
      </c>
      <c r="R858" s="16" t="n">
        <v>2574</v>
      </c>
      <c r="S858" s="16" t="n">
        <v>4500</v>
      </c>
      <c r="T858" s="16" t="n">
        <v>0</v>
      </c>
      <c r="U858" s="1" t="str">
        <f aca="false">D858&amp;"-"&amp;E858&amp;"-"&amp;M858&amp;"-"&amp;O858&amp;"-"&amp;P858&amp;"-"&amp;Q858</f>
        <v>FANTASIE-ADELLE SIDE SUPPORT BRA-FL101447-SRG-36-E</v>
      </c>
    </row>
    <row r="859" customFormat="false" ht="15" hidden="true" customHeight="false" outlineLevel="0" collapsed="false">
      <c r="B859" s="17" t="s">
        <v>1248</v>
      </c>
      <c r="C859" s="17" t="s">
        <v>37</v>
      </c>
      <c r="D859" s="29" t="s">
        <v>886</v>
      </c>
      <c r="E859" s="17" t="s">
        <v>1249</v>
      </c>
      <c r="F859" s="14" t="s">
        <v>1089</v>
      </c>
      <c r="G859" s="3" t="s">
        <v>41</v>
      </c>
      <c r="H859" s="108" t="s">
        <v>1137</v>
      </c>
      <c r="I859" s="3" t="s">
        <v>43</v>
      </c>
      <c r="K859" s="19" t="s">
        <v>1250</v>
      </c>
      <c r="L859" s="19"/>
      <c r="M859" s="17" t="s">
        <v>1250</v>
      </c>
      <c r="N859" s="17" t="s">
        <v>72</v>
      </c>
      <c r="O859" s="17" t="s">
        <v>612</v>
      </c>
      <c r="P859" s="17" t="s">
        <v>134</v>
      </c>
      <c r="Q859" s="17" t="s">
        <v>56</v>
      </c>
      <c r="R859" s="16" t="n">
        <v>2574</v>
      </c>
      <c r="S859" s="16" t="n">
        <v>4200</v>
      </c>
      <c r="T859" s="16" t="n">
        <v>1</v>
      </c>
      <c r="U859" s="1" t="str">
        <f aca="false">D859&amp;"-"&amp;E859&amp;"-"&amp;M859&amp;"-"&amp;O859&amp;"-"&amp;P859&amp;"-"&amp;Q859</f>
        <v>FANTASIE-IMPRESSION UW SIDE SUPPORT BRA-FL5851-WHITE-34-DD</v>
      </c>
      <c r="W859" s="1" t="s">
        <v>1222</v>
      </c>
    </row>
    <row r="860" customFormat="false" ht="15" hidden="true" customHeight="false" outlineLevel="0" collapsed="false">
      <c r="B860" s="17" t="s">
        <v>1251</v>
      </c>
      <c r="C860" s="17" t="s">
        <v>37</v>
      </c>
      <c r="D860" s="29" t="s">
        <v>886</v>
      </c>
      <c r="E860" s="17" t="s">
        <v>1249</v>
      </c>
      <c r="F860" s="14" t="s">
        <v>1089</v>
      </c>
      <c r="G860" s="3" t="s">
        <v>41</v>
      </c>
      <c r="H860" s="108" t="s">
        <v>1137</v>
      </c>
      <c r="I860" s="3" t="s">
        <v>43</v>
      </c>
      <c r="K860" s="19" t="s">
        <v>1250</v>
      </c>
      <c r="L860" s="19"/>
      <c r="M860" s="17" t="s">
        <v>1250</v>
      </c>
      <c r="N860" s="17" t="s">
        <v>72</v>
      </c>
      <c r="O860" s="17" t="s">
        <v>612</v>
      </c>
      <c r="P860" s="17" t="s">
        <v>134</v>
      </c>
      <c r="Q860" s="17" t="s">
        <v>66</v>
      </c>
      <c r="R860" s="16" t="n">
        <v>2574</v>
      </c>
      <c r="S860" s="16" t="n">
        <v>4200</v>
      </c>
      <c r="T860" s="1" t="n">
        <v>1</v>
      </c>
      <c r="U860" s="1" t="str">
        <f aca="false">D860&amp;"-"&amp;E860&amp;"-"&amp;M860&amp;"-"&amp;O860&amp;"-"&amp;P860&amp;"-"&amp;Q860</f>
        <v>FANTASIE-IMPRESSION UW SIDE SUPPORT BRA-FL5851-WHITE-34-E</v>
      </c>
      <c r="W860" s="1" t="s">
        <v>1222</v>
      </c>
    </row>
    <row r="861" customFormat="false" ht="15" hidden="true" customHeight="false" outlineLevel="0" collapsed="false">
      <c r="B861" s="17" t="s">
        <v>1252</v>
      </c>
      <c r="C861" s="17" t="s">
        <v>37</v>
      </c>
      <c r="D861" s="29" t="s">
        <v>886</v>
      </c>
      <c r="E861" s="17" t="s">
        <v>1249</v>
      </c>
      <c r="F861" s="14" t="s">
        <v>1089</v>
      </c>
      <c r="G861" s="3" t="s">
        <v>41</v>
      </c>
      <c r="H861" s="108" t="s">
        <v>1137</v>
      </c>
      <c r="I861" s="3" t="s">
        <v>43</v>
      </c>
      <c r="K861" s="19" t="s">
        <v>1250</v>
      </c>
      <c r="L861" s="19"/>
      <c r="M861" s="17" t="s">
        <v>1250</v>
      </c>
      <c r="N861" s="17" t="s">
        <v>72</v>
      </c>
      <c r="O861" s="17" t="s">
        <v>612</v>
      </c>
      <c r="P861" s="17" t="s">
        <v>417</v>
      </c>
      <c r="Q861" s="17" t="s">
        <v>97</v>
      </c>
      <c r="R861" s="16" t="n">
        <v>2574</v>
      </c>
      <c r="S861" s="16" t="n">
        <v>4200</v>
      </c>
      <c r="T861" s="1" t="n">
        <v>1</v>
      </c>
      <c r="U861" s="1" t="str">
        <f aca="false">D861&amp;"-"&amp;E861&amp;"-"&amp;M861&amp;"-"&amp;O861&amp;"-"&amp;P861&amp;"-"&amp;Q861</f>
        <v>FANTASIE-IMPRESSION UW SIDE SUPPORT BRA-FL5851-WHITE-40-D</v>
      </c>
      <c r="W861" s="1" t="s">
        <v>1222</v>
      </c>
    </row>
    <row r="862" customFormat="false" ht="15" hidden="true" customHeight="false" outlineLevel="0" collapsed="false">
      <c r="B862" s="17" t="s">
        <v>1253</v>
      </c>
      <c r="C862" s="17" t="s">
        <v>37</v>
      </c>
      <c r="D862" s="29" t="s">
        <v>886</v>
      </c>
      <c r="E862" s="17" t="s">
        <v>1249</v>
      </c>
      <c r="F862" s="14" t="s">
        <v>1089</v>
      </c>
      <c r="G862" s="3" t="s">
        <v>41</v>
      </c>
      <c r="H862" s="108" t="s">
        <v>1137</v>
      </c>
      <c r="I862" s="3" t="s">
        <v>43</v>
      </c>
      <c r="K862" s="19" t="s">
        <v>1250</v>
      </c>
      <c r="L862" s="19"/>
      <c r="M862" s="17" t="s">
        <v>1250</v>
      </c>
      <c r="N862" s="17" t="s">
        <v>76</v>
      </c>
      <c r="O862" s="17" t="s">
        <v>77</v>
      </c>
      <c r="P862" s="17" t="s">
        <v>134</v>
      </c>
      <c r="Q862" s="17" t="s">
        <v>66</v>
      </c>
      <c r="R862" s="16" t="n">
        <v>2574</v>
      </c>
      <c r="S862" s="16" t="n">
        <v>4200</v>
      </c>
      <c r="T862" s="1" t="n">
        <v>2</v>
      </c>
      <c r="U862" s="1" t="str">
        <f aca="false">D862&amp;"-"&amp;E862&amp;"-"&amp;M862&amp;"-"&amp;O862&amp;"-"&amp;P862&amp;"-"&amp;Q862</f>
        <v>FANTASIE-IMPRESSION UW SIDE SUPPORT BRA-FL5851-BLACK-34-E</v>
      </c>
      <c r="W862" s="1" t="s">
        <v>1222</v>
      </c>
    </row>
    <row r="863" customFormat="false" ht="15" hidden="true" customHeight="false" outlineLevel="0" collapsed="false">
      <c r="B863" s="29" t="s">
        <v>1254</v>
      </c>
      <c r="C863" s="17" t="s">
        <v>37</v>
      </c>
      <c r="D863" s="29" t="s">
        <v>886</v>
      </c>
      <c r="E863" s="29" t="s">
        <v>1255</v>
      </c>
      <c r="F863" s="14" t="s">
        <v>1089</v>
      </c>
      <c r="G863" s="3" t="s">
        <v>41</v>
      </c>
      <c r="H863" s="108" t="s">
        <v>1137</v>
      </c>
      <c r="I863" s="3" t="s">
        <v>43</v>
      </c>
      <c r="K863" s="19" t="s">
        <v>1256</v>
      </c>
      <c r="L863" s="19"/>
      <c r="M863" s="29" t="s">
        <v>1256</v>
      </c>
      <c r="N863" s="29" t="s">
        <v>1257</v>
      </c>
      <c r="O863" s="29" t="s">
        <v>1258</v>
      </c>
      <c r="P863" s="29" t="s">
        <v>417</v>
      </c>
      <c r="Q863" s="29" t="s">
        <v>66</v>
      </c>
      <c r="R863" s="16" t="n">
        <v>2772</v>
      </c>
      <c r="S863" s="16" t="n">
        <v>4000</v>
      </c>
      <c r="T863" s="16" t="n">
        <v>1</v>
      </c>
      <c r="U863" s="1" t="str">
        <f aca="false">D863&amp;"-"&amp;E863&amp;"-"&amp;M863&amp;"-"&amp;O863&amp;"-"&amp;P863&amp;"-"&amp;Q863</f>
        <v>FANTASIE-OLIVIA UW SIDE SUPPORT BRA-FL3182-LIGHT PINK PRINT-40-E</v>
      </c>
    </row>
    <row r="864" customFormat="false" ht="15" hidden="true" customHeight="false" outlineLevel="0" collapsed="false">
      <c r="B864" s="17" t="s">
        <v>1259</v>
      </c>
      <c r="C864" s="17" t="s">
        <v>37</v>
      </c>
      <c r="D864" s="29" t="s">
        <v>886</v>
      </c>
      <c r="E864" s="29" t="s">
        <v>1255</v>
      </c>
      <c r="F864" s="14" t="s">
        <v>1089</v>
      </c>
      <c r="G864" s="3" t="s">
        <v>41</v>
      </c>
      <c r="H864" s="108" t="s">
        <v>1137</v>
      </c>
      <c r="I864" s="3" t="s">
        <v>43</v>
      </c>
      <c r="K864" s="19" t="s">
        <v>1256</v>
      </c>
      <c r="L864" s="19"/>
      <c r="M864" s="29" t="s">
        <v>1256</v>
      </c>
      <c r="N864" s="29" t="s">
        <v>1257</v>
      </c>
      <c r="O864" s="29" t="s">
        <v>1258</v>
      </c>
      <c r="P864" s="29" t="s">
        <v>154</v>
      </c>
      <c r="Q864" s="29" t="s">
        <v>97</v>
      </c>
      <c r="R864" s="16" t="n">
        <v>2772</v>
      </c>
      <c r="S864" s="16" t="n">
        <v>4000</v>
      </c>
      <c r="T864" s="16" t="n">
        <v>1</v>
      </c>
      <c r="U864" s="1" t="str">
        <f aca="false">D864&amp;"-"&amp;E864&amp;"-"&amp;M864&amp;"-"&amp;O864&amp;"-"&amp;P864&amp;"-"&amp;Q864</f>
        <v>FANTASIE-OLIVIA UW SIDE SUPPORT BRA-FL3182-LIGHT PINK PRINT-38-D</v>
      </c>
    </row>
    <row r="865" customFormat="false" ht="15" hidden="true" customHeight="false" outlineLevel="0" collapsed="false">
      <c r="B865" s="29" t="s">
        <v>1260</v>
      </c>
      <c r="C865" s="17" t="s">
        <v>37</v>
      </c>
      <c r="D865" s="29" t="s">
        <v>886</v>
      </c>
      <c r="E865" s="29" t="s">
        <v>1255</v>
      </c>
      <c r="F865" s="14" t="s">
        <v>1089</v>
      </c>
      <c r="G865" s="3" t="s">
        <v>41</v>
      </c>
      <c r="H865" s="108" t="s">
        <v>1137</v>
      </c>
      <c r="I865" s="3" t="s">
        <v>43</v>
      </c>
      <c r="K865" s="19" t="s">
        <v>1256</v>
      </c>
      <c r="L865" s="19"/>
      <c r="M865" s="29" t="s">
        <v>1256</v>
      </c>
      <c r="N865" s="29" t="s">
        <v>1257</v>
      </c>
      <c r="O865" s="29" t="s">
        <v>1258</v>
      </c>
      <c r="P865" s="29" t="s">
        <v>55</v>
      </c>
      <c r="Q865" s="29" t="s">
        <v>50</v>
      </c>
      <c r="R865" s="16" t="n">
        <v>2772</v>
      </c>
      <c r="S865" s="16" t="n">
        <v>4000</v>
      </c>
      <c r="T865" s="16" t="n">
        <v>2</v>
      </c>
      <c r="U865" s="1" t="str">
        <f aca="false">D865&amp;"-"&amp;E865&amp;"-"&amp;M865&amp;"-"&amp;O865&amp;"-"&amp;P865&amp;"-"&amp;Q865</f>
        <v>FANTASIE-OLIVIA UW SIDE SUPPORT BRA-FL3182-LIGHT PINK PRINT-30-F</v>
      </c>
    </row>
    <row r="866" customFormat="false" ht="15" hidden="true" customHeight="false" outlineLevel="0" collapsed="false">
      <c r="B866" s="103" t="s">
        <v>1261</v>
      </c>
      <c r="C866" s="20" t="s">
        <v>37</v>
      </c>
      <c r="D866" s="103" t="s">
        <v>1262</v>
      </c>
      <c r="E866" s="103" t="s">
        <v>1263</v>
      </c>
      <c r="F866" s="26" t="s">
        <v>1089</v>
      </c>
      <c r="G866" s="108" t="s">
        <v>573</v>
      </c>
      <c r="H866" s="26" t="s">
        <v>1137</v>
      </c>
      <c r="I866" s="14" t="s">
        <v>43</v>
      </c>
      <c r="J866" s="14"/>
      <c r="K866" s="27"/>
      <c r="L866" s="27"/>
      <c r="M866" s="103" t="s">
        <v>1264</v>
      </c>
      <c r="N866" s="103" t="s">
        <v>76</v>
      </c>
      <c r="O866" s="103" t="s">
        <v>77</v>
      </c>
      <c r="P866" s="103" t="s">
        <v>92</v>
      </c>
      <c r="Q866" s="103" t="s">
        <v>129</v>
      </c>
      <c r="R866" s="16" t="n">
        <v>2772</v>
      </c>
      <c r="S866" s="16" t="n">
        <v>5700</v>
      </c>
      <c r="T866" s="16" t="n">
        <v>0</v>
      </c>
      <c r="U866" s="1" t="str">
        <f aca="false">D866&amp;"-"&amp;E866&amp;"-"&amp;M866&amp;"-"&amp;O866&amp;"-"&amp;P866&amp;"-"&amp;Q866</f>
        <v>ELOMI-BRIANNA UW PLUNGE BRA-EL8080-BLACK-32-GG</v>
      </c>
      <c r="W866" s="1" t="s">
        <v>113</v>
      </c>
    </row>
    <row r="867" customFormat="false" ht="15" hidden="true" customHeight="false" outlineLevel="0" collapsed="false">
      <c r="B867" s="103" t="s">
        <v>1265</v>
      </c>
      <c r="C867" s="17" t="s">
        <v>37</v>
      </c>
      <c r="D867" s="61" t="s">
        <v>1262</v>
      </c>
      <c r="E867" s="61" t="s">
        <v>1263</v>
      </c>
      <c r="F867" s="26" t="s">
        <v>1089</v>
      </c>
      <c r="G867" s="108" t="s">
        <v>573</v>
      </c>
      <c r="H867" s="26" t="s">
        <v>1137</v>
      </c>
      <c r="I867" s="14" t="s">
        <v>43</v>
      </c>
      <c r="J867" s="14"/>
      <c r="K867" s="27"/>
      <c r="L867" s="27"/>
      <c r="M867" s="103" t="s">
        <v>1264</v>
      </c>
      <c r="N867" s="61" t="s">
        <v>76</v>
      </c>
      <c r="O867" s="61" t="s">
        <v>77</v>
      </c>
      <c r="P867" s="61" t="s">
        <v>134</v>
      </c>
      <c r="Q867" s="61" t="s">
        <v>105</v>
      </c>
      <c r="R867" s="16" t="n">
        <v>2688</v>
      </c>
      <c r="S867" s="16" t="n">
        <v>5700</v>
      </c>
      <c r="T867" s="16" t="n">
        <v>0</v>
      </c>
      <c r="U867" s="1" t="str">
        <f aca="false">D867&amp;"-"&amp;E867&amp;"-"&amp;M867&amp;"-"&amp;O867&amp;"-"&amp;P867&amp;"-"&amp;Q867</f>
        <v>ELOMI-BRIANNA UW PLUNGE BRA-EL8080-BLACK-34-G</v>
      </c>
      <c r="W867" s="1" t="s">
        <v>113</v>
      </c>
    </row>
    <row r="868" customFormat="false" ht="15" hidden="true" customHeight="false" outlineLevel="0" collapsed="false">
      <c r="B868" s="103" t="s">
        <v>1266</v>
      </c>
      <c r="C868" s="17" t="s">
        <v>37</v>
      </c>
      <c r="D868" s="61" t="s">
        <v>1262</v>
      </c>
      <c r="E868" s="61" t="s">
        <v>1263</v>
      </c>
      <c r="F868" s="26" t="s">
        <v>1089</v>
      </c>
      <c r="G868" s="108" t="s">
        <v>573</v>
      </c>
      <c r="H868" s="26" t="s">
        <v>1137</v>
      </c>
      <c r="I868" s="14" t="s">
        <v>43</v>
      </c>
      <c r="J868" s="14"/>
      <c r="K868" s="27"/>
      <c r="L868" s="27"/>
      <c r="M868" s="103" t="s">
        <v>1264</v>
      </c>
      <c r="N868" s="61" t="s">
        <v>76</v>
      </c>
      <c r="O868" s="61" t="s">
        <v>77</v>
      </c>
      <c r="P868" s="61" t="s">
        <v>65</v>
      </c>
      <c r="Q868" s="61" t="s">
        <v>50</v>
      </c>
      <c r="R868" s="16" t="n">
        <v>2688</v>
      </c>
      <c r="S868" s="16" t="n">
        <v>5700</v>
      </c>
      <c r="T868" s="16" t="n">
        <v>0</v>
      </c>
      <c r="U868" s="1" t="str">
        <f aca="false">D868&amp;"-"&amp;E868&amp;"-"&amp;M868&amp;"-"&amp;O868&amp;"-"&amp;P868&amp;"-"&amp;Q868</f>
        <v>ELOMI-BRIANNA UW PLUNGE BRA-EL8080-BLACK-36-F</v>
      </c>
      <c r="W868" s="1" t="s">
        <v>113</v>
      </c>
    </row>
    <row r="869" customFormat="false" ht="15" hidden="true" customHeight="false" outlineLevel="0" collapsed="false">
      <c r="B869" s="103" t="s">
        <v>1267</v>
      </c>
      <c r="C869" s="17" t="s">
        <v>37</v>
      </c>
      <c r="D869" s="61" t="s">
        <v>1262</v>
      </c>
      <c r="E869" s="61" t="s">
        <v>1263</v>
      </c>
      <c r="F869" s="26" t="s">
        <v>1089</v>
      </c>
      <c r="G869" s="108" t="s">
        <v>573</v>
      </c>
      <c r="H869" s="26" t="s">
        <v>1137</v>
      </c>
      <c r="I869" s="14" t="s">
        <v>43</v>
      </c>
      <c r="J869" s="14"/>
      <c r="K869" s="27"/>
      <c r="L869" s="27"/>
      <c r="M869" s="103" t="s">
        <v>1264</v>
      </c>
      <c r="N869" s="61" t="s">
        <v>76</v>
      </c>
      <c r="O869" s="61" t="s">
        <v>77</v>
      </c>
      <c r="P869" s="61" t="s">
        <v>65</v>
      </c>
      <c r="Q869" s="61" t="s">
        <v>62</v>
      </c>
      <c r="R869" s="16" t="n">
        <v>2772</v>
      </c>
      <c r="S869" s="16" t="n">
        <v>5700</v>
      </c>
      <c r="T869" s="16" t="n">
        <v>0</v>
      </c>
      <c r="U869" s="1" t="str">
        <f aca="false">D869&amp;"-"&amp;E869&amp;"-"&amp;M869&amp;"-"&amp;O869&amp;"-"&amp;P869&amp;"-"&amp;Q869</f>
        <v>ELOMI-BRIANNA UW PLUNGE BRA-EL8080-BLACK-36-FF</v>
      </c>
      <c r="W869" s="1" t="s">
        <v>113</v>
      </c>
    </row>
    <row r="870" customFormat="false" ht="15" hidden="true" customHeight="false" outlineLevel="0" collapsed="false">
      <c r="B870" s="103" t="s">
        <v>1268</v>
      </c>
      <c r="C870" s="17" t="s">
        <v>37</v>
      </c>
      <c r="D870" s="61" t="s">
        <v>1262</v>
      </c>
      <c r="E870" s="61" t="s">
        <v>1263</v>
      </c>
      <c r="F870" s="26" t="s">
        <v>1089</v>
      </c>
      <c r="G870" s="108" t="s">
        <v>573</v>
      </c>
      <c r="H870" s="26" t="s">
        <v>1137</v>
      </c>
      <c r="I870" s="14" t="s">
        <v>43</v>
      </c>
      <c r="J870" s="14"/>
      <c r="K870" s="27"/>
      <c r="L870" s="27"/>
      <c r="M870" s="103" t="s">
        <v>1264</v>
      </c>
      <c r="N870" s="25" t="s">
        <v>76</v>
      </c>
      <c r="O870" s="61" t="s">
        <v>77</v>
      </c>
      <c r="P870" s="25" t="s">
        <v>65</v>
      </c>
      <c r="Q870" s="25" t="s">
        <v>105</v>
      </c>
      <c r="R870" s="16" t="n">
        <v>2688</v>
      </c>
      <c r="S870" s="16" t="n">
        <v>5700</v>
      </c>
      <c r="T870" s="16" t="n">
        <v>0</v>
      </c>
      <c r="U870" s="1" t="str">
        <f aca="false">D870&amp;"-"&amp;E870&amp;"-"&amp;M870&amp;"-"&amp;O870&amp;"-"&amp;P870&amp;"-"&amp;Q870</f>
        <v>ELOMI-BRIANNA UW PLUNGE BRA-EL8080-BLACK-36-G</v>
      </c>
      <c r="W870" s="1" t="s">
        <v>113</v>
      </c>
    </row>
    <row r="871" customFormat="false" ht="15" hidden="true" customHeight="false" outlineLevel="0" collapsed="false">
      <c r="B871" s="103" t="s">
        <v>1269</v>
      </c>
      <c r="C871" s="17" t="s">
        <v>37</v>
      </c>
      <c r="D871" s="61" t="s">
        <v>1262</v>
      </c>
      <c r="E871" s="61" t="s">
        <v>1263</v>
      </c>
      <c r="F871" s="26" t="s">
        <v>1089</v>
      </c>
      <c r="G871" s="108" t="s">
        <v>573</v>
      </c>
      <c r="H871" s="26" t="s">
        <v>1137</v>
      </c>
      <c r="I871" s="14" t="s">
        <v>43</v>
      </c>
      <c r="J871" s="14"/>
      <c r="K871" s="27"/>
      <c r="L871" s="27"/>
      <c r="M871" s="103" t="s">
        <v>1264</v>
      </c>
      <c r="N871" s="61" t="s">
        <v>76</v>
      </c>
      <c r="O871" s="61" t="s">
        <v>77</v>
      </c>
      <c r="P871" s="61" t="s">
        <v>154</v>
      </c>
      <c r="Q871" s="61" t="s">
        <v>50</v>
      </c>
      <c r="R871" s="16" t="n">
        <v>2772</v>
      </c>
      <c r="S871" s="16" t="n">
        <v>5700</v>
      </c>
      <c r="T871" s="16" t="n">
        <v>0</v>
      </c>
      <c r="U871" s="1" t="str">
        <f aca="false">D871&amp;"-"&amp;E871&amp;"-"&amp;M871&amp;"-"&amp;O871&amp;"-"&amp;P871&amp;"-"&amp;Q871</f>
        <v>ELOMI-BRIANNA UW PLUNGE BRA-EL8080-BLACK-38-F</v>
      </c>
      <c r="W871" s="1" t="s">
        <v>113</v>
      </c>
    </row>
    <row r="872" customFormat="false" ht="15.75" hidden="true" customHeight="true" outlineLevel="0" collapsed="false">
      <c r="B872" s="103" t="s">
        <v>1270</v>
      </c>
      <c r="C872" s="17" t="s">
        <v>37</v>
      </c>
      <c r="D872" s="61" t="s">
        <v>1262</v>
      </c>
      <c r="E872" s="61" t="s">
        <v>1263</v>
      </c>
      <c r="F872" s="26" t="s">
        <v>1089</v>
      </c>
      <c r="G872" s="108" t="s">
        <v>573</v>
      </c>
      <c r="H872" s="26" t="s">
        <v>1137</v>
      </c>
      <c r="I872" s="14" t="s">
        <v>43</v>
      </c>
      <c r="J872" s="14"/>
      <c r="K872" s="27"/>
      <c r="L872" s="27"/>
      <c r="M872" s="103" t="s">
        <v>1264</v>
      </c>
      <c r="N872" s="25" t="s">
        <v>76</v>
      </c>
      <c r="O872" s="61" t="s">
        <v>77</v>
      </c>
      <c r="P872" s="25" t="s">
        <v>154</v>
      </c>
      <c r="Q872" s="25" t="s">
        <v>62</v>
      </c>
      <c r="R872" s="16" t="n">
        <v>2772</v>
      </c>
      <c r="S872" s="16" t="n">
        <v>5700</v>
      </c>
      <c r="T872" s="16" t="n">
        <v>0</v>
      </c>
      <c r="U872" s="1" t="str">
        <f aca="false">D872&amp;"-"&amp;E872&amp;"-"&amp;M872&amp;"-"&amp;O872&amp;"-"&amp;P872&amp;"-"&amp;Q872</f>
        <v>ELOMI-BRIANNA UW PLUNGE BRA-EL8080-BLACK-38-FF</v>
      </c>
      <c r="W872" s="1" t="s">
        <v>113</v>
      </c>
    </row>
    <row r="873" customFormat="false" ht="15" hidden="true" customHeight="false" outlineLevel="0" collapsed="false">
      <c r="B873" s="103" t="s">
        <v>1271</v>
      </c>
      <c r="C873" s="17" t="s">
        <v>37</v>
      </c>
      <c r="D873" s="61" t="s">
        <v>1262</v>
      </c>
      <c r="E873" s="61" t="s">
        <v>1263</v>
      </c>
      <c r="F873" s="26" t="s">
        <v>1089</v>
      </c>
      <c r="G873" s="108" t="s">
        <v>573</v>
      </c>
      <c r="H873" s="26" t="s">
        <v>1137</v>
      </c>
      <c r="I873" s="14" t="s">
        <v>43</v>
      </c>
      <c r="J873" s="14"/>
      <c r="K873" s="27"/>
      <c r="L873" s="27"/>
      <c r="M873" s="103" t="s">
        <v>1264</v>
      </c>
      <c r="N873" s="61" t="s">
        <v>76</v>
      </c>
      <c r="O873" s="25" t="s">
        <v>77</v>
      </c>
      <c r="P873" s="25" t="s">
        <v>65</v>
      </c>
      <c r="Q873" s="25" t="s">
        <v>129</v>
      </c>
      <c r="R873" s="16" t="n">
        <v>2772</v>
      </c>
      <c r="S873" s="16" t="n">
        <v>5700</v>
      </c>
      <c r="T873" s="16" t="n">
        <v>0</v>
      </c>
      <c r="U873" s="1" t="str">
        <f aca="false">D873&amp;"-"&amp;E873&amp;"-"&amp;M873&amp;"-"&amp;O873&amp;"-"&amp;P873&amp;"-"&amp;Q873</f>
        <v>ELOMI-BRIANNA UW PLUNGE BRA-EL8080-BLACK-36-GG</v>
      </c>
      <c r="W873" s="1" t="s">
        <v>113</v>
      </c>
    </row>
    <row r="874" customFormat="false" ht="15" hidden="true" customHeight="false" outlineLevel="0" collapsed="false">
      <c r="B874" s="103" t="s">
        <v>1272</v>
      </c>
      <c r="C874" s="17" t="s">
        <v>37</v>
      </c>
      <c r="D874" s="61" t="s">
        <v>1262</v>
      </c>
      <c r="E874" s="61" t="s">
        <v>1263</v>
      </c>
      <c r="F874" s="26" t="s">
        <v>1089</v>
      </c>
      <c r="G874" s="108" t="s">
        <v>573</v>
      </c>
      <c r="H874" s="26" t="s">
        <v>1137</v>
      </c>
      <c r="I874" s="14" t="s">
        <v>43</v>
      </c>
      <c r="J874" s="14"/>
      <c r="K874" s="27"/>
      <c r="L874" s="27"/>
      <c r="M874" s="103" t="s">
        <v>1264</v>
      </c>
      <c r="N874" s="25" t="s">
        <v>76</v>
      </c>
      <c r="O874" s="25" t="s">
        <v>77</v>
      </c>
      <c r="P874" s="61" t="s">
        <v>65</v>
      </c>
      <c r="Q874" s="61" t="s">
        <v>143</v>
      </c>
      <c r="R874" s="16" t="n">
        <v>2772</v>
      </c>
      <c r="S874" s="16" t="n">
        <v>5700</v>
      </c>
      <c r="T874" s="16" t="n">
        <v>0</v>
      </c>
      <c r="U874" s="1" t="str">
        <f aca="false">D874&amp;"-"&amp;E874&amp;"-"&amp;M874&amp;"-"&amp;O874&amp;"-"&amp;P874&amp;"-"&amp;Q874</f>
        <v>ELOMI-BRIANNA UW PLUNGE BRA-EL8080-BLACK-36-H</v>
      </c>
      <c r="W874" s="1" t="s">
        <v>113</v>
      </c>
    </row>
    <row r="875" customFormat="false" ht="15" hidden="true" customHeight="false" outlineLevel="0" collapsed="false">
      <c r="B875" s="103" t="s">
        <v>1273</v>
      </c>
      <c r="C875" s="17" t="s">
        <v>37</v>
      </c>
      <c r="D875" s="61" t="s">
        <v>1262</v>
      </c>
      <c r="E875" s="61" t="s">
        <v>1263</v>
      </c>
      <c r="F875" s="26" t="s">
        <v>1089</v>
      </c>
      <c r="G875" s="108" t="s">
        <v>573</v>
      </c>
      <c r="H875" s="26" t="s">
        <v>1137</v>
      </c>
      <c r="I875" s="14" t="s">
        <v>43</v>
      </c>
      <c r="J875" s="14"/>
      <c r="K875" s="27"/>
      <c r="L875" s="27"/>
      <c r="M875" s="103" t="s">
        <v>1264</v>
      </c>
      <c r="N875" s="61" t="s">
        <v>1274</v>
      </c>
      <c r="O875" s="25" t="s">
        <v>1275</v>
      </c>
      <c r="P875" s="61" t="s">
        <v>65</v>
      </c>
      <c r="Q875" s="61" t="s">
        <v>131</v>
      </c>
      <c r="R875" s="16" t="n">
        <v>2772</v>
      </c>
      <c r="S875" s="16" t="n">
        <v>5700</v>
      </c>
      <c r="T875" s="16" t="n">
        <v>1</v>
      </c>
      <c r="U875" s="1" t="str">
        <f aca="false">D875&amp;"-"&amp;E875&amp;"-"&amp;M875&amp;"-"&amp;O875&amp;"-"&amp;P875&amp;"-"&amp;Q875</f>
        <v>ELOMI-BRIANNA UW PLUNGE BRA-EL8080-INK BLUE-36-HH</v>
      </c>
      <c r="W875" s="1" t="s">
        <v>113</v>
      </c>
    </row>
    <row r="876" customFormat="false" ht="15" hidden="true" customHeight="false" outlineLevel="0" collapsed="false">
      <c r="B876" s="103" t="s">
        <v>1276</v>
      </c>
      <c r="C876" s="17" t="s">
        <v>37</v>
      </c>
      <c r="D876" s="61" t="s">
        <v>1262</v>
      </c>
      <c r="E876" s="61" t="s">
        <v>1263</v>
      </c>
      <c r="F876" s="26" t="s">
        <v>1089</v>
      </c>
      <c r="G876" s="108" t="s">
        <v>573</v>
      </c>
      <c r="H876" s="26" t="s">
        <v>1137</v>
      </c>
      <c r="I876" s="14" t="s">
        <v>43</v>
      </c>
      <c r="J876" s="14"/>
      <c r="K876" s="27"/>
      <c r="L876" s="27"/>
      <c r="M876" s="103" t="s">
        <v>1264</v>
      </c>
      <c r="N876" s="25" t="s">
        <v>1274</v>
      </c>
      <c r="O876" s="25" t="s">
        <v>1275</v>
      </c>
      <c r="P876" s="25" t="s">
        <v>154</v>
      </c>
      <c r="Q876" s="25" t="s">
        <v>129</v>
      </c>
      <c r="R876" s="16" t="n">
        <v>2772</v>
      </c>
      <c r="S876" s="16" t="n">
        <v>5700</v>
      </c>
      <c r="T876" s="16" t="n">
        <v>1</v>
      </c>
      <c r="U876" s="1" t="str">
        <f aca="false">D876&amp;"-"&amp;E876&amp;"-"&amp;M876&amp;"-"&amp;O876&amp;"-"&amp;P876&amp;"-"&amp;Q876</f>
        <v>ELOMI-BRIANNA UW PLUNGE BRA-EL8080-INK BLUE-38-GG</v>
      </c>
      <c r="W876" s="1" t="s">
        <v>113</v>
      </c>
    </row>
    <row r="877" customFormat="false" ht="15.75" hidden="true" customHeight="true" outlineLevel="0" collapsed="false">
      <c r="B877" s="103" t="s">
        <v>1277</v>
      </c>
      <c r="C877" s="17" t="s">
        <v>37</v>
      </c>
      <c r="D877" s="61" t="s">
        <v>1262</v>
      </c>
      <c r="E877" s="61" t="s">
        <v>1263</v>
      </c>
      <c r="F877" s="26" t="s">
        <v>1089</v>
      </c>
      <c r="G877" s="108" t="s">
        <v>573</v>
      </c>
      <c r="H877" s="26" t="s">
        <v>1137</v>
      </c>
      <c r="I877" s="14" t="s">
        <v>43</v>
      </c>
      <c r="J877" s="14"/>
      <c r="K877" s="27"/>
      <c r="L877" s="27"/>
      <c r="M877" s="103" t="s">
        <v>1264</v>
      </c>
      <c r="N877" s="25" t="s">
        <v>1274</v>
      </c>
      <c r="O877" s="25" t="s">
        <v>1275</v>
      </c>
      <c r="P877" s="25" t="s">
        <v>154</v>
      </c>
      <c r="Q877" s="25" t="s">
        <v>131</v>
      </c>
      <c r="R877" s="16" t="n">
        <v>2772</v>
      </c>
      <c r="S877" s="16" t="n">
        <v>5700</v>
      </c>
      <c r="T877" s="16" t="n">
        <v>1</v>
      </c>
      <c r="U877" s="1" t="str">
        <f aca="false">D877&amp;"-"&amp;E877&amp;"-"&amp;M877&amp;"-"&amp;O877&amp;"-"&amp;P877&amp;"-"&amp;Q877</f>
        <v>ELOMI-BRIANNA UW PLUNGE BRA-EL8080-INK BLUE-38-HH</v>
      </c>
      <c r="W877" s="1" t="s">
        <v>113</v>
      </c>
    </row>
    <row r="878" customFormat="false" ht="15" hidden="true" customHeight="false" outlineLevel="0" collapsed="false">
      <c r="B878" s="103" t="s">
        <v>1278</v>
      </c>
      <c r="C878" s="17" t="s">
        <v>37</v>
      </c>
      <c r="D878" s="61" t="s">
        <v>1262</v>
      </c>
      <c r="E878" s="61" t="s">
        <v>1263</v>
      </c>
      <c r="F878" s="26" t="s">
        <v>1089</v>
      </c>
      <c r="G878" s="108" t="s">
        <v>573</v>
      </c>
      <c r="H878" s="26" t="s">
        <v>1137</v>
      </c>
      <c r="I878" s="14" t="s">
        <v>43</v>
      </c>
      <c r="J878" s="14"/>
      <c r="K878" s="27"/>
      <c r="L878" s="27"/>
      <c r="M878" s="103" t="s">
        <v>1264</v>
      </c>
      <c r="N878" s="61" t="s">
        <v>1274</v>
      </c>
      <c r="O878" s="25" t="s">
        <v>1275</v>
      </c>
      <c r="P878" s="61" t="s">
        <v>417</v>
      </c>
      <c r="Q878" s="61" t="s">
        <v>131</v>
      </c>
      <c r="R878" s="16" t="n">
        <v>2772</v>
      </c>
      <c r="S878" s="16" t="n">
        <v>5700</v>
      </c>
      <c r="T878" s="16" t="n">
        <v>1</v>
      </c>
      <c r="U878" s="1" t="str">
        <f aca="false">D878&amp;"-"&amp;E878&amp;"-"&amp;M878&amp;"-"&amp;O878&amp;"-"&amp;P878&amp;"-"&amp;Q878</f>
        <v>ELOMI-BRIANNA UW PLUNGE BRA-EL8080-INK BLUE-40-HH</v>
      </c>
      <c r="W878" s="1" t="s">
        <v>113</v>
      </c>
    </row>
    <row r="879" customFormat="false" ht="15" hidden="true" customHeight="false" outlineLevel="0" collapsed="false">
      <c r="B879" s="103" t="s">
        <v>1279</v>
      </c>
      <c r="C879" s="17" t="s">
        <v>37</v>
      </c>
      <c r="D879" s="61" t="s">
        <v>1262</v>
      </c>
      <c r="E879" s="61" t="s">
        <v>1263</v>
      </c>
      <c r="F879" s="26" t="s">
        <v>1089</v>
      </c>
      <c r="G879" s="108" t="s">
        <v>573</v>
      </c>
      <c r="H879" s="26" t="s">
        <v>1137</v>
      </c>
      <c r="I879" s="14" t="s">
        <v>43</v>
      </c>
      <c r="J879" s="14"/>
      <c r="K879" s="27"/>
      <c r="L879" s="27"/>
      <c r="M879" s="103" t="s">
        <v>1264</v>
      </c>
      <c r="N879" s="25" t="s">
        <v>76</v>
      </c>
      <c r="O879" s="25" t="s">
        <v>77</v>
      </c>
      <c r="P879" s="25" t="s">
        <v>134</v>
      </c>
      <c r="Q879" s="25" t="s">
        <v>143</v>
      </c>
      <c r="R879" s="16" t="n">
        <v>2688</v>
      </c>
      <c r="S879" s="16" t="n">
        <v>5700</v>
      </c>
      <c r="T879" s="16" t="n">
        <v>0</v>
      </c>
      <c r="U879" s="1" t="str">
        <f aca="false">D879&amp;"-"&amp;E879&amp;"-"&amp;M879&amp;"-"&amp;O879&amp;"-"&amp;P879&amp;"-"&amp;Q879</f>
        <v>ELOMI-BRIANNA UW PLUNGE BRA-EL8080-BLACK-34-H</v>
      </c>
      <c r="W879" s="1" t="s">
        <v>113</v>
      </c>
    </row>
    <row r="880" customFormat="false" ht="15" hidden="true" customHeight="false" outlineLevel="0" collapsed="false">
      <c r="B880" s="103" t="s">
        <v>1280</v>
      </c>
      <c r="C880" s="17" t="s">
        <v>37</v>
      </c>
      <c r="D880" s="61" t="s">
        <v>1262</v>
      </c>
      <c r="E880" s="61" t="s">
        <v>1263</v>
      </c>
      <c r="F880" s="26" t="s">
        <v>1089</v>
      </c>
      <c r="G880" s="108" t="s">
        <v>573</v>
      </c>
      <c r="H880" s="26" t="s">
        <v>1137</v>
      </c>
      <c r="I880" s="14" t="s">
        <v>43</v>
      </c>
      <c r="J880" s="14"/>
      <c r="K880" s="27"/>
      <c r="L880" s="27"/>
      <c r="M880" s="103" t="s">
        <v>1264</v>
      </c>
      <c r="N880" s="61" t="s">
        <v>76</v>
      </c>
      <c r="O880" s="61" t="s">
        <v>77</v>
      </c>
      <c r="P880" s="61" t="s">
        <v>154</v>
      </c>
      <c r="Q880" s="61" t="s">
        <v>105</v>
      </c>
      <c r="R880" s="16" t="n">
        <v>2378.25</v>
      </c>
      <c r="S880" s="16" t="n">
        <v>5700</v>
      </c>
      <c r="T880" s="16" t="n">
        <v>0</v>
      </c>
      <c r="U880" s="1" t="str">
        <f aca="false">D880&amp;"-"&amp;E880&amp;"-"&amp;M880&amp;"-"&amp;O880&amp;"-"&amp;P880&amp;"-"&amp;Q880</f>
        <v>ELOMI-BRIANNA UW PLUNGE BRA-EL8080-BLACK-38-G</v>
      </c>
      <c r="W880" s="1" t="s">
        <v>113</v>
      </c>
    </row>
    <row r="881" customFormat="false" ht="15.75" hidden="true" customHeight="true" outlineLevel="0" collapsed="false">
      <c r="B881" s="103" t="s">
        <v>1281</v>
      </c>
      <c r="C881" s="17" t="s">
        <v>37</v>
      </c>
      <c r="D881" s="61" t="s">
        <v>1262</v>
      </c>
      <c r="E881" s="61" t="s">
        <v>1263</v>
      </c>
      <c r="F881" s="26" t="s">
        <v>1089</v>
      </c>
      <c r="G881" s="108" t="s">
        <v>573</v>
      </c>
      <c r="H881" s="26" t="s">
        <v>1137</v>
      </c>
      <c r="I881" s="14" t="s">
        <v>43</v>
      </c>
      <c r="J881" s="14"/>
      <c r="K881" s="27"/>
      <c r="L881" s="27"/>
      <c r="M881" s="103" t="s">
        <v>1264</v>
      </c>
      <c r="N881" s="25" t="s">
        <v>76</v>
      </c>
      <c r="O881" s="61" t="s">
        <v>77</v>
      </c>
      <c r="P881" s="25" t="s">
        <v>440</v>
      </c>
      <c r="Q881" s="25" t="s">
        <v>105</v>
      </c>
      <c r="R881" s="16" t="n">
        <v>2688</v>
      </c>
      <c r="S881" s="16" t="n">
        <v>5700</v>
      </c>
      <c r="T881" s="16" t="n">
        <v>0</v>
      </c>
      <c r="U881" s="1" t="str">
        <f aca="false">D881&amp;"-"&amp;E881&amp;"-"&amp;M881&amp;"-"&amp;O881&amp;"-"&amp;P881&amp;"-"&amp;Q881</f>
        <v>ELOMI-BRIANNA UW PLUNGE BRA-EL8080-BLACK-42-G</v>
      </c>
      <c r="W881" s="1" t="s">
        <v>113</v>
      </c>
    </row>
    <row r="882" customFormat="false" ht="15" hidden="true" customHeight="false" outlineLevel="0" collapsed="false">
      <c r="B882" s="103" t="s">
        <v>1282</v>
      </c>
      <c r="C882" s="17" t="s">
        <v>37</v>
      </c>
      <c r="D882" s="61" t="s">
        <v>1262</v>
      </c>
      <c r="E882" s="61" t="s">
        <v>1263</v>
      </c>
      <c r="F882" s="26" t="s">
        <v>1089</v>
      </c>
      <c r="G882" s="108" t="s">
        <v>573</v>
      </c>
      <c r="H882" s="26" t="s">
        <v>1137</v>
      </c>
      <c r="I882" s="14" t="s">
        <v>43</v>
      </c>
      <c r="J882" s="14"/>
      <c r="K882" s="27"/>
      <c r="L882" s="27"/>
      <c r="M882" s="103" t="s">
        <v>1264</v>
      </c>
      <c r="N882" s="61" t="s">
        <v>72</v>
      </c>
      <c r="O882" s="61" t="s">
        <v>612</v>
      </c>
      <c r="P882" s="61" t="s">
        <v>92</v>
      </c>
      <c r="Q882" s="61" t="s">
        <v>129</v>
      </c>
      <c r="R882" s="16" t="n">
        <v>2772</v>
      </c>
      <c r="S882" s="16" t="n">
        <v>5700</v>
      </c>
      <c r="T882" s="16" t="n">
        <v>0</v>
      </c>
      <c r="U882" s="1" t="str">
        <f aca="false">D882&amp;"-"&amp;E882&amp;"-"&amp;M882&amp;"-"&amp;O882&amp;"-"&amp;P882&amp;"-"&amp;Q882</f>
        <v>ELOMI-BRIANNA UW PLUNGE BRA-EL8080-WHITE-32-GG</v>
      </c>
      <c r="W882" s="1" t="s">
        <v>113</v>
      </c>
    </row>
    <row r="883" customFormat="false" ht="15" hidden="true" customHeight="false" outlineLevel="0" collapsed="false">
      <c r="B883" s="103" t="s">
        <v>1283</v>
      </c>
      <c r="C883" s="17" t="s">
        <v>37</v>
      </c>
      <c r="D883" s="61" t="s">
        <v>1262</v>
      </c>
      <c r="E883" s="61" t="s">
        <v>1263</v>
      </c>
      <c r="F883" s="26" t="s">
        <v>1089</v>
      </c>
      <c r="G883" s="108" t="s">
        <v>573</v>
      </c>
      <c r="H883" s="26" t="s">
        <v>1137</v>
      </c>
      <c r="I883" s="14" t="s">
        <v>43</v>
      </c>
      <c r="J883" s="14"/>
      <c r="K883" s="27"/>
      <c r="L883" s="27"/>
      <c r="M883" s="103" t="s">
        <v>1264</v>
      </c>
      <c r="N883" s="25" t="s">
        <v>76</v>
      </c>
      <c r="O883" s="61" t="s">
        <v>77</v>
      </c>
      <c r="P883" s="25" t="s">
        <v>134</v>
      </c>
      <c r="Q883" s="25" t="s">
        <v>131</v>
      </c>
      <c r="R883" s="16" t="n">
        <v>2772</v>
      </c>
      <c r="S883" s="16" t="n">
        <v>5700</v>
      </c>
      <c r="T883" s="16" t="n">
        <v>1</v>
      </c>
      <c r="U883" s="1" t="str">
        <f aca="false">D883&amp;"-"&amp;E883&amp;"-"&amp;M883&amp;"-"&amp;O883&amp;"-"&amp;P883&amp;"-"&amp;Q883</f>
        <v>ELOMI-BRIANNA UW PLUNGE BRA-EL8080-BLACK-34-HH</v>
      </c>
      <c r="W883" s="1" t="s">
        <v>113</v>
      </c>
    </row>
    <row r="884" customFormat="false" ht="15" hidden="true" customHeight="false" outlineLevel="0" collapsed="false">
      <c r="B884" s="103" t="s">
        <v>1284</v>
      </c>
      <c r="C884" s="17" t="s">
        <v>37</v>
      </c>
      <c r="D884" s="61" t="s">
        <v>1262</v>
      </c>
      <c r="E884" s="61" t="s">
        <v>1263</v>
      </c>
      <c r="F884" s="26" t="s">
        <v>1089</v>
      </c>
      <c r="G884" s="108" t="s">
        <v>573</v>
      </c>
      <c r="H884" s="26" t="s">
        <v>1137</v>
      </c>
      <c r="I884" s="14" t="s">
        <v>43</v>
      </c>
      <c r="J884" s="14"/>
      <c r="K884" s="27"/>
      <c r="L884" s="27"/>
      <c r="M884" s="103" t="s">
        <v>1264</v>
      </c>
      <c r="N884" s="61" t="s">
        <v>72</v>
      </c>
      <c r="O884" s="61" t="s">
        <v>612</v>
      </c>
      <c r="P884" s="61" t="s">
        <v>154</v>
      </c>
      <c r="Q884" s="61" t="s">
        <v>105</v>
      </c>
      <c r="R884" s="16" t="n">
        <v>2772</v>
      </c>
      <c r="S884" s="16" t="n">
        <v>5700</v>
      </c>
      <c r="T884" s="16" t="n">
        <v>0</v>
      </c>
      <c r="U884" s="1" t="str">
        <f aca="false">D884&amp;"-"&amp;E884&amp;"-"&amp;M884&amp;"-"&amp;O884&amp;"-"&amp;P884&amp;"-"&amp;Q884</f>
        <v>ELOMI-BRIANNA UW PLUNGE BRA-EL8080-WHITE-38-G</v>
      </c>
      <c r="W884" s="1" t="s">
        <v>113</v>
      </c>
    </row>
    <row r="885" customFormat="false" ht="15" hidden="true" customHeight="false" outlineLevel="0" collapsed="false">
      <c r="B885" s="103" t="s">
        <v>1285</v>
      </c>
      <c r="C885" s="17" t="s">
        <v>37</v>
      </c>
      <c r="D885" s="61" t="s">
        <v>1262</v>
      </c>
      <c r="E885" s="61" t="s">
        <v>1263</v>
      </c>
      <c r="F885" s="26" t="s">
        <v>1089</v>
      </c>
      <c r="G885" s="108" t="s">
        <v>573</v>
      </c>
      <c r="H885" s="26" t="s">
        <v>1137</v>
      </c>
      <c r="I885" s="14" t="s">
        <v>43</v>
      </c>
      <c r="J885" s="14"/>
      <c r="K885" s="27"/>
      <c r="L885" s="27"/>
      <c r="M885" s="103" t="s">
        <v>1264</v>
      </c>
      <c r="N885" s="61" t="s">
        <v>1274</v>
      </c>
      <c r="O885" s="61" t="s">
        <v>1275</v>
      </c>
      <c r="P885" s="61" t="s">
        <v>92</v>
      </c>
      <c r="Q885" s="61" t="s">
        <v>129</v>
      </c>
      <c r="R885" s="16" t="n">
        <v>2772</v>
      </c>
      <c r="S885" s="16" t="n">
        <v>5700</v>
      </c>
      <c r="T885" s="16" t="n">
        <v>0</v>
      </c>
      <c r="U885" s="1" t="str">
        <f aca="false">D885&amp;"-"&amp;E885&amp;"-"&amp;M885&amp;"-"&amp;O885&amp;"-"&amp;P885&amp;"-"&amp;Q885</f>
        <v>ELOMI-BRIANNA UW PLUNGE BRA-EL8080-INK BLUE-32-GG</v>
      </c>
      <c r="W885" s="1" t="s">
        <v>113</v>
      </c>
    </row>
    <row r="886" customFormat="false" ht="15" hidden="true" customHeight="false" outlineLevel="0" collapsed="false">
      <c r="B886" s="103" t="s">
        <v>1286</v>
      </c>
      <c r="C886" s="17" t="s">
        <v>37</v>
      </c>
      <c r="D886" s="61" t="s">
        <v>1262</v>
      </c>
      <c r="E886" s="61" t="s">
        <v>1263</v>
      </c>
      <c r="F886" s="26" t="s">
        <v>1089</v>
      </c>
      <c r="G886" s="108" t="s">
        <v>573</v>
      </c>
      <c r="H886" s="26" t="s">
        <v>1137</v>
      </c>
      <c r="I886" s="14" t="s">
        <v>43</v>
      </c>
      <c r="J886" s="14"/>
      <c r="K886" s="27"/>
      <c r="L886" s="27"/>
      <c r="M886" s="103" t="s">
        <v>1264</v>
      </c>
      <c r="N886" s="61" t="s">
        <v>1274</v>
      </c>
      <c r="O886" s="61" t="s">
        <v>1275</v>
      </c>
      <c r="P886" s="61" t="s">
        <v>134</v>
      </c>
      <c r="Q886" s="61" t="s">
        <v>129</v>
      </c>
      <c r="R886" s="16" t="n">
        <v>2772</v>
      </c>
      <c r="S886" s="16" t="n">
        <v>5700</v>
      </c>
      <c r="T886" s="16" t="n">
        <v>0</v>
      </c>
      <c r="U886" s="1" t="str">
        <f aca="false">D886&amp;"-"&amp;E886&amp;"-"&amp;M886&amp;"-"&amp;O886&amp;"-"&amp;P886&amp;"-"&amp;Q886</f>
        <v>ELOMI-BRIANNA UW PLUNGE BRA-EL8080-INK BLUE-34-GG</v>
      </c>
      <c r="W886" s="1" t="s">
        <v>113</v>
      </c>
    </row>
    <row r="887" customFormat="false" ht="15" hidden="true" customHeight="false" outlineLevel="0" collapsed="false">
      <c r="B887" s="103" t="s">
        <v>1287</v>
      </c>
      <c r="C887" s="17" t="s">
        <v>37</v>
      </c>
      <c r="D887" s="61" t="s">
        <v>1262</v>
      </c>
      <c r="E887" s="61" t="s">
        <v>1263</v>
      </c>
      <c r="F887" s="26" t="s">
        <v>1089</v>
      </c>
      <c r="G887" s="108" t="s">
        <v>573</v>
      </c>
      <c r="H887" s="26" t="s">
        <v>1137</v>
      </c>
      <c r="I887" s="14" t="s">
        <v>43</v>
      </c>
      <c r="J887" s="14"/>
      <c r="K887" s="28"/>
      <c r="L887" s="27"/>
      <c r="M887" s="103" t="s">
        <v>1264</v>
      </c>
      <c r="N887" s="16" t="s">
        <v>1274</v>
      </c>
      <c r="O887" s="25" t="s">
        <v>1275</v>
      </c>
      <c r="P887" s="25" t="s">
        <v>65</v>
      </c>
      <c r="Q887" s="25" t="s">
        <v>129</v>
      </c>
      <c r="R887" s="16" t="n">
        <v>2772</v>
      </c>
      <c r="S887" s="16" t="n">
        <v>5700</v>
      </c>
      <c r="T887" s="16" t="n">
        <v>1</v>
      </c>
      <c r="U887" s="1" t="str">
        <f aca="false">D887&amp;"-"&amp;E887&amp;"-"&amp;M887&amp;"-"&amp;O887&amp;"-"&amp;P887&amp;"-"&amp;Q887</f>
        <v>ELOMI-BRIANNA UW PLUNGE BRA-EL8080-INK BLUE-36-GG</v>
      </c>
      <c r="W887" s="1" t="s">
        <v>113</v>
      </c>
    </row>
    <row r="888" customFormat="false" ht="15" hidden="true" customHeight="false" outlineLevel="0" collapsed="false">
      <c r="B888" s="103" t="s">
        <v>1286</v>
      </c>
      <c r="C888" s="17" t="s">
        <v>37</v>
      </c>
      <c r="D888" s="61" t="s">
        <v>1262</v>
      </c>
      <c r="E888" s="61" t="s">
        <v>1263</v>
      </c>
      <c r="F888" s="26" t="s">
        <v>1089</v>
      </c>
      <c r="G888" s="108" t="s">
        <v>573</v>
      </c>
      <c r="H888" s="26" t="s">
        <v>1137</v>
      </c>
      <c r="I888" s="14" t="s">
        <v>43</v>
      </c>
      <c r="J888" s="14"/>
      <c r="K888" s="28"/>
      <c r="L888" s="28"/>
      <c r="M888" s="103" t="s">
        <v>1264</v>
      </c>
      <c r="N888" s="16" t="s">
        <v>1274</v>
      </c>
      <c r="O888" s="16" t="s">
        <v>1275</v>
      </c>
      <c r="P888" s="61" t="s">
        <v>65</v>
      </c>
      <c r="Q888" s="61" t="s">
        <v>143</v>
      </c>
      <c r="R888" s="16" t="n">
        <v>2772</v>
      </c>
      <c r="S888" s="16" t="n">
        <v>5700</v>
      </c>
      <c r="T888" s="16" t="n">
        <v>1</v>
      </c>
      <c r="U888" s="1" t="str">
        <f aca="false">D888&amp;"-"&amp;E888&amp;"-"&amp;M888&amp;"-"&amp;O888&amp;"-"&amp;P888&amp;"-"&amp;Q888</f>
        <v>ELOMI-BRIANNA UW PLUNGE BRA-EL8080-INK BLUE-36-H</v>
      </c>
      <c r="W888" s="1" t="s">
        <v>113</v>
      </c>
    </row>
    <row r="889" customFormat="false" ht="15" hidden="true" customHeight="false" outlineLevel="0" collapsed="false">
      <c r="B889" s="103" t="s">
        <v>1288</v>
      </c>
      <c r="C889" s="17" t="s">
        <v>37</v>
      </c>
      <c r="D889" s="61" t="s">
        <v>1262</v>
      </c>
      <c r="E889" s="61" t="s">
        <v>1263</v>
      </c>
      <c r="F889" s="26" t="s">
        <v>1089</v>
      </c>
      <c r="G889" s="108" t="s">
        <v>573</v>
      </c>
      <c r="H889" s="26" t="s">
        <v>1137</v>
      </c>
      <c r="I889" s="14" t="s">
        <v>43</v>
      </c>
      <c r="J889" s="14"/>
      <c r="K889" s="27"/>
      <c r="L889" s="27"/>
      <c r="M889" s="103" t="s">
        <v>1264</v>
      </c>
      <c r="N889" s="61" t="s">
        <v>1274</v>
      </c>
      <c r="O889" s="25" t="s">
        <v>1275</v>
      </c>
      <c r="P889" s="61" t="s">
        <v>417</v>
      </c>
      <c r="Q889" s="61" t="s">
        <v>62</v>
      </c>
      <c r="R889" s="16" t="n">
        <v>2772</v>
      </c>
      <c r="S889" s="16" t="n">
        <v>5700</v>
      </c>
      <c r="T889" s="16" t="n">
        <v>1</v>
      </c>
      <c r="U889" s="1" t="str">
        <f aca="false">D889&amp;"-"&amp;E889&amp;"-"&amp;M889&amp;"-"&amp;O889&amp;"-"&amp;P889&amp;"-"&amp;Q889</f>
        <v>ELOMI-BRIANNA UW PLUNGE BRA-EL8080-INK BLUE-40-FF</v>
      </c>
      <c r="W889" s="1" t="s">
        <v>113</v>
      </c>
    </row>
    <row r="890" customFormat="false" ht="15" hidden="true" customHeight="false" outlineLevel="0" collapsed="false">
      <c r="B890" s="103" t="s">
        <v>1289</v>
      </c>
      <c r="C890" s="17" t="s">
        <v>37</v>
      </c>
      <c r="D890" s="61" t="s">
        <v>1262</v>
      </c>
      <c r="E890" s="61" t="s">
        <v>1263</v>
      </c>
      <c r="F890" s="26" t="s">
        <v>1089</v>
      </c>
      <c r="G890" s="108" t="s">
        <v>573</v>
      </c>
      <c r="H890" s="26" t="s">
        <v>1137</v>
      </c>
      <c r="I890" s="14" t="s">
        <v>43</v>
      </c>
      <c r="J890" s="14"/>
      <c r="K890" s="27"/>
      <c r="L890" s="28"/>
      <c r="M890" s="103" t="s">
        <v>1264</v>
      </c>
      <c r="N890" s="109" t="s">
        <v>1290</v>
      </c>
      <c r="O890" s="16" t="s">
        <v>594</v>
      </c>
      <c r="P890" s="109" t="s">
        <v>92</v>
      </c>
      <c r="Q890" s="109" t="s">
        <v>238</v>
      </c>
      <c r="R890" s="16" t="n">
        <v>2772</v>
      </c>
      <c r="S890" s="16" t="n">
        <v>5700</v>
      </c>
      <c r="T890" s="110" t="n">
        <v>1</v>
      </c>
      <c r="U890" s="1" t="str">
        <f aca="false">D890&amp;"-"&amp;E890&amp;"-"&amp;M890&amp;"-"&amp;O890&amp;"-"&amp;P890&amp;"-"&amp;Q890</f>
        <v>ELOMI-BRIANNA UW PLUNGE BRA-EL8080-PINK-32-J</v>
      </c>
      <c r="W890" s="1" t="s">
        <v>113</v>
      </c>
    </row>
    <row r="891" customFormat="false" ht="15" hidden="true" customHeight="false" outlineLevel="0" collapsed="false">
      <c r="B891" s="103" t="s">
        <v>1291</v>
      </c>
      <c r="C891" s="17" t="s">
        <v>37</v>
      </c>
      <c r="D891" s="61" t="s">
        <v>1262</v>
      </c>
      <c r="E891" s="61" t="s">
        <v>1263</v>
      </c>
      <c r="F891" s="26" t="s">
        <v>1089</v>
      </c>
      <c r="G891" s="108" t="s">
        <v>573</v>
      </c>
      <c r="H891" s="26" t="s">
        <v>1137</v>
      </c>
      <c r="I891" s="14" t="s">
        <v>43</v>
      </c>
      <c r="J891" s="14"/>
      <c r="K891" s="27"/>
      <c r="L891" s="28"/>
      <c r="M891" s="103" t="s">
        <v>1264</v>
      </c>
      <c r="N891" s="25" t="s">
        <v>1290</v>
      </c>
      <c r="O891" s="16" t="s">
        <v>594</v>
      </c>
      <c r="P891" s="25" t="s">
        <v>65</v>
      </c>
      <c r="Q891" s="25" t="s">
        <v>238</v>
      </c>
      <c r="R891" s="16" t="n">
        <v>2772</v>
      </c>
      <c r="S891" s="16" t="n">
        <v>5700</v>
      </c>
      <c r="T891" s="16" t="n">
        <v>1</v>
      </c>
      <c r="U891" s="1" t="str">
        <f aca="false">D891&amp;"-"&amp;E891&amp;"-"&amp;M891&amp;"-"&amp;O891&amp;"-"&amp;P891&amp;"-"&amp;Q891</f>
        <v>ELOMI-BRIANNA UW PLUNGE BRA-EL8080-PINK-36-J</v>
      </c>
      <c r="W891" s="1" t="s">
        <v>113</v>
      </c>
    </row>
    <row r="892" customFormat="false" ht="15" hidden="true" customHeight="false" outlineLevel="0" collapsed="false">
      <c r="B892" s="103" t="s">
        <v>1292</v>
      </c>
      <c r="C892" s="17" t="s">
        <v>37</v>
      </c>
      <c r="D892" s="61" t="s">
        <v>1262</v>
      </c>
      <c r="E892" s="61" t="s">
        <v>1263</v>
      </c>
      <c r="F892" s="26" t="s">
        <v>1089</v>
      </c>
      <c r="G892" s="108" t="s">
        <v>573</v>
      </c>
      <c r="H892" s="26" t="s">
        <v>1137</v>
      </c>
      <c r="I892" s="14" t="s">
        <v>43</v>
      </c>
      <c r="J892" s="14"/>
      <c r="K892" s="27"/>
      <c r="L892" s="28"/>
      <c r="M892" s="103" t="s">
        <v>1264</v>
      </c>
      <c r="N892" s="25" t="s">
        <v>1290</v>
      </c>
      <c r="O892" s="16" t="s">
        <v>594</v>
      </c>
      <c r="P892" s="25" t="s">
        <v>154</v>
      </c>
      <c r="Q892" s="25" t="s">
        <v>129</v>
      </c>
      <c r="R892" s="16" t="n">
        <v>2772</v>
      </c>
      <c r="S892" s="16" t="n">
        <v>5700</v>
      </c>
      <c r="T892" s="16" t="n">
        <v>1</v>
      </c>
      <c r="U892" s="1" t="str">
        <f aca="false">D892&amp;"-"&amp;E892&amp;"-"&amp;M892&amp;"-"&amp;O892&amp;"-"&amp;P892&amp;"-"&amp;Q892</f>
        <v>ELOMI-BRIANNA UW PLUNGE BRA-EL8080-PINK-38-GG</v>
      </c>
      <c r="W892" s="1" t="s">
        <v>113</v>
      </c>
    </row>
    <row r="893" customFormat="false" ht="15" hidden="true" customHeight="false" outlineLevel="0" collapsed="false">
      <c r="B893" s="103" t="s">
        <v>1293</v>
      </c>
      <c r="C893" s="17" t="s">
        <v>37</v>
      </c>
      <c r="D893" s="61" t="s">
        <v>1262</v>
      </c>
      <c r="E893" s="61" t="s">
        <v>1263</v>
      </c>
      <c r="F893" s="26" t="s">
        <v>1089</v>
      </c>
      <c r="G893" s="108" t="s">
        <v>573</v>
      </c>
      <c r="H893" s="26" t="s">
        <v>1137</v>
      </c>
      <c r="I893" s="14" t="s">
        <v>43</v>
      </c>
      <c r="J893" s="14"/>
      <c r="K893" s="27"/>
      <c r="L893" s="28"/>
      <c r="M893" s="103" t="s">
        <v>1264</v>
      </c>
      <c r="N893" s="61" t="s">
        <v>1290</v>
      </c>
      <c r="O893" s="16" t="s">
        <v>594</v>
      </c>
      <c r="P893" s="61" t="s">
        <v>154</v>
      </c>
      <c r="Q893" s="61" t="s">
        <v>238</v>
      </c>
      <c r="R893" s="16" t="n">
        <v>2772</v>
      </c>
      <c r="S893" s="16" t="n">
        <v>5700</v>
      </c>
      <c r="T893" s="16" t="n">
        <v>1</v>
      </c>
      <c r="U893" s="1" t="str">
        <f aca="false">D893&amp;"-"&amp;E893&amp;"-"&amp;M893&amp;"-"&amp;O893&amp;"-"&amp;P893&amp;"-"&amp;Q893</f>
        <v>ELOMI-BRIANNA UW PLUNGE BRA-EL8080-PINK-38-J</v>
      </c>
      <c r="W893" s="1" t="s">
        <v>113</v>
      </c>
    </row>
    <row r="894" customFormat="false" ht="15" hidden="true" customHeight="false" outlineLevel="0" collapsed="false">
      <c r="B894" s="103" t="s">
        <v>1294</v>
      </c>
      <c r="C894" s="17" t="s">
        <v>37</v>
      </c>
      <c r="D894" s="61" t="s">
        <v>1262</v>
      </c>
      <c r="E894" s="61" t="s">
        <v>1263</v>
      </c>
      <c r="F894" s="26" t="s">
        <v>1089</v>
      </c>
      <c r="G894" s="108" t="s">
        <v>573</v>
      </c>
      <c r="H894" s="26" t="s">
        <v>1137</v>
      </c>
      <c r="I894" s="14" t="s">
        <v>43</v>
      </c>
      <c r="J894" s="14"/>
      <c r="K894" s="27"/>
      <c r="L894" s="28"/>
      <c r="M894" s="103" t="s">
        <v>1264</v>
      </c>
      <c r="N894" s="61" t="s">
        <v>1290</v>
      </c>
      <c r="O894" s="16" t="s">
        <v>594</v>
      </c>
      <c r="P894" s="61" t="s">
        <v>417</v>
      </c>
      <c r="Q894" s="61" t="s">
        <v>66</v>
      </c>
      <c r="R894" s="16" t="n">
        <v>2772</v>
      </c>
      <c r="S894" s="16" t="n">
        <v>5700</v>
      </c>
      <c r="T894" s="16" t="n">
        <v>1</v>
      </c>
      <c r="U894" s="1" t="str">
        <f aca="false">D894&amp;"-"&amp;E894&amp;"-"&amp;M894&amp;"-"&amp;O894&amp;"-"&amp;P894&amp;"-"&amp;Q894</f>
        <v>ELOMI-BRIANNA UW PLUNGE BRA-EL8080-PINK-40-E</v>
      </c>
      <c r="W894" s="1" t="s">
        <v>113</v>
      </c>
    </row>
    <row r="895" customFormat="false" ht="14.25" hidden="true" customHeight="true" outlineLevel="0" collapsed="false">
      <c r="B895" s="103" t="s">
        <v>1295</v>
      </c>
      <c r="C895" s="17" t="s">
        <v>37</v>
      </c>
      <c r="D895" s="61" t="s">
        <v>1262</v>
      </c>
      <c r="E895" s="61" t="s">
        <v>1263</v>
      </c>
      <c r="F895" s="26" t="s">
        <v>1089</v>
      </c>
      <c r="G895" s="108" t="s">
        <v>573</v>
      </c>
      <c r="H895" s="26" t="s">
        <v>1137</v>
      </c>
      <c r="I895" s="14" t="s">
        <v>43</v>
      </c>
      <c r="J895" s="14"/>
      <c r="K895" s="27"/>
      <c r="L895" s="28"/>
      <c r="M895" s="103" t="s">
        <v>1264</v>
      </c>
      <c r="N895" s="61" t="s">
        <v>1290</v>
      </c>
      <c r="O895" s="16" t="s">
        <v>594</v>
      </c>
      <c r="P895" s="61" t="s">
        <v>417</v>
      </c>
      <c r="Q895" s="61" t="s">
        <v>129</v>
      </c>
      <c r="R895" s="16" t="n">
        <v>2772</v>
      </c>
      <c r="S895" s="16" t="n">
        <v>5700</v>
      </c>
      <c r="T895" s="16" t="n">
        <v>1</v>
      </c>
      <c r="U895" s="1" t="str">
        <f aca="false">D895&amp;"-"&amp;E895&amp;"-"&amp;M895&amp;"-"&amp;O895&amp;"-"&amp;P895&amp;"-"&amp;Q895</f>
        <v>ELOMI-BRIANNA UW PLUNGE BRA-EL8080-PINK-40-GG</v>
      </c>
      <c r="W895" s="1" t="s">
        <v>113</v>
      </c>
    </row>
    <row r="896" customFormat="false" ht="15" hidden="true" customHeight="false" outlineLevel="0" collapsed="false">
      <c r="B896" s="103" t="s">
        <v>1296</v>
      </c>
      <c r="C896" s="17" t="s">
        <v>37</v>
      </c>
      <c r="D896" s="61" t="s">
        <v>1262</v>
      </c>
      <c r="E896" s="61" t="s">
        <v>1263</v>
      </c>
      <c r="F896" s="26" t="s">
        <v>1089</v>
      </c>
      <c r="G896" s="108" t="s">
        <v>573</v>
      </c>
      <c r="H896" s="26" t="s">
        <v>1137</v>
      </c>
      <c r="I896" s="14" t="s">
        <v>43</v>
      </c>
      <c r="J896" s="14"/>
      <c r="K896" s="27"/>
      <c r="L896" s="28"/>
      <c r="M896" s="103" t="s">
        <v>1264</v>
      </c>
      <c r="N896" s="25" t="s">
        <v>1290</v>
      </c>
      <c r="O896" s="16" t="s">
        <v>594</v>
      </c>
      <c r="P896" s="25" t="s">
        <v>440</v>
      </c>
      <c r="Q896" s="25" t="s">
        <v>62</v>
      </c>
      <c r="R896" s="16" t="n">
        <v>2772</v>
      </c>
      <c r="S896" s="16" t="n">
        <v>5700</v>
      </c>
      <c r="T896" s="16" t="n">
        <v>1</v>
      </c>
      <c r="U896" s="1" t="str">
        <f aca="false">D896&amp;"-"&amp;E896&amp;"-"&amp;M896&amp;"-"&amp;O896&amp;"-"&amp;P896&amp;"-"&amp;Q896</f>
        <v>ELOMI-BRIANNA UW PLUNGE BRA-EL8080-PINK-42-FF</v>
      </c>
      <c r="W896" s="1" t="s">
        <v>113</v>
      </c>
    </row>
    <row r="897" customFormat="false" ht="15" hidden="true" customHeight="false" outlineLevel="0" collapsed="false">
      <c r="B897" s="103" t="s">
        <v>1297</v>
      </c>
      <c r="C897" s="17" t="s">
        <v>37</v>
      </c>
      <c r="D897" s="61" t="s">
        <v>1262</v>
      </c>
      <c r="E897" s="61" t="s">
        <v>1263</v>
      </c>
      <c r="F897" s="26" t="s">
        <v>1089</v>
      </c>
      <c r="G897" s="108" t="s">
        <v>573</v>
      </c>
      <c r="H897" s="26" t="s">
        <v>1137</v>
      </c>
      <c r="I897" s="14" t="s">
        <v>43</v>
      </c>
      <c r="J897" s="14"/>
      <c r="K897" s="27"/>
      <c r="L897" s="28"/>
      <c r="M897" s="103" t="s">
        <v>1264</v>
      </c>
      <c r="N897" s="25" t="s">
        <v>1290</v>
      </c>
      <c r="O897" s="16" t="s">
        <v>594</v>
      </c>
      <c r="P897" s="25" t="s">
        <v>440</v>
      </c>
      <c r="Q897" s="25" t="s">
        <v>129</v>
      </c>
      <c r="R897" s="16" t="n">
        <v>2772</v>
      </c>
      <c r="S897" s="16" t="n">
        <v>5700</v>
      </c>
      <c r="T897" s="16" t="n">
        <v>1</v>
      </c>
      <c r="U897" s="1" t="str">
        <f aca="false">D897&amp;"-"&amp;E897&amp;"-"&amp;M897&amp;"-"&amp;O897&amp;"-"&amp;P897&amp;"-"&amp;Q897</f>
        <v>ELOMI-BRIANNA UW PLUNGE BRA-EL8080-PINK-42-GG</v>
      </c>
      <c r="W897" s="1" t="s">
        <v>113</v>
      </c>
    </row>
    <row r="898" customFormat="false" ht="15" hidden="true" customHeight="false" outlineLevel="0" collapsed="false">
      <c r="B898" s="103" t="s">
        <v>1298</v>
      </c>
      <c r="C898" s="17" t="s">
        <v>37</v>
      </c>
      <c r="D898" s="61" t="s">
        <v>1262</v>
      </c>
      <c r="E898" s="61" t="s">
        <v>1263</v>
      </c>
      <c r="F898" s="26" t="s">
        <v>1089</v>
      </c>
      <c r="G898" s="108" t="s">
        <v>573</v>
      </c>
      <c r="H898" s="26" t="s">
        <v>1137</v>
      </c>
      <c r="I898" s="14" t="s">
        <v>43</v>
      </c>
      <c r="J898" s="14"/>
      <c r="K898" s="27"/>
      <c r="L898" s="28"/>
      <c r="M898" s="103" t="s">
        <v>1264</v>
      </c>
      <c r="N898" s="25" t="s">
        <v>1290</v>
      </c>
      <c r="O898" s="16" t="s">
        <v>594</v>
      </c>
      <c r="P898" s="25" t="s">
        <v>440</v>
      </c>
      <c r="Q898" s="25" t="s">
        <v>131</v>
      </c>
      <c r="R898" s="16" t="n">
        <v>2772</v>
      </c>
      <c r="S898" s="16" t="n">
        <v>5700</v>
      </c>
      <c r="T898" s="16" t="n">
        <v>1</v>
      </c>
      <c r="U898" s="1" t="str">
        <f aca="false">D898&amp;"-"&amp;E898&amp;"-"&amp;M898&amp;"-"&amp;O898&amp;"-"&amp;P898&amp;"-"&amp;Q898</f>
        <v>ELOMI-BRIANNA UW PLUNGE BRA-EL8080-PINK-42-HH</v>
      </c>
      <c r="W898" s="1" t="s">
        <v>113</v>
      </c>
    </row>
    <row r="899" customFormat="false" ht="15" hidden="true" customHeight="false" outlineLevel="0" collapsed="false">
      <c r="B899" s="103" t="s">
        <v>1299</v>
      </c>
      <c r="C899" s="20" t="s">
        <v>37</v>
      </c>
      <c r="D899" s="103" t="s">
        <v>1262</v>
      </c>
      <c r="E899" s="103" t="s">
        <v>1263</v>
      </c>
      <c r="F899" s="26" t="s">
        <v>1089</v>
      </c>
      <c r="G899" s="108" t="s">
        <v>573</v>
      </c>
      <c r="H899" s="26" t="s">
        <v>1137</v>
      </c>
      <c r="I899" s="14" t="s">
        <v>43</v>
      </c>
      <c r="J899" s="14"/>
      <c r="K899" s="27"/>
      <c r="L899" s="28"/>
      <c r="M899" s="103" t="s">
        <v>1264</v>
      </c>
      <c r="N899" s="103" t="s">
        <v>72</v>
      </c>
      <c r="O899" s="16" t="s">
        <v>612</v>
      </c>
      <c r="P899" s="103" t="s">
        <v>92</v>
      </c>
      <c r="Q899" s="103" t="s">
        <v>131</v>
      </c>
      <c r="R899" s="16" t="n">
        <v>2772</v>
      </c>
      <c r="S899" s="16" t="n">
        <v>5700</v>
      </c>
      <c r="T899" s="16" t="n">
        <v>0</v>
      </c>
      <c r="U899" s="1" t="str">
        <f aca="false">D899&amp;"-"&amp;E899&amp;"-"&amp;M899&amp;"-"&amp;O899&amp;"-"&amp;P899&amp;"-"&amp;Q899</f>
        <v>ELOMI-BRIANNA UW PLUNGE BRA-EL8080-WHITE-32-HH</v>
      </c>
      <c r="W899" s="1" t="s">
        <v>113</v>
      </c>
    </row>
    <row r="900" customFormat="false" ht="15" hidden="true" customHeight="false" outlineLevel="0" collapsed="false">
      <c r="B900" s="103" t="s">
        <v>1300</v>
      </c>
      <c r="C900" s="20" t="s">
        <v>37</v>
      </c>
      <c r="D900" s="103" t="s">
        <v>1262</v>
      </c>
      <c r="E900" s="103" t="s">
        <v>1301</v>
      </c>
      <c r="F900" s="26" t="s">
        <v>1089</v>
      </c>
      <c r="G900" s="108" t="s">
        <v>573</v>
      </c>
      <c r="H900" s="26" t="s">
        <v>1302</v>
      </c>
      <c r="I900" s="14" t="s">
        <v>43</v>
      </c>
      <c r="J900" s="14"/>
      <c r="K900" s="27"/>
      <c r="L900" s="27"/>
      <c r="M900" s="103" t="s">
        <v>1303</v>
      </c>
      <c r="N900" s="103" t="s">
        <v>1304</v>
      </c>
      <c r="O900" s="103" t="s">
        <v>1187</v>
      </c>
      <c r="P900" s="103" t="s">
        <v>154</v>
      </c>
      <c r="Q900" s="103" t="s">
        <v>66</v>
      </c>
      <c r="R900" s="16" t="n">
        <v>2772</v>
      </c>
      <c r="S900" s="16" t="n">
        <v>5700</v>
      </c>
      <c r="T900" s="16" t="n">
        <v>0</v>
      </c>
      <c r="U900" s="1" t="str">
        <f aca="false">D900&amp;"-"&amp;E900&amp;"-"&amp;M900&amp;"-"&amp;O900&amp;"-"&amp;P900&amp;"-"&amp;Q900</f>
        <v>ELOMI-SACHI UW SIDE SUPPORT BRA-EL4350-WINE-38-E</v>
      </c>
    </row>
    <row r="901" customFormat="false" ht="15" hidden="true" customHeight="false" outlineLevel="0" collapsed="false">
      <c r="B901" s="25" t="s">
        <v>1305</v>
      </c>
      <c r="C901" s="17" t="s">
        <v>37</v>
      </c>
      <c r="D901" s="61" t="s">
        <v>1262</v>
      </c>
      <c r="E901" s="61" t="s">
        <v>1301</v>
      </c>
      <c r="F901" s="26" t="s">
        <v>1089</v>
      </c>
      <c r="G901" s="108" t="s">
        <v>573</v>
      </c>
      <c r="H901" s="26" t="s">
        <v>1302</v>
      </c>
      <c r="I901" s="14" t="s">
        <v>43</v>
      </c>
      <c r="J901" s="14"/>
      <c r="K901" s="27"/>
      <c r="L901" s="27"/>
      <c r="M901" s="25" t="s">
        <v>1303</v>
      </c>
      <c r="N901" s="25" t="s">
        <v>1304</v>
      </c>
      <c r="O901" s="61" t="s">
        <v>1187</v>
      </c>
      <c r="P901" s="25" t="s">
        <v>449</v>
      </c>
      <c r="Q901" s="25" t="s">
        <v>66</v>
      </c>
      <c r="R901" s="16" t="n">
        <v>2688</v>
      </c>
      <c r="S901" s="16" t="n">
        <v>5700</v>
      </c>
      <c r="T901" s="16" t="n">
        <v>1</v>
      </c>
      <c r="U901" s="1" t="str">
        <f aca="false">D901&amp;"-"&amp;E901&amp;"-"&amp;M901&amp;"-"&amp;O901&amp;"-"&amp;P901&amp;"-"&amp;Q901</f>
        <v>ELOMI-SACHI UW SIDE SUPPORT BRA-EL4350-WINE-44-E</v>
      </c>
    </row>
    <row r="902" customFormat="false" ht="15" hidden="true" customHeight="false" outlineLevel="0" collapsed="false">
      <c r="B902" s="25" t="s">
        <v>1306</v>
      </c>
      <c r="C902" s="17" t="s">
        <v>37</v>
      </c>
      <c r="D902" s="61" t="s">
        <v>1262</v>
      </c>
      <c r="E902" s="61" t="s">
        <v>1301</v>
      </c>
      <c r="F902" s="26" t="s">
        <v>1089</v>
      </c>
      <c r="G902" s="108" t="s">
        <v>573</v>
      </c>
      <c r="H902" s="26" t="s">
        <v>1302</v>
      </c>
      <c r="I902" s="14" t="s">
        <v>43</v>
      </c>
      <c r="J902" s="14"/>
      <c r="K902" s="27"/>
      <c r="L902" s="27"/>
      <c r="M902" s="25" t="s">
        <v>1303</v>
      </c>
      <c r="N902" s="25" t="s">
        <v>1304</v>
      </c>
      <c r="O902" s="61" t="s">
        <v>1187</v>
      </c>
      <c r="P902" s="25" t="s">
        <v>154</v>
      </c>
      <c r="Q902" s="25" t="s">
        <v>66</v>
      </c>
      <c r="R902" s="16" t="n">
        <v>2688</v>
      </c>
      <c r="S902" s="16" t="n">
        <v>5700</v>
      </c>
      <c r="T902" s="16" t="n">
        <v>0</v>
      </c>
      <c r="U902" s="1" t="str">
        <f aca="false">D902&amp;"-"&amp;E902&amp;"-"&amp;M902&amp;"-"&amp;O902&amp;"-"&amp;P902&amp;"-"&amp;Q902</f>
        <v>ELOMI-SACHI UW SIDE SUPPORT BRA-EL4350-WINE-38-E</v>
      </c>
    </row>
    <row r="903" customFormat="false" ht="15" hidden="true" customHeight="false" outlineLevel="0" collapsed="false">
      <c r="B903" s="61" t="s">
        <v>1307</v>
      </c>
      <c r="C903" s="17" t="s">
        <v>37</v>
      </c>
      <c r="D903" s="61" t="s">
        <v>1262</v>
      </c>
      <c r="E903" s="61" t="s">
        <v>1301</v>
      </c>
      <c r="F903" s="26" t="s">
        <v>1089</v>
      </c>
      <c r="G903" s="108" t="s">
        <v>573</v>
      </c>
      <c r="H903" s="26" t="s">
        <v>1302</v>
      </c>
      <c r="I903" s="14" t="s">
        <v>43</v>
      </c>
      <c r="J903" s="14"/>
      <c r="K903" s="27"/>
      <c r="L903" s="27"/>
      <c r="M903" s="61" t="s">
        <v>1303</v>
      </c>
      <c r="N903" s="61" t="s">
        <v>1308</v>
      </c>
      <c r="O903" s="61" t="s">
        <v>465</v>
      </c>
      <c r="P903" s="61" t="s">
        <v>92</v>
      </c>
      <c r="Q903" s="61" t="s">
        <v>129</v>
      </c>
      <c r="R903" s="16" t="n">
        <v>2700</v>
      </c>
      <c r="S903" s="16" t="n">
        <v>5700</v>
      </c>
      <c r="T903" s="16" t="n">
        <v>0</v>
      </c>
      <c r="U903" s="1" t="str">
        <f aca="false">D903&amp;"-"&amp;E903&amp;"-"&amp;M903&amp;"-"&amp;O903&amp;"-"&amp;P903&amp;"-"&amp;Q903</f>
        <v>ELOMI-SACHI UW SIDE SUPPORT BRA-EL4350-SKIN-32-GG</v>
      </c>
    </row>
    <row r="904" customFormat="false" ht="15" hidden="true" customHeight="false" outlineLevel="0" collapsed="false">
      <c r="B904" s="25" t="s">
        <v>1309</v>
      </c>
      <c r="C904" s="17" t="s">
        <v>37</v>
      </c>
      <c r="D904" s="61" t="s">
        <v>1262</v>
      </c>
      <c r="E904" s="61" t="s">
        <v>1301</v>
      </c>
      <c r="F904" s="26" t="s">
        <v>1089</v>
      </c>
      <c r="G904" s="108" t="s">
        <v>573</v>
      </c>
      <c r="H904" s="26" t="s">
        <v>1302</v>
      </c>
      <c r="I904" s="14" t="s">
        <v>43</v>
      </c>
      <c r="J904" s="14"/>
      <c r="K904" s="27"/>
      <c r="L904" s="27"/>
      <c r="M904" s="25" t="s">
        <v>1303</v>
      </c>
      <c r="N904" s="25" t="s">
        <v>1308</v>
      </c>
      <c r="O904" s="61" t="s">
        <v>465</v>
      </c>
      <c r="P904" s="25" t="s">
        <v>92</v>
      </c>
      <c r="Q904" s="25" t="s">
        <v>143</v>
      </c>
      <c r="R904" s="16" t="n">
        <v>2772</v>
      </c>
      <c r="S904" s="16" t="n">
        <v>5700</v>
      </c>
      <c r="T904" s="16" t="n">
        <v>0</v>
      </c>
      <c r="U904" s="1" t="str">
        <f aca="false">D904&amp;"-"&amp;E904&amp;"-"&amp;M904&amp;"-"&amp;O904&amp;"-"&amp;P904&amp;"-"&amp;Q904</f>
        <v>ELOMI-SACHI UW SIDE SUPPORT BRA-EL4350-SKIN-32-H</v>
      </c>
    </row>
    <row r="905" customFormat="false" ht="15" hidden="true" customHeight="false" outlineLevel="0" collapsed="false">
      <c r="B905" s="61" t="s">
        <v>1310</v>
      </c>
      <c r="C905" s="17" t="s">
        <v>37</v>
      </c>
      <c r="D905" s="61" t="s">
        <v>1262</v>
      </c>
      <c r="E905" s="61" t="s">
        <v>1301</v>
      </c>
      <c r="F905" s="26" t="s">
        <v>1089</v>
      </c>
      <c r="G905" s="108" t="s">
        <v>573</v>
      </c>
      <c r="H905" s="26" t="s">
        <v>1302</v>
      </c>
      <c r="I905" s="14" t="s">
        <v>43</v>
      </c>
      <c r="J905" s="14"/>
      <c r="K905" s="27"/>
      <c r="L905" s="27"/>
      <c r="M905" s="61" t="s">
        <v>1303</v>
      </c>
      <c r="N905" s="61" t="s">
        <v>1308</v>
      </c>
      <c r="O905" s="61" t="s">
        <v>465</v>
      </c>
      <c r="P905" s="61" t="s">
        <v>92</v>
      </c>
      <c r="Q905" s="61" t="s">
        <v>131</v>
      </c>
      <c r="R905" s="16" t="n">
        <v>2772</v>
      </c>
      <c r="S905" s="16" t="n">
        <v>5700</v>
      </c>
      <c r="T905" s="16" t="n">
        <v>0</v>
      </c>
      <c r="U905" s="1" t="str">
        <f aca="false">D905&amp;"-"&amp;E905&amp;"-"&amp;M905&amp;"-"&amp;O905&amp;"-"&amp;P905&amp;"-"&amp;Q905</f>
        <v>ELOMI-SACHI UW SIDE SUPPORT BRA-EL4350-SKIN-32-HH</v>
      </c>
    </row>
    <row r="906" customFormat="false" ht="15" hidden="true" customHeight="false" outlineLevel="0" collapsed="false">
      <c r="B906" s="25" t="s">
        <v>1311</v>
      </c>
      <c r="C906" s="17" t="s">
        <v>37</v>
      </c>
      <c r="D906" s="61" t="s">
        <v>1262</v>
      </c>
      <c r="E906" s="61" t="s">
        <v>1301</v>
      </c>
      <c r="F906" s="26" t="s">
        <v>1089</v>
      </c>
      <c r="G906" s="108" t="s">
        <v>573</v>
      </c>
      <c r="H906" s="26" t="s">
        <v>1302</v>
      </c>
      <c r="I906" s="14" t="s">
        <v>43</v>
      </c>
      <c r="J906" s="14"/>
      <c r="K906" s="27"/>
      <c r="L906" s="27"/>
      <c r="M906" s="25" t="s">
        <v>1303</v>
      </c>
      <c r="N906" s="25" t="s">
        <v>1308</v>
      </c>
      <c r="O906" s="61" t="s">
        <v>465</v>
      </c>
      <c r="P906" s="25" t="s">
        <v>134</v>
      </c>
      <c r="Q906" s="25" t="s">
        <v>129</v>
      </c>
      <c r="R906" s="16" t="n">
        <v>2700</v>
      </c>
      <c r="S906" s="16" t="n">
        <v>5700</v>
      </c>
      <c r="T906" s="16" t="n">
        <v>0</v>
      </c>
      <c r="U906" s="1" t="str">
        <f aca="false">D906&amp;"-"&amp;E906&amp;"-"&amp;M906&amp;"-"&amp;O906&amp;"-"&amp;P906&amp;"-"&amp;Q906</f>
        <v>ELOMI-SACHI UW SIDE SUPPORT BRA-EL4350-SKIN-34-GG</v>
      </c>
    </row>
    <row r="907" customFormat="false" ht="15" hidden="true" customHeight="false" outlineLevel="0" collapsed="false">
      <c r="B907" s="61" t="s">
        <v>1312</v>
      </c>
      <c r="C907" s="17" t="s">
        <v>37</v>
      </c>
      <c r="D907" s="61" t="s">
        <v>1262</v>
      </c>
      <c r="E907" s="61" t="s">
        <v>1301</v>
      </c>
      <c r="F907" s="26" t="s">
        <v>1089</v>
      </c>
      <c r="G907" s="108" t="s">
        <v>573</v>
      </c>
      <c r="H907" s="26" t="s">
        <v>1302</v>
      </c>
      <c r="I907" s="14" t="s">
        <v>43</v>
      </c>
      <c r="J907" s="14"/>
      <c r="K907" s="27"/>
      <c r="L907" s="27"/>
      <c r="M907" s="61" t="s">
        <v>1303</v>
      </c>
      <c r="N907" s="61" t="s">
        <v>1308</v>
      </c>
      <c r="O907" s="61" t="s">
        <v>465</v>
      </c>
      <c r="P907" s="61" t="s">
        <v>134</v>
      </c>
      <c r="Q907" s="61" t="s">
        <v>143</v>
      </c>
      <c r="R907" s="16" t="n">
        <v>2700</v>
      </c>
      <c r="S907" s="16" t="n">
        <v>5700</v>
      </c>
      <c r="T907" s="16" t="n">
        <v>0</v>
      </c>
      <c r="U907" s="1" t="str">
        <f aca="false">D907&amp;"-"&amp;E907&amp;"-"&amp;M907&amp;"-"&amp;O907&amp;"-"&amp;P907&amp;"-"&amp;Q907</f>
        <v>ELOMI-SACHI UW SIDE SUPPORT BRA-EL4350-SKIN-34-H</v>
      </c>
    </row>
    <row r="908" customFormat="false" ht="15" hidden="true" customHeight="false" outlineLevel="0" collapsed="false">
      <c r="B908" s="25" t="s">
        <v>1313</v>
      </c>
      <c r="C908" s="17" t="s">
        <v>37</v>
      </c>
      <c r="D908" s="61" t="s">
        <v>1262</v>
      </c>
      <c r="E908" s="61" t="s">
        <v>1301</v>
      </c>
      <c r="F908" s="26" t="s">
        <v>1089</v>
      </c>
      <c r="G908" s="108" t="s">
        <v>573</v>
      </c>
      <c r="H908" s="26" t="s">
        <v>1302</v>
      </c>
      <c r="I908" s="14" t="s">
        <v>43</v>
      </c>
      <c r="J908" s="14"/>
      <c r="K908" s="27"/>
      <c r="L908" s="27"/>
      <c r="M908" s="25" t="s">
        <v>1303</v>
      </c>
      <c r="N908" s="25" t="s">
        <v>1308</v>
      </c>
      <c r="O908" s="61" t="s">
        <v>465</v>
      </c>
      <c r="P908" s="25" t="s">
        <v>134</v>
      </c>
      <c r="Q908" s="25" t="s">
        <v>131</v>
      </c>
      <c r="R908" s="16" t="n">
        <v>2700</v>
      </c>
      <c r="S908" s="16" t="n">
        <v>5700</v>
      </c>
      <c r="T908" s="16" t="n">
        <v>0</v>
      </c>
      <c r="U908" s="1" t="str">
        <f aca="false">D908&amp;"-"&amp;E908&amp;"-"&amp;M908&amp;"-"&amp;O908&amp;"-"&amp;P908&amp;"-"&amp;Q908</f>
        <v>ELOMI-SACHI UW SIDE SUPPORT BRA-EL4350-SKIN-34-HH</v>
      </c>
    </row>
    <row r="909" customFormat="false" ht="15" hidden="true" customHeight="false" outlineLevel="0" collapsed="false">
      <c r="B909" s="25" t="s">
        <v>1314</v>
      </c>
      <c r="C909" s="17" t="s">
        <v>37</v>
      </c>
      <c r="D909" s="61" t="s">
        <v>1262</v>
      </c>
      <c r="E909" s="61" t="s">
        <v>1301</v>
      </c>
      <c r="F909" s="26" t="s">
        <v>1089</v>
      </c>
      <c r="G909" s="108" t="s">
        <v>573</v>
      </c>
      <c r="H909" s="26" t="s">
        <v>1302</v>
      </c>
      <c r="I909" s="14" t="s">
        <v>43</v>
      </c>
      <c r="J909" s="14"/>
      <c r="K909" s="27"/>
      <c r="L909" s="27"/>
      <c r="M909" s="25" t="s">
        <v>1303</v>
      </c>
      <c r="N909" s="25" t="s">
        <v>1308</v>
      </c>
      <c r="O909" s="61" t="s">
        <v>465</v>
      </c>
      <c r="P909" s="25" t="s">
        <v>154</v>
      </c>
      <c r="Q909" s="25" t="s">
        <v>50</v>
      </c>
      <c r="R909" s="16" t="n">
        <v>2700</v>
      </c>
      <c r="S909" s="16" t="n">
        <v>5700</v>
      </c>
      <c r="T909" s="16" t="n">
        <v>1</v>
      </c>
      <c r="U909" s="1" t="str">
        <f aca="false">D909&amp;"-"&amp;E909&amp;"-"&amp;M909&amp;"-"&amp;O909&amp;"-"&amp;P909&amp;"-"&amp;Q909</f>
        <v>ELOMI-SACHI UW SIDE SUPPORT BRA-EL4350-SKIN-38-F</v>
      </c>
    </row>
    <row r="910" customFormat="false" ht="15" hidden="true" customHeight="false" outlineLevel="0" collapsed="false">
      <c r="B910" s="61" t="s">
        <v>1315</v>
      </c>
      <c r="C910" s="17" t="s">
        <v>37</v>
      </c>
      <c r="D910" s="61" t="s">
        <v>1262</v>
      </c>
      <c r="E910" s="61" t="s">
        <v>1301</v>
      </c>
      <c r="F910" s="26" t="s">
        <v>1089</v>
      </c>
      <c r="G910" s="108" t="s">
        <v>573</v>
      </c>
      <c r="H910" s="26" t="s">
        <v>1302</v>
      </c>
      <c r="I910" s="14" t="s">
        <v>43</v>
      </c>
      <c r="J910" s="14"/>
      <c r="K910" s="27"/>
      <c r="L910" s="27"/>
      <c r="M910" s="61" t="s">
        <v>1303</v>
      </c>
      <c r="N910" s="61" t="s">
        <v>1308</v>
      </c>
      <c r="O910" s="61" t="s">
        <v>465</v>
      </c>
      <c r="P910" s="61" t="s">
        <v>154</v>
      </c>
      <c r="Q910" s="61" t="s">
        <v>105</v>
      </c>
      <c r="R910" s="16" t="n">
        <v>2700</v>
      </c>
      <c r="S910" s="16" t="n">
        <v>5700</v>
      </c>
      <c r="T910" s="16" t="n">
        <v>0</v>
      </c>
      <c r="U910" s="1" t="str">
        <f aca="false">D910&amp;"-"&amp;E910&amp;"-"&amp;M910&amp;"-"&amp;O910&amp;"-"&amp;P910&amp;"-"&amp;Q910</f>
        <v>ELOMI-SACHI UW SIDE SUPPORT BRA-EL4350-SKIN-38-G</v>
      </c>
    </row>
    <row r="911" customFormat="false" ht="15" hidden="true" customHeight="false" outlineLevel="0" collapsed="false">
      <c r="B911" s="25" t="s">
        <v>1316</v>
      </c>
      <c r="C911" s="17" t="s">
        <v>37</v>
      </c>
      <c r="D911" s="61" t="s">
        <v>1262</v>
      </c>
      <c r="E911" s="61" t="s">
        <v>1301</v>
      </c>
      <c r="F911" s="26" t="s">
        <v>1089</v>
      </c>
      <c r="G911" s="108" t="s">
        <v>573</v>
      </c>
      <c r="H911" s="26" t="s">
        <v>1302</v>
      </c>
      <c r="I911" s="14" t="s">
        <v>43</v>
      </c>
      <c r="J911" s="14"/>
      <c r="K911" s="27"/>
      <c r="L911" s="27"/>
      <c r="M911" s="25" t="s">
        <v>1303</v>
      </c>
      <c r="N911" s="25" t="s">
        <v>1308</v>
      </c>
      <c r="O911" s="61" t="s">
        <v>465</v>
      </c>
      <c r="P911" s="25" t="s">
        <v>417</v>
      </c>
      <c r="Q911" s="25" t="s">
        <v>50</v>
      </c>
      <c r="R911" s="16" t="n">
        <v>2700</v>
      </c>
      <c r="S911" s="16" t="n">
        <v>5700</v>
      </c>
      <c r="T911" s="16" t="n">
        <v>1</v>
      </c>
      <c r="U911" s="1" t="str">
        <f aca="false">D911&amp;"-"&amp;E911&amp;"-"&amp;M911&amp;"-"&amp;O911&amp;"-"&amp;P911&amp;"-"&amp;Q911</f>
        <v>ELOMI-SACHI UW SIDE SUPPORT BRA-EL4350-SKIN-40-F</v>
      </c>
    </row>
    <row r="912" customFormat="false" ht="15" hidden="true" customHeight="false" outlineLevel="0" collapsed="false">
      <c r="B912" s="61" t="s">
        <v>1317</v>
      </c>
      <c r="C912" s="17" t="s">
        <v>37</v>
      </c>
      <c r="D912" s="61" t="s">
        <v>1262</v>
      </c>
      <c r="E912" s="61" t="s">
        <v>1301</v>
      </c>
      <c r="F912" s="26" t="s">
        <v>1089</v>
      </c>
      <c r="G912" s="108" t="s">
        <v>573</v>
      </c>
      <c r="H912" s="26" t="s">
        <v>1302</v>
      </c>
      <c r="I912" s="14" t="s">
        <v>43</v>
      </c>
      <c r="J912" s="14"/>
      <c r="K912" s="27"/>
      <c r="L912" s="27"/>
      <c r="M912" s="61" t="s">
        <v>1303</v>
      </c>
      <c r="N912" s="61" t="s">
        <v>1308</v>
      </c>
      <c r="O912" s="61" t="s">
        <v>465</v>
      </c>
      <c r="P912" s="61" t="s">
        <v>417</v>
      </c>
      <c r="Q912" s="61" t="s">
        <v>143</v>
      </c>
      <c r="R912" s="16" t="n">
        <v>2700</v>
      </c>
      <c r="S912" s="16" t="n">
        <v>5700</v>
      </c>
      <c r="T912" s="16" t="n">
        <v>1</v>
      </c>
      <c r="U912" s="1" t="str">
        <f aca="false">D912&amp;"-"&amp;E912&amp;"-"&amp;M912&amp;"-"&amp;O912&amp;"-"&amp;P912&amp;"-"&amp;Q912</f>
        <v>ELOMI-SACHI UW SIDE SUPPORT BRA-EL4350-SKIN-40-H</v>
      </c>
    </row>
    <row r="913" customFormat="false" ht="15" hidden="true" customHeight="false" outlineLevel="0" collapsed="false">
      <c r="B913" s="61" t="s">
        <v>1318</v>
      </c>
      <c r="C913" s="17" t="s">
        <v>37</v>
      </c>
      <c r="D913" s="61" t="s">
        <v>1262</v>
      </c>
      <c r="E913" s="61" t="s">
        <v>1301</v>
      </c>
      <c r="F913" s="26" t="s">
        <v>1089</v>
      </c>
      <c r="G913" s="108" t="s">
        <v>573</v>
      </c>
      <c r="H913" s="26" t="s">
        <v>1302</v>
      </c>
      <c r="I913" s="14" t="s">
        <v>43</v>
      </c>
      <c r="J913" s="14"/>
      <c r="K913" s="27"/>
      <c r="L913" s="27"/>
      <c r="M913" s="61" t="s">
        <v>1303</v>
      </c>
      <c r="N913" s="61" t="s">
        <v>76</v>
      </c>
      <c r="O913" s="61" t="s">
        <v>77</v>
      </c>
      <c r="P913" s="61" t="s">
        <v>154</v>
      </c>
      <c r="Q913" s="61" t="s">
        <v>50</v>
      </c>
      <c r="R913" s="16" t="n">
        <v>2688</v>
      </c>
      <c r="S913" s="16" t="n">
        <v>5700</v>
      </c>
      <c r="T913" s="16" t="n">
        <v>0</v>
      </c>
      <c r="U913" s="1" t="str">
        <f aca="false">D913&amp;"-"&amp;E913&amp;"-"&amp;M913&amp;"-"&amp;O913&amp;"-"&amp;P913&amp;"-"&amp;Q913</f>
        <v>ELOMI-SACHI UW SIDE SUPPORT BRA-EL4350-BLACK-38-F</v>
      </c>
    </row>
    <row r="914" customFormat="false" ht="15" hidden="true" customHeight="false" outlineLevel="0" collapsed="false">
      <c r="B914" s="25" t="s">
        <v>1319</v>
      </c>
      <c r="C914" s="17" t="s">
        <v>37</v>
      </c>
      <c r="D914" s="61" t="s">
        <v>1262</v>
      </c>
      <c r="E914" s="61" t="s">
        <v>1301</v>
      </c>
      <c r="F914" s="26" t="s">
        <v>1089</v>
      </c>
      <c r="G914" s="108" t="s">
        <v>573</v>
      </c>
      <c r="H914" s="26" t="s">
        <v>1302</v>
      </c>
      <c r="I914" s="14" t="s">
        <v>43</v>
      </c>
      <c r="J914" s="14"/>
      <c r="K914" s="27"/>
      <c r="L914" s="27"/>
      <c r="M914" s="25" t="s">
        <v>1303</v>
      </c>
      <c r="N914" s="25" t="s">
        <v>76</v>
      </c>
      <c r="O914" s="61" t="s">
        <v>77</v>
      </c>
      <c r="P914" s="25" t="s">
        <v>417</v>
      </c>
      <c r="Q914" s="25" t="s">
        <v>105</v>
      </c>
      <c r="R914" s="16" t="n">
        <v>2688</v>
      </c>
      <c r="S914" s="16" t="n">
        <v>5700</v>
      </c>
      <c r="T914" s="16" t="n">
        <v>1</v>
      </c>
      <c r="U914" s="1" t="str">
        <f aca="false">D914&amp;"-"&amp;E914&amp;"-"&amp;M914&amp;"-"&amp;O914&amp;"-"&amp;P914&amp;"-"&amp;Q914</f>
        <v>ELOMI-SACHI UW SIDE SUPPORT BRA-EL4350-BLACK-40-G</v>
      </c>
    </row>
    <row r="915" customFormat="false" ht="15" hidden="true" customHeight="false" outlineLevel="0" collapsed="false">
      <c r="B915" s="61" t="s">
        <v>1320</v>
      </c>
      <c r="C915" s="17" t="s">
        <v>37</v>
      </c>
      <c r="D915" s="61" t="s">
        <v>1262</v>
      </c>
      <c r="E915" s="61" t="s">
        <v>1301</v>
      </c>
      <c r="F915" s="26" t="s">
        <v>1089</v>
      </c>
      <c r="G915" s="108" t="s">
        <v>573</v>
      </c>
      <c r="H915" s="26" t="s">
        <v>1302</v>
      </c>
      <c r="I915" s="14" t="s">
        <v>43</v>
      </c>
      <c r="J915" s="14"/>
      <c r="K915" s="27"/>
      <c r="L915" s="27"/>
      <c r="M915" s="61" t="s">
        <v>1303</v>
      </c>
      <c r="N915" s="61" t="s">
        <v>76</v>
      </c>
      <c r="O915" s="61" t="s">
        <v>77</v>
      </c>
      <c r="P915" s="61" t="s">
        <v>440</v>
      </c>
      <c r="Q915" s="61" t="s">
        <v>66</v>
      </c>
      <c r="R915" s="16" t="n">
        <v>2688</v>
      </c>
      <c r="S915" s="16" t="n">
        <v>5700</v>
      </c>
      <c r="T915" s="16" t="n">
        <v>1</v>
      </c>
      <c r="U915" s="1" t="str">
        <f aca="false">D915&amp;"-"&amp;E915&amp;"-"&amp;M915&amp;"-"&amp;O915&amp;"-"&amp;P915&amp;"-"&amp;Q915</f>
        <v>ELOMI-SACHI UW SIDE SUPPORT BRA-EL4350-BLACK-42-E</v>
      </c>
    </row>
    <row r="916" customFormat="false" ht="15" hidden="true" customHeight="false" outlineLevel="0" collapsed="false">
      <c r="B916" s="25" t="s">
        <v>1321</v>
      </c>
      <c r="C916" s="17" t="s">
        <v>37</v>
      </c>
      <c r="D916" s="61" t="s">
        <v>1262</v>
      </c>
      <c r="E916" s="61" t="s">
        <v>1301</v>
      </c>
      <c r="F916" s="26" t="s">
        <v>1089</v>
      </c>
      <c r="G916" s="108" t="s">
        <v>573</v>
      </c>
      <c r="H916" s="26" t="s">
        <v>1302</v>
      </c>
      <c r="I916" s="14" t="s">
        <v>43</v>
      </c>
      <c r="J916" s="14"/>
      <c r="K916" s="27"/>
      <c r="L916" s="27"/>
      <c r="M916" s="25" t="s">
        <v>1303</v>
      </c>
      <c r="N916" s="25" t="s">
        <v>76</v>
      </c>
      <c r="O916" s="61" t="s">
        <v>77</v>
      </c>
      <c r="P916" s="25" t="s">
        <v>440</v>
      </c>
      <c r="Q916" s="25" t="s">
        <v>50</v>
      </c>
      <c r="R916" s="16" t="n">
        <v>2688</v>
      </c>
      <c r="S916" s="16" t="n">
        <v>5700</v>
      </c>
      <c r="T916" s="16" t="n">
        <v>1</v>
      </c>
      <c r="U916" s="1" t="str">
        <f aca="false">D916&amp;"-"&amp;E916&amp;"-"&amp;M916&amp;"-"&amp;O916&amp;"-"&amp;P916&amp;"-"&amp;Q916</f>
        <v>ELOMI-SACHI UW SIDE SUPPORT BRA-EL4350-BLACK-42-F</v>
      </c>
    </row>
    <row r="917" customFormat="false" ht="15" hidden="true" customHeight="false" outlineLevel="0" collapsed="false">
      <c r="B917" s="61" t="s">
        <v>1322</v>
      </c>
      <c r="C917" s="17" t="s">
        <v>37</v>
      </c>
      <c r="D917" s="61" t="s">
        <v>1262</v>
      </c>
      <c r="E917" s="61" t="s">
        <v>1301</v>
      </c>
      <c r="F917" s="26" t="s">
        <v>1089</v>
      </c>
      <c r="G917" s="108" t="s">
        <v>573</v>
      </c>
      <c r="H917" s="26" t="s">
        <v>1302</v>
      </c>
      <c r="I917" s="14" t="s">
        <v>43</v>
      </c>
      <c r="J917" s="14"/>
      <c r="K917" s="27"/>
      <c r="L917" s="27"/>
      <c r="M917" s="61" t="s">
        <v>1303</v>
      </c>
      <c r="N917" s="61" t="s">
        <v>76</v>
      </c>
      <c r="O917" s="61" t="s">
        <v>77</v>
      </c>
      <c r="P917" s="61" t="s">
        <v>449</v>
      </c>
      <c r="Q917" s="61" t="s">
        <v>50</v>
      </c>
      <c r="R917" s="16" t="n">
        <v>2688</v>
      </c>
      <c r="S917" s="16" t="n">
        <v>5700</v>
      </c>
      <c r="T917" s="16" t="n">
        <v>0</v>
      </c>
      <c r="U917" s="1" t="str">
        <f aca="false">D917&amp;"-"&amp;E917&amp;"-"&amp;M917&amp;"-"&amp;O917&amp;"-"&amp;P917&amp;"-"&amp;Q917</f>
        <v>ELOMI-SACHI UW SIDE SUPPORT BRA-EL4350-BLACK-44-F</v>
      </c>
    </row>
    <row r="918" customFormat="false" ht="15" hidden="true" customHeight="false" outlineLevel="0" collapsed="false">
      <c r="B918" s="103" t="s">
        <v>1323</v>
      </c>
      <c r="C918" s="20" t="s">
        <v>37</v>
      </c>
      <c r="D918" s="103" t="s">
        <v>1262</v>
      </c>
      <c r="E918" s="103" t="s">
        <v>1324</v>
      </c>
      <c r="F918" s="14" t="s">
        <v>1325</v>
      </c>
      <c r="G918" s="26" t="s">
        <v>41</v>
      </c>
      <c r="H918" s="26" t="s">
        <v>70</v>
      </c>
      <c r="I918" s="26" t="s">
        <v>43</v>
      </c>
      <c r="J918" s="26"/>
      <c r="K918" s="27"/>
      <c r="L918" s="27"/>
      <c r="M918" s="103" t="s">
        <v>1326</v>
      </c>
      <c r="N918" s="103" t="s">
        <v>1308</v>
      </c>
      <c r="O918" s="103" t="s">
        <v>465</v>
      </c>
      <c r="P918" s="103" t="s">
        <v>92</v>
      </c>
      <c r="Q918" s="103" t="s">
        <v>131</v>
      </c>
      <c r="R918" s="16" t="n">
        <v>2880</v>
      </c>
      <c r="S918" s="16" t="n">
        <v>5700</v>
      </c>
      <c r="T918" s="111" t="n">
        <v>1</v>
      </c>
      <c r="U918" s="1" t="str">
        <f aca="false">D918&amp;"-"&amp;E918&amp;"-"&amp;M918&amp;"-"&amp;O918&amp;"-"&amp;P918&amp;"-"&amp;Q918</f>
        <v>ELOMI-MATILDA UW J HOOK BRA-EL8900-SKIN-32-HH</v>
      </c>
      <c r="W918" s="1" t="s">
        <v>113</v>
      </c>
    </row>
    <row r="919" customFormat="false" ht="15" hidden="true" customHeight="false" outlineLevel="0" collapsed="false">
      <c r="B919" s="61" t="s">
        <v>1327</v>
      </c>
      <c r="C919" s="17" t="s">
        <v>37</v>
      </c>
      <c r="D919" s="61" t="s">
        <v>1262</v>
      </c>
      <c r="E919" s="61" t="s">
        <v>1324</v>
      </c>
      <c r="F919" s="14" t="s">
        <v>1325</v>
      </c>
      <c r="G919" s="26" t="s">
        <v>41</v>
      </c>
      <c r="H919" s="26" t="s">
        <v>70</v>
      </c>
      <c r="I919" s="26" t="s">
        <v>43</v>
      </c>
      <c r="J919" s="26"/>
      <c r="K919" s="27"/>
      <c r="L919" s="27"/>
      <c r="M919" s="61" t="s">
        <v>1326</v>
      </c>
      <c r="N919" s="61" t="s">
        <v>1308</v>
      </c>
      <c r="O919" s="61" t="s">
        <v>465</v>
      </c>
      <c r="P919" s="61" t="s">
        <v>92</v>
      </c>
      <c r="Q919" s="61" t="s">
        <v>238</v>
      </c>
      <c r="R919" s="16" t="n">
        <v>2880</v>
      </c>
      <c r="S919" s="16" t="n">
        <v>5700</v>
      </c>
      <c r="T919" s="112" t="s">
        <v>831</v>
      </c>
      <c r="U919" s="1" t="str">
        <f aca="false">D919&amp;"-"&amp;E919&amp;"-"&amp;M919&amp;"-"&amp;O919&amp;"-"&amp;P919&amp;"-"&amp;Q919</f>
        <v>ELOMI-MATILDA UW J HOOK BRA-EL8900-SKIN-32-J</v>
      </c>
      <c r="W919" s="1" t="s">
        <v>113</v>
      </c>
    </row>
    <row r="920" customFormat="false" ht="15" hidden="true" customHeight="false" outlineLevel="0" collapsed="false">
      <c r="B920" s="113" t="s">
        <v>1328</v>
      </c>
      <c r="C920" s="17" t="s">
        <v>37</v>
      </c>
      <c r="D920" s="61" t="s">
        <v>1262</v>
      </c>
      <c r="E920" s="113" t="s">
        <v>1324</v>
      </c>
      <c r="F920" s="14" t="s">
        <v>1325</v>
      </c>
      <c r="G920" s="26" t="s">
        <v>41</v>
      </c>
      <c r="H920" s="26" t="s">
        <v>70</v>
      </c>
      <c r="I920" s="26" t="s">
        <v>43</v>
      </c>
      <c r="J920" s="26"/>
      <c r="K920" s="27"/>
      <c r="L920" s="27"/>
      <c r="M920" s="113" t="s">
        <v>1326</v>
      </c>
      <c r="N920" s="61" t="s">
        <v>1308</v>
      </c>
      <c r="O920" s="61" t="s">
        <v>465</v>
      </c>
      <c r="P920" s="25" t="s">
        <v>134</v>
      </c>
      <c r="Q920" s="113" t="s">
        <v>131</v>
      </c>
      <c r="R920" s="114" t="n">
        <v>2880</v>
      </c>
      <c r="S920" s="16" t="n">
        <v>5700</v>
      </c>
      <c r="T920" s="115" t="n">
        <v>0</v>
      </c>
      <c r="U920" s="1" t="str">
        <f aca="false">D920&amp;"-"&amp;E920&amp;"-"&amp;M920&amp;"-"&amp;O920&amp;"-"&amp;P920&amp;"-"&amp;Q920</f>
        <v>ELOMI-MATILDA UW J HOOK BRA-EL8900-SKIN-34-HH</v>
      </c>
      <c r="W920" s="1" t="s">
        <v>113</v>
      </c>
    </row>
    <row r="921" customFormat="false" ht="15" hidden="true" customHeight="false" outlineLevel="0" collapsed="false">
      <c r="B921" s="25" t="s">
        <v>1329</v>
      </c>
      <c r="C921" s="17" t="s">
        <v>37</v>
      </c>
      <c r="D921" s="61" t="s">
        <v>1262</v>
      </c>
      <c r="E921" s="61" t="s">
        <v>1324</v>
      </c>
      <c r="F921" s="14" t="s">
        <v>1325</v>
      </c>
      <c r="G921" s="26" t="s">
        <v>41</v>
      </c>
      <c r="H921" s="26" t="s">
        <v>70</v>
      </c>
      <c r="I921" s="26" t="s">
        <v>43</v>
      </c>
      <c r="J921" s="26"/>
      <c r="K921" s="27"/>
      <c r="L921" s="27"/>
      <c r="M921" s="25" t="s">
        <v>1326</v>
      </c>
      <c r="N921" s="25" t="s">
        <v>1308</v>
      </c>
      <c r="O921" s="61" t="s">
        <v>465</v>
      </c>
      <c r="P921" s="25" t="s">
        <v>134</v>
      </c>
      <c r="Q921" s="25" t="s">
        <v>238</v>
      </c>
      <c r="R921" s="16" t="n">
        <v>2880</v>
      </c>
      <c r="S921" s="16" t="n">
        <v>5700</v>
      </c>
      <c r="T921" s="111" t="n">
        <v>1</v>
      </c>
      <c r="U921" s="1" t="str">
        <f aca="false">D921&amp;"-"&amp;E921&amp;"-"&amp;M921&amp;"-"&amp;O921&amp;"-"&amp;P921&amp;"-"&amp;Q921</f>
        <v>ELOMI-MATILDA UW J HOOK BRA-EL8900-SKIN-34-J</v>
      </c>
      <c r="W921" s="1" t="s">
        <v>113</v>
      </c>
    </row>
    <row r="922" customFormat="false" ht="15" hidden="true" customHeight="false" outlineLevel="0" collapsed="false">
      <c r="B922" s="113" t="s">
        <v>1330</v>
      </c>
      <c r="C922" s="17" t="s">
        <v>37</v>
      </c>
      <c r="D922" s="61" t="s">
        <v>1262</v>
      </c>
      <c r="E922" s="113" t="s">
        <v>1324</v>
      </c>
      <c r="F922" s="14" t="s">
        <v>1325</v>
      </c>
      <c r="G922" s="26" t="s">
        <v>41</v>
      </c>
      <c r="H922" s="26" t="s">
        <v>70</v>
      </c>
      <c r="I922" s="26" t="s">
        <v>43</v>
      </c>
      <c r="J922" s="26"/>
      <c r="K922" s="27"/>
      <c r="L922" s="27"/>
      <c r="M922" s="113" t="s">
        <v>1326</v>
      </c>
      <c r="N922" s="113" t="s">
        <v>1308</v>
      </c>
      <c r="O922" s="61" t="s">
        <v>465</v>
      </c>
      <c r="P922" s="113" t="s">
        <v>65</v>
      </c>
      <c r="Q922" s="113" t="s">
        <v>50</v>
      </c>
      <c r="R922" s="114" t="n">
        <v>2880</v>
      </c>
      <c r="S922" s="16" t="n">
        <v>5700</v>
      </c>
      <c r="T922" s="115" t="n">
        <v>1</v>
      </c>
      <c r="U922" s="1" t="str">
        <f aca="false">D922&amp;"-"&amp;E922&amp;"-"&amp;M922&amp;"-"&amp;O922&amp;"-"&amp;P922&amp;"-"&amp;Q922</f>
        <v>ELOMI-MATILDA UW J HOOK BRA-EL8900-SKIN-36-F</v>
      </c>
      <c r="W922" s="1" t="s">
        <v>113</v>
      </c>
    </row>
    <row r="923" customFormat="false" ht="15" hidden="true" customHeight="false" outlineLevel="0" collapsed="false">
      <c r="B923" s="113" t="s">
        <v>1331</v>
      </c>
      <c r="C923" s="17" t="s">
        <v>37</v>
      </c>
      <c r="D923" s="61" t="s">
        <v>1262</v>
      </c>
      <c r="E923" s="113" t="s">
        <v>1324</v>
      </c>
      <c r="F923" s="14" t="s">
        <v>1325</v>
      </c>
      <c r="G923" s="26" t="s">
        <v>41</v>
      </c>
      <c r="H923" s="26" t="s">
        <v>70</v>
      </c>
      <c r="I923" s="26" t="s">
        <v>43</v>
      </c>
      <c r="J923" s="26"/>
      <c r="K923" s="27"/>
      <c r="L923" s="27"/>
      <c r="M923" s="113" t="s">
        <v>1326</v>
      </c>
      <c r="N923" s="113" t="s">
        <v>1308</v>
      </c>
      <c r="O923" s="61" t="s">
        <v>465</v>
      </c>
      <c r="P923" s="113" t="s">
        <v>154</v>
      </c>
      <c r="Q923" s="113" t="s">
        <v>50</v>
      </c>
      <c r="R923" s="16" t="n">
        <v>2880</v>
      </c>
      <c r="S923" s="16" t="n">
        <v>5700</v>
      </c>
      <c r="T923" s="115" t="n">
        <v>1</v>
      </c>
      <c r="U923" s="1" t="str">
        <f aca="false">D923&amp;"-"&amp;E923&amp;"-"&amp;M923&amp;"-"&amp;O923&amp;"-"&amp;P923&amp;"-"&amp;Q923</f>
        <v>ELOMI-MATILDA UW J HOOK BRA-EL8900-SKIN-38-F</v>
      </c>
      <c r="W923" s="1" t="s">
        <v>113</v>
      </c>
    </row>
    <row r="924" customFormat="false" ht="15" hidden="true" customHeight="false" outlineLevel="0" collapsed="false">
      <c r="B924" s="113" t="s">
        <v>1332</v>
      </c>
      <c r="C924" s="17" t="s">
        <v>37</v>
      </c>
      <c r="D924" s="61" t="s">
        <v>1262</v>
      </c>
      <c r="E924" s="113" t="s">
        <v>1324</v>
      </c>
      <c r="F924" s="14" t="s">
        <v>1325</v>
      </c>
      <c r="G924" s="26" t="s">
        <v>41</v>
      </c>
      <c r="H924" s="26" t="s">
        <v>70</v>
      </c>
      <c r="I924" s="26" t="s">
        <v>43</v>
      </c>
      <c r="J924" s="26"/>
      <c r="K924" s="27"/>
      <c r="L924" s="27"/>
      <c r="M924" s="113" t="s">
        <v>1326</v>
      </c>
      <c r="N924" s="113" t="s">
        <v>1308</v>
      </c>
      <c r="O924" s="61" t="s">
        <v>465</v>
      </c>
      <c r="P924" s="113" t="s">
        <v>154</v>
      </c>
      <c r="Q924" s="113" t="s">
        <v>62</v>
      </c>
      <c r="R924" s="16" t="n">
        <v>2880</v>
      </c>
      <c r="S924" s="16" t="n">
        <v>5700</v>
      </c>
      <c r="T924" s="115" t="n">
        <v>1</v>
      </c>
      <c r="U924" s="1" t="str">
        <f aca="false">D924&amp;"-"&amp;E924&amp;"-"&amp;M924&amp;"-"&amp;O924&amp;"-"&amp;P924&amp;"-"&amp;Q924</f>
        <v>ELOMI-MATILDA UW J HOOK BRA-EL8900-SKIN-38-FF</v>
      </c>
      <c r="W924" s="1" t="s">
        <v>113</v>
      </c>
    </row>
    <row r="925" customFormat="false" ht="15" hidden="true" customHeight="false" outlineLevel="0" collapsed="false">
      <c r="B925" s="113" t="s">
        <v>1333</v>
      </c>
      <c r="C925" s="17" t="s">
        <v>37</v>
      </c>
      <c r="D925" s="61" t="s">
        <v>1262</v>
      </c>
      <c r="E925" s="113" t="s">
        <v>1324</v>
      </c>
      <c r="F925" s="14" t="s">
        <v>1325</v>
      </c>
      <c r="G925" s="26" t="s">
        <v>41</v>
      </c>
      <c r="H925" s="26" t="s">
        <v>70</v>
      </c>
      <c r="I925" s="26" t="s">
        <v>43</v>
      </c>
      <c r="J925" s="26"/>
      <c r="K925" s="27"/>
      <c r="L925" s="27"/>
      <c r="M925" s="113" t="s">
        <v>1326</v>
      </c>
      <c r="N925" s="113" t="s">
        <v>1308</v>
      </c>
      <c r="O925" s="61" t="s">
        <v>465</v>
      </c>
      <c r="P925" s="113" t="s">
        <v>154</v>
      </c>
      <c r="Q925" s="113" t="s">
        <v>105</v>
      </c>
      <c r="R925" s="16" t="n">
        <v>2880</v>
      </c>
      <c r="S925" s="16" t="n">
        <v>5700</v>
      </c>
      <c r="T925" s="115" t="n">
        <v>1</v>
      </c>
      <c r="U925" s="1" t="str">
        <f aca="false">D925&amp;"-"&amp;E925&amp;"-"&amp;M925&amp;"-"&amp;O925&amp;"-"&amp;P925&amp;"-"&amp;Q925</f>
        <v>ELOMI-MATILDA UW J HOOK BRA-EL8900-SKIN-38-G</v>
      </c>
      <c r="W925" s="1" t="s">
        <v>113</v>
      </c>
    </row>
    <row r="926" customFormat="false" ht="15" hidden="true" customHeight="false" outlineLevel="0" collapsed="false">
      <c r="B926" s="113" t="s">
        <v>1334</v>
      </c>
      <c r="C926" s="17" t="s">
        <v>37</v>
      </c>
      <c r="D926" s="61" t="s">
        <v>1262</v>
      </c>
      <c r="E926" s="113" t="s">
        <v>1324</v>
      </c>
      <c r="F926" s="14" t="s">
        <v>1325</v>
      </c>
      <c r="G926" s="26" t="s">
        <v>41</v>
      </c>
      <c r="H926" s="26" t="s">
        <v>70</v>
      </c>
      <c r="I926" s="26" t="s">
        <v>43</v>
      </c>
      <c r="J926" s="26"/>
      <c r="K926" s="27"/>
      <c r="L926" s="27"/>
      <c r="M926" s="113" t="s">
        <v>1326</v>
      </c>
      <c r="N926" s="113" t="s">
        <v>1308</v>
      </c>
      <c r="O926" s="61" t="s">
        <v>77</v>
      </c>
      <c r="P926" s="113" t="s">
        <v>154</v>
      </c>
      <c r="Q926" s="113" t="s">
        <v>143</v>
      </c>
      <c r="R926" s="16" t="n">
        <v>2880</v>
      </c>
      <c r="S926" s="16" t="n">
        <v>5700</v>
      </c>
      <c r="T926" s="115" t="n">
        <v>1</v>
      </c>
      <c r="U926" s="1" t="str">
        <f aca="false">D926&amp;"-"&amp;E926&amp;"-"&amp;M926&amp;"-"&amp;O926&amp;"-"&amp;P926&amp;"-"&amp;Q926</f>
        <v>ELOMI-MATILDA UW J HOOK BRA-EL8900-BLACK-38-H</v>
      </c>
      <c r="W926" s="1" t="s">
        <v>113</v>
      </c>
    </row>
    <row r="927" customFormat="false" ht="15" hidden="true" customHeight="false" outlineLevel="0" collapsed="false">
      <c r="B927" s="113" t="s">
        <v>1335</v>
      </c>
      <c r="C927" s="17" t="s">
        <v>37</v>
      </c>
      <c r="D927" s="61" t="s">
        <v>1262</v>
      </c>
      <c r="E927" s="113" t="s">
        <v>1324</v>
      </c>
      <c r="F927" s="14" t="s">
        <v>1325</v>
      </c>
      <c r="G927" s="26" t="s">
        <v>41</v>
      </c>
      <c r="H927" s="26" t="s">
        <v>70</v>
      </c>
      <c r="I927" s="26" t="s">
        <v>43</v>
      </c>
      <c r="J927" s="26"/>
      <c r="K927" s="27"/>
      <c r="L927" s="27"/>
      <c r="M927" s="113" t="s">
        <v>1326</v>
      </c>
      <c r="N927" s="113" t="s">
        <v>1308</v>
      </c>
      <c r="O927" s="61" t="s">
        <v>465</v>
      </c>
      <c r="P927" s="113" t="s">
        <v>154</v>
      </c>
      <c r="Q927" s="113" t="s">
        <v>129</v>
      </c>
      <c r="R927" s="114" t="n">
        <v>2880</v>
      </c>
      <c r="S927" s="16" t="n">
        <v>5700</v>
      </c>
      <c r="T927" s="115" t="n">
        <v>1</v>
      </c>
      <c r="U927" s="1" t="str">
        <f aca="false">D927&amp;"-"&amp;E927&amp;"-"&amp;M927&amp;"-"&amp;O927&amp;"-"&amp;P927&amp;"-"&amp;Q927</f>
        <v>ELOMI-MATILDA UW J HOOK BRA-EL8900-SKIN-38-GG</v>
      </c>
      <c r="W927" s="1" t="s">
        <v>113</v>
      </c>
    </row>
    <row r="928" customFormat="false" ht="15" hidden="true" customHeight="false" outlineLevel="0" collapsed="false">
      <c r="B928" s="61" t="s">
        <v>1336</v>
      </c>
      <c r="C928" s="17" t="s">
        <v>37</v>
      </c>
      <c r="D928" s="61" t="s">
        <v>1262</v>
      </c>
      <c r="E928" s="61" t="s">
        <v>1324</v>
      </c>
      <c r="F928" s="14" t="s">
        <v>1325</v>
      </c>
      <c r="G928" s="26" t="s">
        <v>41</v>
      </c>
      <c r="H928" s="26" t="s">
        <v>70</v>
      </c>
      <c r="I928" s="26" t="s">
        <v>43</v>
      </c>
      <c r="J928" s="26"/>
      <c r="K928" s="27"/>
      <c r="L928" s="27"/>
      <c r="M928" s="61" t="s">
        <v>1326</v>
      </c>
      <c r="N928" s="61" t="s">
        <v>1308</v>
      </c>
      <c r="O928" s="61" t="s">
        <v>465</v>
      </c>
      <c r="P928" s="61" t="s">
        <v>154</v>
      </c>
      <c r="Q928" s="61" t="s">
        <v>131</v>
      </c>
      <c r="R928" s="16" t="n">
        <v>2880</v>
      </c>
      <c r="S928" s="16" t="n">
        <v>5700</v>
      </c>
      <c r="T928" s="111" t="n">
        <v>1</v>
      </c>
      <c r="U928" s="1" t="str">
        <f aca="false">D928&amp;"-"&amp;E928&amp;"-"&amp;M928&amp;"-"&amp;O928&amp;"-"&amp;P928&amp;"-"&amp;Q928</f>
        <v>ELOMI-MATILDA UW J HOOK BRA-EL8900-SKIN-38-HH</v>
      </c>
      <c r="W928" s="1" t="s">
        <v>113</v>
      </c>
    </row>
    <row r="929" customFormat="false" ht="15" hidden="true" customHeight="false" outlineLevel="0" collapsed="false">
      <c r="B929" s="25" t="s">
        <v>1337</v>
      </c>
      <c r="C929" s="17" t="s">
        <v>37</v>
      </c>
      <c r="D929" s="61" t="s">
        <v>1262</v>
      </c>
      <c r="E929" s="61" t="s">
        <v>1324</v>
      </c>
      <c r="F929" s="14" t="s">
        <v>1325</v>
      </c>
      <c r="G929" s="26" t="s">
        <v>41</v>
      </c>
      <c r="H929" s="26" t="s">
        <v>70</v>
      </c>
      <c r="I929" s="26" t="s">
        <v>43</v>
      </c>
      <c r="J929" s="26"/>
      <c r="K929" s="27"/>
      <c r="L929" s="27"/>
      <c r="M929" s="61" t="s">
        <v>1326</v>
      </c>
      <c r="N929" s="25" t="s">
        <v>1308</v>
      </c>
      <c r="O929" s="61" t="s">
        <v>465</v>
      </c>
      <c r="P929" s="61" t="s">
        <v>92</v>
      </c>
      <c r="Q929" s="25" t="s">
        <v>105</v>
      </c>
      <c r="R929" s="16" t="n">
        <v>2772</v>
      </c>
      <c r="S929" s="16" t="n">
        <v>5700</v>
      </c>
      <c r="T929" s="111" t="n">
        <v>0</v>
      </c>
      <c r="U929" s="1" t="str">
        <f aca="false">D929&amp;"-"&amp;E929&amp;"-"&amp;M929&amp;"-"&amp;O929&amp;"-"&amp;P929&amp;"-"&amp;Q929</f>
        <v>ELOMI-MATILDA UW J HOOK BRA-EL8900-SKIN-32-G</v>
      </c>
      <c r="W929" s="1" t="s">
        <v>113</v>
      </c>
    </row>
    <row r="930" customFormat="false" ht="15" hidden="true" customHeight="false" outlineLevel="0" collapsed="false">
      <c r="B930" s="113" t="s">
        <v>1338</v>
      </c>
      <c r="C930" s="17" t="s">
        <v>37</v>
      </c>
      <c r="D930" s="61" t="s">
        <v>1262</v>
      </c>
      <c r="E930" s="113" t="s">
        <v>1324</v>
      </c>
      <c r="F930" s="14" t="s">
        <v>1325</v>
      </c>
      <c r="G930" s="26" t="s">
        <v>41</v>
      </c>
      <c r="H930" s="26" t="s">
        <v>70</v>
      </c>
      <c r="I930" s="26" t="s">
        <v>43</v>
      </c>
      <c r="J930" s="26"/>
      <c r="K930" s="27"/>
      <c r="L930" s="27"/>
      <c r="M930" s="113" t="s">
        <v>1326</v>
      </c>
      <c r="N930" s="113" t="s">
        <v>1339</v>
      </c>
      <c r="O930" s="61" t="s">
        <v>1340</v>
      </c>
      <c r="P930" s="113" t="s">
        <v>134</v>
      </c>
      <c r="Q930" s="113" t="s">
        <v>1341</v>
      </c>
      <c r="R930" s="114" t="n">
        <v>2688</v>
      </c>
      <c r="S930" s="16" t="n">
        <v>5700</v>
      </c>
      <c r="T930" s="115" t="n">
        <v>1</v>
      </c>
      <c r="U930" s="1" t="str">
        <f aca="false">D930&amp;"-"&amp;E930&amp;"-"&amp;M930&amp;"-"&amp;O930&amp;"-"&amp;P930&amp;"-"&amp;Q930</f>
        <v>ELOMI-MATILDA UW J HOOK BRA-EL8900-MINT-34-K</v>
      </c>
      <c r="W930" s="1" t="s">
        <v>113</v>
      </c>
    </row>
    <row r="931" customFormat="false" ht="15" hidden="true" customHeight="false" outlineLevel="0" collapsed="false">
      <c r="B931" s="113" t="s">
        <v>1342</v>
      </c>
      <c r="C931" s="17" t="s">
        <v>37</v>
      </c>
      <c r="D931" s="61" t="s">
        <v>1262</v>
      </c>
      <c r="E931" s="113" t="s">
        <v>1324</v>
      </c>
      <c r="F931" s="14" t="s">
        <v>1325</v>
      </c>
      <c r="G931" s="26" t="s">
        <v>41</v>
      </c>
      <c r="H931" s="26" t="s">
        <v>70</v>
      </c>
      <c r="I931" s="26" t="s">
        <v>43</v>
      </c>
      <c r="J931" s="26"/>
      <c r="K931" s="27"/>
      <c r="L931" s="27"/>
      <c r="M931" s="61" t="s">
        <v>1326</v>
      </c>
      <c r="N931" s="113" t="s">
        <v>1339</v>
      </c>
      <c r="O931" s="61" t="s">
        <v>1340</v>
      </c>
      <c r="P931" s="113" t="s">
        <v>417</v>
      </c>
      <c r="Q931" s="113" t="s">
        <v>66</v>
      </c>
      <c r="R931" s="114" t="n">
        <v>2772</v>
      </c>
      <c r="S931" s="16" t="n">
        <v>5700</v>
      </c>
      <c r="T931" s="115" t="n">
        <v>1</v>
      </c>
      <c r="U931" s="1" t="str">
        <f aca="false">D931&amp;"-"&amp;E931&amp;"-"&amp;M931&amp;"-"&amp;O931&amp;"-"&amp;P931&amp;"-"&amp;Q931</f>
        <v>ELOMI-MATILDA UW J HOOK BRA-EL8900-MINT-40-E</v>
      </c>
      <c r="W931" s="1" t="s">
        <v>113</v>
      </c>
    </row>
    <row r="932" customFormat="false" ht="15" hidden="true" customHeight="false" outlineLevel="0" collapsed="false">
      <c r="B932" s="113" t="s">
        <v>1343</v>
      </c>
      <c r="C932" s="17" t="s">
        <v>37</v>
      </c>
      <c r="D932" s="61" t="s">
        <v>1262</v>
      </c>
      <c r="E932" s="113" t="s">
        <v>1324</v>
      </c>
      <c r="F932" s="14" t="s">
        <v>1325</v>
      </c>
      <c r="G932" s="26" t="s">
        <v>41</v>
      </c>
      <c r="H932" s="26" t="s">
        <v>70</v>
      </c>
      <c r="I932" s="26" t="s">
        <v>43</v>
      </c>
      <c r="J932" s="26"/>
      <c r="K932" s="27"/>
      <c r="L932" s="27"/>
      <c r="M932" s="61" t="s">
        <v>1326</v>
      </c>
      <c r="N932" s="113" t="s">
        <v>1339</v>
      </c>
      <c r="O932" s="61" t="s">
        <v>1340</v>
      </c>
      <c r="P932" s="113" t="s">
        <v>417</v>
      </c>
      <c r="Q932" s="113" t="s">
        <v>50</v>
      </c>
      <c r="R932" s="114" t="n">
        <v>2772</v>
      </c>
      <c r="S932" s="16" t="n">
        <v>5700</v>
      </c>
      <c r="T932" s="115" t="n">
        <v>1</v>
      </c>
      <c r="U932" s="1" t="str">
        <f aca="false">D932&amp;"-"&amp;E932&amp;"-"&amp;M932&amp;"-"&amp;O932&amp;"-"&amp;P932&amp;"-"&amp;Q932</f>
        <v>ELOMI-MATILDA UW J HOOK BRA-EL8900-MINT-40-F</v>
      </c>
      <c r="W932" s="1" t="s">
        <v>113</v>
      </c>
    </row>
    <row r="933" customFormat="false" ht="15" hidden="true" customHeight="false" outlineLevel="0" collapsed="false">
      <c r="B933" s="113" t="s">
        <v>1344</v>
      </c>
      <c r="C933" s="17" t="s">
        <v>37</v>
      </c>
      <c r="D933" s="61" t="s">
        <v>1262</v>
      </c>
      <c r="E933" s="113" t="s">
        <v>1324</v>
      </c>
      <c r="F933" s="14" t="s">
        <v>1325</v>
      </c>
      <c r="G933" s="26" t="s">
        <v>41</v>
      </c>
      <c r="H933" s="26" t="s">
        <v>70</v>
      </c>
      <c r="I933" s="26" t="s">
        <v>43</v>
      </c>
      <c r="J933" s="26"/>
      <c r="K933" s="27"/>
      <c r="L933" s="27"/>
      <c r="M933" s="113" t="s">
        <v>1326</v>
      </c>
      <c r="N933" s="113" t="s">
        <v>76</v>
      </c>
      <c r="O933" s="113" t="s">
        <v>77</v>
      </c>
      <c r="P933" s="25" t="s">
        <v>134</v>
      </c>
      <c r="Q933" s="113" t="s">
        <v>131</v>
      </c>
      <c r="R933" s="114" t="n">
        <v>2688</v>
      </c>
      <c r="S933" s="16" t="n">
        <v>5700</v>
      </c>
      <c r="T933" s="115" t="n">
        <v>0</v>
      </c>
      <c r="U933" s="1" t="str">
        <f aca="false">D933&amp;"-"&amp;E933&amp;"-"&amp;M933&amp;"-"&amp;O933&amp;"-"&amp;P933&amp;"-"&amp;Q933</f>
        <v>ELOMI-MATILDA UW J HOOK BRA-EL8900-BLACK-34-HH</v>
      </c>
      <c r="W933" s="1" t="s">
        <v>113</v>
      </c>
    </row>
    <row r="934" customFormat="false" ht="15" hidden="true" customHeight="false" outlineLevel="0" collapsed="false">
      <c r="B934" s="113" t="s">
        <v>1345</v>
      </c>
      <c r="C934" s="17" t="s">
        <v>37</v>
      </c>
      <c r="D934" s="61" t="s">
        <v>1262</v>
      </c>
      <c r="E934" s="113" t="s">
        <v>1324</v>
      </c>
      <c r="F934" s="14" t="s">
        <v>1325</v>
      </c>
      <c r="G934" s="26" t="s">
        <v>41</v>
      </c>
      <c r="H934" s="26" t="s">
        <v>70</v>
      </c>
      <c r="I934" s="26" t="s">
        <v>43</v>
      </c>
      <c r="J934" s="26"/>
      <c r="K934" s="27"/>
      <c r="L934" s="27"/>
      <c r="M934" s="113" t="s">
        <v>1326</v>
      </c>
      <c r="N934" s="113" t="s">
        <v>76</v>
      </c>
      <c r="O934" s="113" t="s">
        <v>77</v>
      </c>
      <c r="P934" s="113" t="s">
        <v>65</v>
      </c>
      <c r="Q934" s="113" t="s">
        <v>143</v>
      </c>
      <c r="R934" s="114" t="n">
        <v>2772</v>
      </c>
      <c r="S934" s="16" t="n">
        <v>5700</v>
      </c>
      <c r="T934" s="115" t="n">
        <v>0</v>
      </c>
      <c r="U934" s="1" t="str">
        <f aca="false">D934&amp;"-"&amp;E934&amp;"-"&amp;M934&amp;"-"&amp;O934&amp;"-"&amp;P934&amp;"-"&amp;Q934</f>
        <v>ELOMI-MATILDA UW J HOOK BRA-EL8900-BLACK-36-H</v>
      </c>
      <c r="W934" s="1" t="s">
        <v>113</v>
      </c>
    </row>
    <row r="935" customFormat="false" ht="15" hidden="true" customHeight="false" outlineLevel="0" collapsed="false">
      <c r="B935" s="113" t="s">
        <v>1346</v>
      </c>
      <c r="C935" s="17" t="s">
        <v>37</v>
      </c>
      <c r="D935" s="61" t="s">
        <v>1262</v>
      </c>
      <c r="E935" s="113" t="s">
        <v>1324</v>
      </c>
      <c r="F935" s="14" t="s">
        <v>1325</v>
      </c>
      <c r="G935" s="26" t="s">
        <v>41</v>
      </c>
      <c r="H935" s="26" t="s">
        <v>70</v>
      </c>
      <c r="I935" s="26" t="s">
        <v>43</v>
      </c>
      <c r="J935" s="26"/>
      <c r="K935" s="27"/>
      <c r="L935" s="27"/>
      <c r="M935" s="113" t="s">
        <v>1326</v>
      </c>
      <c r="N935" s="113" t="s">
        <v>76</v>
      </c>
      <c r="O935" s="113" t="s">
        <v>77</v>
      </c>
      <c r="P935" s="113" t="s">
        <v>417</v>
      </c>
      <c r="Q935" s="113" t="s">
        <v>50</v>
      </c>
      <c r="R935" s="114" t="n">
        <v>2688</v>
      </c>
      <c r="S935" s="16" t="n">
        <v>5700</v>
      </c>
      <c r="T935" s="115" t="n">
        <v>1</v>
      </c>
      <c r="U935" s="1" t="str">
        <f aca="false">D935&amp;"-"&amp;E935&amp;"-"&amp;M935&amp;"-"&amp;O935&amp;"-"&amp;P935&amp;"-"&amp;Q935</f>
        <v>ELOMI-MATILDA UW J HOOK BRA-EL8900-BLACK-40-F</v>
      </c>
      <c r="W935" s="1" t="s">
        <v>113</v>
      </c>
    </row>
    <row r="936" customFormat="false" ht="15" hidden="true" customHeight="false" outlineLevel="0" collapsed="false">
      <c r="B936" s="113" t="s">
        <v>1347</v>
      </c>
      <c r="C936" s="17" t="s">
        <v>37</v>
      </c>
      <c r="D936" s="61" t="s">
        <v>1262</v>
      </c>
      <c r="E936" s="113" t="s">
        <v>1324</v>
      </c>
      <c r="F936" s="14" t="s">
        <v>1325</v>
      </c>
      <c r="G936" s="26" t="s">
        <v>41</v>
      </c>
      <c r="H936" s="26" t="s">
        <v>70</v>
      </c>
      <c r="I936" s="26" t="s">
        <v>43</v>
      </c>
      <c r="J936" s="26"/>
      <c r="K936" s="27"/>
      <c r="L936" s="27"/>
      <c r="M936" s="113" t="s">
        <v>1326</v>
      </c>
      <c r="N936" s="113" t="s">
        <v>76</v>
      </c>
      <c r="O936" s="113" t="s">
        <v>77</v>
      </c>
      <c r="P936" s="113" t="s">
        <v>417</v>
      </c>
      <c r="Q936" s="113" t="s">
        <v>62</v>
      </c>
      <c r="R936" s="114" t="n">
        <v>2688</v>
      </c>
      <c r="S936" s="16" t="n">
        <v>5700</v>
      </c>
      <c r="T936" s="115" t="n">
        <v>1</v>
      </c>
      <c r="U936" s="1" t="str">
        <f aca="false">D936&amp;"-"&amp;E936&amp;"-"&amp;M936&amp;"-"&amp;O936&amp;"-"&amp;P936&amp;"-"&amp;Q936</f>
        <v>ELOMI-MATILDA UW J HOOK BRA-EL8900-BLACK-40-FF</v>
      </c>
      <c r="W936" s="1" t="s">
        <v>113</v>
      </c>
    </row>
    <row r="937" customFormat="false" ht="15" hidden="true" customHeight="false" outlineLevel="0" collapsed="false">
      <c r="B937" s="113" t="s">
        <v>1348</v>
      </c>
      <c r="C937" s="17" t="s">
        <v>37</v>
      </c>
      <c r="D937" s="61" t="s">
        <v>1262</v>
      </c>
      <c r="E937" s="113" t="s">
        <v>1324</v>
      </c>
      <c r="F937" s="14" t="s">
        <v>1325</v>
      </c>
      <c r="G937" s="26" t="s">
        <v>41</v>
      </c>
      <c r="H937" s="26" t="s">
        <v>70</v>
      </c>
      <c r="I937" s="26" t="s">
        <v>43</v>
      </c>
      <c r="J937" s="26"/>
      <c r="K937" s="27"/>
      <c r="L937" s="27"/>
      <c r="M937" s="113" t="s">
        <v>1326</v>
      </c>
      <c r="N937" s="113" t="s">
        <v>76</v>
      </c>
      <c r="O937" s="113" t="s">
        <v>77</v>
      </c>
      <c r="P937" s="113" t="s">
        <v>417</v>
      </c>
      <c r="Q937" s="113" t="s">
        <v>105</v>
      </c>
      <c r="R937" s="114" t="n">
        <v>2688</v>
      </c>
      <c r="S937" s="16" t="n">
        <v>5700</v>
      </c>
      <c r="T937" s="115" t="n">
        <v>1</v>
      </c>
      <c r="U937" s="1" t="str">
        <f aca="false">D937&amp;"-"&amp;E937&amp;"-"&amp;M937&amp;"-"&amp;O937&amp;"-"&amp;P937&amp;"-"&amp;Q937</f>
        <v>ELOMI-MATILDA UW J HOOK BRA-EL8900-BLACK-40-G</v>
      </c>
      <c r="W937" s="1" t="s">
        <v>113</v>
      </c>
    </row>
    <row r="938" customFormat="false" ht="15" hidden="true" customHeight="false" outlineLevel="0" collapsed="false">
      <c r="B938" s="113" t="s">
        <v>1349</v>
      </c>
      <c r="C938" s="17" t="s">
        <v>37</v>
      </c>
      <c r="D938" s="61" t="s">
        <v>1262</v>
      </c>
      <c r="E938" s="113" t="s">
        <v>1324</v>
      </c>
      <c r="F938" s="14" t="s">
        <v>1325</v>
      </c>
      <c r="G938" s="26" t="s">
        <v>41</v>
      </c>
      <c r="H938" s="26" t="s">
        <v>70</v>
      </c>
      <c r="I938" s="26" t="s">
        <v>43</v>
      </c>
      <c r="J938" s="26"/>
      <c r="K938" s="27"/>
      <c r="L938" s="27"/>
      <c r="M938" s="113" t="s">
        <v>1326</v>
      </c>
      <c r="N938" s="113" t="s">
        <v>76</v>
      </c>
      <c r="O938" s="113" t="s">
        <v>77</v>
      </c>
      <c r="P938" s="113" t="s">
        <v>417</v>
      </c>
      <c r="Q938" s="113" t="s">
        <v>129</v>
      </c>
      <c r="R938" s="114" t="n">
        <v>2688</v>
      </c>
      <c r="S938" s="16" t="n">
        <v>5700</v>
      </c>
      <c r="T938" s="115" t="n">
        <v>1</v>
      </c>
      <c r="U938" s="1" t="str">
        <f aca="false">D938&amp;"-"&amp;E938&amp;"-"&amp;M938&amp;"-"&amp;O938&amp;"-"&amp;P938&amp;"-"&amp;Q938</f>
        <v>ELOMI-MATILDA UW J HOOK BRA-EL8900-BLACK-40-GG</v>
      </c>
      <c r="W938" s="1" t="s">
        <v>113</v>
      </c>
    </row>
    <row r="939" customFormat="false" ht="15" hidden="true" customHeight="false" outlineLevel="0" collapsed="false">
      <c r="B939" s="116" t="s">
        <v>1350</v>
      </c>
      <c r="C939" s="17" t="s">
        <v>37</v>
      </c>
      <c r="D939" s="61" t="s">
        <v>1262</v>
      </c>
      <c r="E939" s="116" t="s">
        <v>1324</v>
      </c>
      <c r="F939" s="14" t="s">
        <v>1325</v>
      </c>
      <c r="G939" s="26" t="s">
        <v>41</v>
      </c>
      <c r="H939" s="26" t="s">
        <v>70</v>
      </c>
      <c r="I939" s="26" t="s">
        <v>43</v>
      </c>
      <c r="J939" s="26"/>
      <c r="K939" s="27"/>
      <c r="L939" s="27"/>
      <c r="M939" s="116" t="s">
        <v>1326</v>
      </c>
      <c r="N939" s="116" t="s">
        <v>76</v>
      </c>
      <c r="O939" s="113" t="s">
        <v>77</v>
      </c>
      <c r="P939" s="116" t="s">
        <v>417</v>
      </c>
      <c r="Q939" s="116" t="s">
        <v>143</v>
      </c>
      <c r="R939" s="117" t="n">
        <v>2688</v>
      </c>
      <c r="S939" s="16" t="n">
        <v>5700</v>
      </c>
      <c r="T939" s="118" t="n">
        <v>1</v>
      </c>
      <c r="U939" s="1" t="str">
        <f aca="false">D939&amp;"-"&amp;E939&amp;"-"&amp;M939&amp;"-"&amp;O939&amp;"-"&amp;P939&amp;"-"&amp;Q939</f>
        <v>ELOMI-MATILDA UW J HOOK BRA-EL8900-BLACK-40-H</v>
      </c>
      <c r="W939" s="1" t="s">
        <v>113</v>
      </c>
    </row>
    <row r="940" customFormat="false" ht="15" hidden="true" customHeight="false" outlineLevel="0" collapsed="false">
      <c r="B940" s="116" t="s">
        <v>1351</v>
      </c>
      <c r="C940" s="17" t="s">
        <v>37</v>
      </c>
      <c r="D940" s="61" t="s">
        <v>1262</v>
      </c>
      <c r="E940" s="116" t="s">
        <v>1324</v>
      </c>
      <c r="F940" s="14" t="s">
        <v>1325</v>
      </c>
      <c r="G940" s="26" t="s">
        <v>41</v>
      </c>
      <c r="H940" s="26" t="s">
        <v>70</v>
      </c>
      <c r="I940" s="26" t="s">
        <v>43</v>
      </c>
      <c r="J940" s="26"/>
      <c r="K940" s="27"/>
      <c r="L940" s="27"/>
      <c r="M940" s="116" t="s">
        <v>1326</v>
      </c>
      <c r="N940" s="116" t="s">
        <v>76</v>
      </c>
      <c r="O940" s="113" t="s">
        <v>77</v>
      </c>
      <c r="P940" s="116" t="s">
        <v>417</v>
      </c>
      <c r="Q940" s="116" t="s">
        <v>131</v>
      </c>
      <c r="R940" s="117" t="n">
        <v>2688</v>
      </c>
      <c r="S940" s="16" t="n">
        <v>5700</v>
      </c>
      <c r="T940" s="118" t="n">
        <v>1</v>
      </c>
      <c r="U940" s="1" t="str">
        <f aca="false">D940&amp;"-"&amp;E940&amp;"-"&amp;M940&amp;"-"&amp;O940&amp;"-"&amp;P940&amp;"-"&amp;Q940</f>
        <v>ELOMI-MATILDA UW J HOOK BRA-EL8900-BLACK-40-HH</v>
      </c>
      <c r="W940" s="1" t="s">
        <v>113</v>
      </c>
    </row>
    <row r="941" customFormat="false" ht="15" hidden="true" customHeight="false" outlineLevel="0" collapsed="false">
      <c r="B941" s="116" t="s">
        <v>1352</v>
      </c>
      <c r="C941" s="17" t="s">
        <v>37</v>
      </c>
      <c r="D941" s="61" t="s">
        <v>1262</v>
      </c>
      <c r="E941" s="116" t="s">
        <v>1324</v>
      </c>
      <c r="F941" s="14" t="s">
        <v>1325</v>
      </c>
      <c r="G941" s="26" t="s">
        <v>41</v>
      </c>
      <c r="H941" s="26" t="s">
        <v>70</v>
      </c>
      <c r="I941" s="26" t="s">
        <v>43</v>
      </c>
      <c r="J941" s="26"/>
      <c r="K941" s="27"/>
      <c r="L941" s="27"/>
      <c r="M941" s="116" t="s">
        <v>1326</v>
      </c>
      <c r="N941" s="116" t="s">
        <v>1353</v>
      </c>
      <c r="O941" s="113" t="s">
        <v>1165</v>
      </c>
      <c r="P941" s="116" t="s">
        <v>440</v>
      </c>
      <c r="Q941" s="116" t="s">
        <v>56</v>
      </c>
      <c r="R941" s="117" t="n">
        <v>2688</v>
      </c>
      <c r="S941" s="16" t="n">
        <v>5700</v>
      </c>
      <c r="T941" s="118" t="n">
        <v>1</v>
      </c>
      <c r="U941" s="1" t="str">
        <f aca="false">D941&amp;"-"&amp;E941&amp;"-"&amp;M941&amp;"-"&amp;O941&amp;"-"&amp;P941&amp;"-"&amp;Q941</f>
        <v>ELOMI-MATILDA UW J HOOK BRA-EL8900-DARK SKIN-42-DD</v>
      </c>
      <c r="W941" s="1" t="s">
        <v>113</v>
      </c>
    </row>
    <row r="942" customFormat="false" ht="15" hidden="true" customHeight="false" outlineLevel="0" collapsed="false">
      <c r="B942" s="116" t="s">
        <v>1354</v>
      </c>
      <c r="C942" s="17" t="s">
        <v>37</v>
      </c>
      <c r="D942" s="61" t="s">
        <v>1262</v>
      </c>
      <c r="E942" s="116" t="s">
        <v>1324</v>
      </c>
      <c r="F942" s="14" t="s">
        <v>1325</v>
      </c>
      <c r="G942" s="26" t="s">
        <v>41</v>
      </c>
      <c r="H942" s="26" t="s">
        <v>70</v>
      </c>
      <c r="I942" s="26" t="s">
        <v>43</v>
      </c>
      <c r="J942" s="26"/>
      <c r="K942" s="27"/>
      <c r="L942" s="27"/>
      <c r="M942" s="116" t="s">
        <v>1326</v>
      </c>
      <c r="N942" s="116" t="s">
        <v>76</v>
      </c>
      <c r="O942" s="113" t="s">
        <v>77</v>
      </c>
      <c r="P942" s="116" t="s">
        <v>440</v>
      </c>
      <c r="Q942" s="116" t="s">
        <v>50</v>
      </c>
      <c r="R942" s="117" t="n">
        <v>2688</v>
      </c>
      <c r="S942" s="16" t="n">
        <v>5700</v>
      </c>
      <c r="T942" s="118" t="n">
        <v>1</v>
      </c>
      <c r="U942" s="1" t="str">
        <f aca="false">D942&amp;"-"&amp;E942&amp;"-"&amp;M942&amp;"-"&amp;O942&amp;"-"&amp;P942&amp;"-"&amp;Q942</f>
        <v>ELOMI-MATILDA UW J HOOK BRA-EL8900-BLACK-42-F</v>
      </c>
      <c r="W942" s="1" t="s">
        <v>113</v>
      </c>
    </row>
    <row r="943" customFormat="false" ht="15" hidden="true" customHeight="false" outlineLevel="0" collapsed="false">
      <c r="B943" s="116" t="s">
        <v>1355</v>
      </c>
      <c r="C943" s="17" t="s">
        <v>37</v>
      </c>
      <c r="D943" s="61" t="s">
        <v>1262</v>
      </c>
      <c r="E943" s="116" t="s">
        <v>1324</v>
      </c>
      <c r="F943" s="14" t="s">
        <v>1325</v>
      </c>
      <c r="G943" s="26" t="s">
        <v>41</v>
      </c>
      <c r="H943" s="26" t="s">
        <v>70</v>
      </c>
      <c r="I943" s="26" t="s">
        <v>43</v>
      </c>
      <c r="J943" s="26"/>
      <c r="K943" s="27"/>
      <c r="L943" s="27"/>
      <c r="M943" s="116" t="s">
        <v>1326</v>
      </c>
      <c r="N943" s="116" t="s">
        <v>76</v>
      </c>
      <c r="O943" s="113" t="s">
        <v>77</v>
      </c>
      <c r="P943" s="116" t="s">
        <v>440</v>
      </c>
      <c r="Q943" s="116" t="s">
        <v>62</v>
      </c>
      <c r="R943" s="117" t="n">
        <v>2688</v>
      </c>
      <c r="S943" s="16" t="n">
        <v>5700</v>
      </c>
      <c r="T943" s="118" t="n">
        <v>1</v>
      </c>
      <c r="U943" s="1" t="str">
        <f aca="false">D943&amp;"-"&amp;E943&amp;"-"&amp;M943&amp;"-"&amp;O943&amp;"-"&amp;P943&amp;"-"&amp;Q943</f>
        <v>ELOMI-MATILDA UW J HOOK BRA-EL8900-BLACK-42-FF</v>
      </c>
      <c r="W943" s="1" t="s">
        <v>113</v>
      </c>
    </row>
    <row r="944" customFormat="false" ht="15" hidden="true" customHeight="false" outlineLevel="0" collapsed="false">
      <c r="B944" s="116" t="s">
        <v>1356</v>
      </c>
      <c r="C944" s="17" t="s">
        <v>37</v>
      </c>
      <c r="D944" s="61" t="s">
        <v>1262</v>
      </c>
      <c r="E944" s="116" t="s">
        <v>1324</v>
      </c>
      <c r="F944" s="14" t="s">
        <v>1325</v>
      </c>
      <c r="G944" s="26" t="s">
        <v>41</v>
      </c>
      <c r="H944" s="26" t="s">
        <v>70</v>
      </c>
      <c r="I944" s="26" t="s">
        <v>43</v>
      </c>
      <c r="J944" s="26"/>
      <c r="K944" s="27"/>
      <c r="L944" s="27"/>
      <c r="M944" s="116" t="s">
        <v>1326</v>
      </c>
      <c r="N944" s="116" t="s">
        <v>76</v>
      </c>
      <c r="O944" s="113" t="s">
        <v>77</v>
      </c>
      <c r="P944" s="116" t="s">
        <v>440</v>
      </c>
      <c r="Q944" s="116" t="s">
        <v>105</v>
      </c>
      <c r="R944" s="117" t="n">
        <v>2688</v>
      </c>
      <c r="S944" s="16" t="n">
        <v>5700</v>
      </c>
      <c r="T944" s="118" t="n">
        <v>2</v>
      </c>
      <c r="U944" s="1" t="str">
        <f aca="false">D944&amp;"-"&amp;E944&amp;"-"&amp;M944&amp;"-"&amp;O944&amp;"-"&amp;P944&amp;"-"&amp;Q944</f>
        <v>ELOMI-MATILDA UW J HOOK BRA-EL8900-BLACK-42-G</v>
      </c>
      <c r="W944" s="1" t="s">
        <v>113</v>
      </c>
    </row>
    <row r="945" customFormat="false" ht="15" hidden="true" customHeight="false" outlineLevel="0" collapsed="false">
      <c r="B945" s="116" t="s">
        <v>1357</v>
      </c>
      <c r="C945" s="17" t="s">
        <v>37</v>
      </c>
      <c r="D945" s="61" t="s">
        <v>1262</v>
      </c>
      <c r="E945" s="116" t="s">
        <v>1324</v>
      </c>
      <c r="F945" s="14" t="s">
        <v>1325</v>
      </c>
      <c r="G945" s="26" t="s">
        <v>41</v>
      </c>
      <c r="H945" s="26" t="s">
        <v>70</v>
      </c>
      <c r="I945" s="26" t="s">
        <v>43</v>
      </c>
      <c r="J945" s="26"/>
      <c r="K945" s="27"/>
      <c r="L945" s="27"/>
      <c r="M945" s="116" t="s">
        <v>1326</v>
      </c>
      <c r="N945" s="116" t="s">
        <v>76</v>
      </c>
      <c r="O945" s="113" t="s">
        <v>77</v>
      </c>
      <c r="P945" s="116" t="s">
        <v>440</v>
      </c>
      <c r="Q945" s="116" t="s">
        <v>129</v>
      </c>
      <c r="R945" s="117" t="n">
        <v>2688</v>
      </c>
      <c r="S945" s="16" t="n">
        <v>5700</v>
      </c>
      <c r="T945" s="118" t="n">
        <v>1</v>
      </c>
      <c r="U945" s="1" t="str">
        <f aca="false">D945&amp;"-"&amp;E945&amp;"-"&amp;M945&amp;"-"&amp;O945&amp;"-"&amp;P945&amp;"-"&amp;Q945</f>
        <v>ELOMI-MATILDA UW J HOOK BRA-EL8900-BLACK-42-GG</v>
      </c>
      <c r="W945" s="1" t="s">
        <v>113</v>
      </c>
    </row>
    <row r="946" customFormat="false" ht="15" hidden="true" customHeight="false" outlineLevel="0" collapsed="false">
      <c r="B946" s="116" t="s">
        <v>1358</v>
      </c>
      <c r="C946" s="17" t="s">
        <v>37</v>
      </c>
      <c r="D946" s="61" t="s">
        <v>1262</v>
      </c>
      <c r="E946" s="116" t="s">
        <v>1324</v>
      </c>
      <c r="F946" s="14" t="s">
        <v>1325</v>
      </c>
      <c r="G946" s="26" t="s">
        <v>41</v>
      </c>
      <c r="H946" s="26" t="s">
        <v>70</v>
      </c>
      <c r="I946" s="26" t="s">
        <v>43</v>
      </c>
      <c r="J946" s="26"/>
      <c r="K946" s="27"/>
      <c r="L946" s="27"/>
      <c r="M946" s="116" t="s">
        <v>1326</v>
      </c>
      <c r="N946" s="116" t="s">
        <v>76</v>
      </c>
      <c r="O946" s="113" t="s">
        <v>77</v>
      </c>
      <c r="P946" s="116" t="s">
        <v>440</v>
      </c>
      <c r="Q946" s="116" t="s">
        <v>143</v>
      </c>
      <c r="R946" s="117" t="n">
        <v>2688</v>
      </c>
      <c r="S946" s="16" t="n">
        <v>5700</v>
      </c>
      <c r="T946" s="118" t="n">
        <v>1</v>
      </c>
      <c r="U946" s="1" t="str">
        <f aca="false">D946&amp;"-"&amp;E946&amp;"-"&amp;M946&amp;"-"&amp;O946&amp;"-"&amp;P946&amp;"-"&amp;Q946</f>
        <v>ELOMI-MATILDA UW J HOOK BRA-EL8900-BLACK-42-H</v>
      </c>
      <c r="W946" s="1" t="s">
        <v>113</v>
      </c>
    </row>
    <row r="947" customFormat="false" ht="15" hidden="true" customHeight="false" outlineLevel="0" collapsed="false">
      <c r="B947" s="116" t="s">
        <v>1359</v>
      </c>
      <c r="C947" s="17" t="s">
        <v>37</v>
      </c>
      <c r="D947" s="61" t="s">
        <v>1262</v>
      </c>
      <c r="E947" s="116" t="s">
        <v>1324</v>
      </c>
      <c r="F947" s="14" t="s">
        <v>1325</v>
      </c>
      <c r="G947" s="26" t="s">
        <v>41</v>
      </c>
      <c r="H947" s="26" t="s">
        <v>70</v>
      </c>
      <c r="I947" s="26" t="s">
        <v>43</v>
      </c>
      <c r="J947" s="26"/>
      <c r="K947" s="27"/>
      <c r="L947" s="27"/>
      <c r="M947" s="116" t="s">
        <v>1326</v>
      </c>
      <c r="N947" s="116" t="s">
        <v>76</v>
      </c>
      <c r="O947" s="113" t="s">
        <v>77</v>
      </c>
      <c r="P947" s="116" t="s">
        <v>440</v>
      </c>
      <c r="Q947" s="116" t="s">
        <v>131</v>
      </c>
      <c r="R947" s="117" t="n">
        <v>2688</v>
      </c>
      <c r="S947" s="16" t="n">
        <v>5700</v>
      </c>
      <c r="T947" s="118" t="n">
        <v>1</v>
      </c>
      <c r="U947" s="1" t="str">
        <f aca="false">D947&amp;"-"&amp;E947&amp;"-"&amp;M947&amp;"-"&amp;O947&amp;"-"&amp;P947&amp;"-"&amp;Q947</f>
        <v>ELOMI-MATILDA UW J HOOK BRA-EL8900-BLACK-42-HH</v>
      </c>
      <c r="W947" s="1" t="s">
        <v>113</v>
      </c>
    </row>
    <row r="948" customFormat="false" ht="15" hidden="true" customHeight="false" outlineLevel="0" collapsed="false">
      <c r="B948" s="113" t="s">
        <v>1336</v>
      </c>
      <c r="C948" s="17" t="s">
        <v>37</v>
      </c>
      <c r="D948" s="61" t="s">
        <v>1262</v>
      </c>
      <c r="E948" s="113" t="s">
        <v>1324</v>
      </c>
      <c r="F948" s="14" t="s">
        <v>1325</v>
      </c>
      <c r="G948" s="26" t="s">
        <v>41</v>
      </c>
      <c r="H948" s="26" t="s">
        <v>70</v>
      </c>
      <c r="I948" s="26" t="s">
        <v>43</v>
      </c>
      <c r="J948" s="26"/>
      <c r="K948" s="27"/>
      <c r="L948" s="27"/>
      <c r="M948" s="113" t="s">
        <v>1326</v>
      </c>
      <c r="N948" s="113" t="s">
        <v>1308</v>
      </c>
      <c r="O948" s="61" t="s">
        <v>465</v>
      </c>
      <c r="P948" s="113" t="s">
        <v>154</v>
      </c>
      <c r="Q948" s="113" t="s">
        <v>131</v>
      </c>
      <c r="R948" s="114" t="n">
        <v>2880</v>
      </c>
      <c r="S948" s="16" t="n">
        <v>5700</v>
      </c>
      <c r="T948" s="115" t="n">
        <v>1</v>
      </c>
      <c r="U948" s="1" t="str">
        <f aca="false">D948&amp;"-"&amp;E948&amp;"-"&amp;M948&amp;"-"&amp;O948&amp;"-"&amp;P948&amp;"-"&amp;Q948</f>
        <v>ELOMI-MATILDA UW J HOOK BRA-EL8900-SKIN-38-HH</v>
      </c>
      <c r="W948" s="1" t="s">
        <v>113</v>
      </c>
    </row>
    <row r="949" customFormat="false" ht="15" hidden="true" customHeight="false" outlineLevel="0" collapsed="false">
      <c r="B949" s="116" t="s">
        <v>1360</v>
      </c>
      <c r="C949" s="17" t="s">
        <v>37</v>
      </c>
      <c r="D949" s="61" t="s">
        <v>1262</v>
      </c>
      <c r="E949" s="116" t="s">
        <v>1324</v>
      </c>
      <c r="F949" s="14" t="s">
        <v>1325</v>
      </c>
      <c r="G949" s="26" t="s">
        <v>41</v>
      </c>
      <c r="H949" s="26" t="s">
        <v>70</v>
      </c>
      <c r="I949" s="26" t="s">
        <v>43</v>
      </c>
      <c r="J949" s="26"/>
      <c r="K949" s="27"/>
      <c r="L949" s="27"/>
      <c r="M949" s="116" t="s">
        <v>1326</v>
      </c>
      <c r="N949" s="116" t="s">
        <v>1353</v>
      </c>
      <c r="O949" s="25" t="s">
        <v>1165</v>
      </c>
      <c r="P949" s="116" t="s">
        <v>449</v>
      </c>
      <c r="Q949" s="116" t="s">
        <v>56</v>
      </c>
      <c r="R949" s="117" t="n">
        <v>2688</v>
      </c>
      <c r="S949" s="16" t="n">
        <v>5700</v>
      </c>
      <c r="T949" s="118" t="n">
        <v>1</v>
      </c>
      <c r="U949" s="1" t="str">
        <f aca="false">D949&amp;"-"&amp;E949&amp;"-"&amp;M949&amp;"-"&amp;O949&amp;"-"&amp;P949&amp;"-"&amp;Q949</f>
        <v>ELOMI-MATILDA UW J HOOK BRA-EL8900-DARK SKIN-44-DD</v>
      </c>
      <c r="W949" s="1" t="s">
        <v>113</v>
      </c>
    </row>
    <row r="950" customFormat="false" ht="15" hidden="true" customHeight="false" outlineLevel="0" collapsed="false">
      <c r="B950" s="116" t="s">
        <v>1361</v>
      </c>
      <c r="C950" s="17" t="s">
        <v>37</v>
      </c>
      <c r="D950" s="61" t="s">
        <v>1262</v>
      </c>
      <c r="E950" s="116" t="s">
        <v>1324</v>
      </c>
      <c r="F950" s="14" t="s">
        <v>1325</v>
      </c>
      <c r="G950" s="26" t="s">
        <v>41</v>
      </c>
      <c r="H950" s="26" t="s">
        <v>70</v>
      </c>
      <c r="I950" s="26" t="s">
        <v>43</v>
      </c>
      <c r="J950" s="26"/>
      <c r="K950" s="27"/>
      <c r="L950" s="27"/>
      <c r="M950" s="116" t="s">
        <v>1326</v>
      </c>
      <c r="N950" s="116" t="s">
        <v>1353</v>
      </c>
      <c r="O950" s="25" t="s">
        <v>1165</v>
      </c>
      <c r="P950" s="116" t="s">
        <v>449</v>
      </c>
      <c r="Q950" s="116" t="s">
        <v>66</v>
      </c>
      <c r="R950" s="117" t="n">
        <v>2688</v>
      </c>
      <c r="S950" s="16" t="n">
        <v>5700</v>
      </c>
      <c r="T950" s="118" t="n">
        <v>1</v>
      </c>
      <c r="U950" s="1" t="str">
        <f aca="false">D950&amp;"-"&amp;E950&amp;"-"&amp;M950&amp;"-"&amp;O950&amp;"-"&amp;P950&amp;"-"&amp;Q950</f>
        <v>ELOMI-MATILDA UW J HOOK BRA-EL8900-DARK SKIN-44-E</v>
      </c>
      <c r="W950" s="1" t="s">
        <v>113</v>
      </c>
    </row>
    <row r="951" customFormat="false" ht="15" hidden="true" customHeight="false" outlineLevel="0" collapsed="false">
      <c r="B951" s="116" t="s">
        <v>1362</v>
      </c>
      <c r="C951" s="17" t="s">
        <v>37</v>
      </c>
      <c r="D951" s="61" t="s">
        <v>1262</v>
      </c>
      <c r="E951" s="116" t="s">
        <v>1324</v>
      </c>
      <c r="F951" s="14" t="s">
        <v>1325</v>
      </c>
      <c r="G951" s="26" t="s">
        <v>41</v>
      </c>
      <c r="H951" s="26" t="s">
        <v>70</v>
      </c>
      <c r="I951" s="26" t="s">
        <v>43</v>
      </c>
      <c r="J951" s="26"/>
      <c r="K951" s="27"/>
      <c r="L951" s="27"/>
      <c r="M951" s="116" t="s">
        <v>1326</v>
      </c>
      <c r="N951" s="116" t="s">
        <v>1353</v>
      </c>
      <c r="O951" s="25" t="s">
        <v>1165</v>
      </c>
      <c r="P951" s="116" t="s">
        <v>449</v>
      </c>
      <c r="Q951" s="116" t="s">
        <v>50</v>
      </c>
      <c r="R951" s="117" t="n">
        <v>2688</v>
      </c>
      <c r="S951" s="16" t="n">
        <v>5700</v>
      </c>
      <c r="T951" s="118" t="n">
        <v>1</v>
      </c>
      <c r="U951" s="1" t="str">
        <f aca="false">D951&amp;"-"&amp;E951&amp;"-"&amp;M951&amp;"-"&amp;O951&amp;"-"&amp;P951&amp;"-"&amp;Q951</f>
        <v>ELOMI-MATILDA UW J HOOK BRA-EL8900-DARK SKIN-44-F</v>
      </c>
      <c r="W951" s="1" t="s">
        <v>113</v>
      </c>
    </row>
    <row r="952" customFormat="false" ht="15" hidden="true" customHeight="false" outlineLevel="0" collapsed="false">
      <c r="B952" s="116" t="s">
        <v>1363</v>
      </c>
      <c r="C952" s="17" t="s">
        <v>37</v>
      </c>
      <c r="D952" s="61" t="s">
        <v>1262</v>
      </c>
      <c r="E952" s="116" t="s">
        <v>1324</v>
      </c>
      <c r="F952" s="14" t="s">
        <v>1325</v>
      </c>
      <c r="G952" s="26" t="s">
        <v>41</v>
      </c>
      <c r="H952" s="26" t="s">
        <v>70</v>
      </c>
      <c r="I952" s="26" t="s">
        <v>43</v>
      </c>
      <c r="J952" s="26"/>
      <c r="K952" s="27"/>
      <c r="L952" s="27"/>
      <c r="M952" s="116" t="s">
        <v>1326</v>
      </c>
      <c r="N952" s="116" t="s">
        <v>1353</v>
      </c>
      <c r="O952" s="25" t="s">
        <v>1165</v>
      </c>
      <c r="P952" s="116" t="s">
        <v>449</v>
      </c>
      <c r="Q952" s="116" t="s">
        <v>62</v>
      </c>
      <c r="R952" s="117" t="n">
        <v>2688</v>
      </c>
      <c r="S952" s="16" t="n">
        <v>5700</v>
      </c>
      <c r="T952" s="118" t="n">
        <v>1</v>
      </c>
      <c r="U952" s="1" t="str">
        <f aca="false">D952&amp;"-"&amp;E952&amp;"-"&amp;M952&amp;"-"&amp;O952&amp;"-"&amp;P952&amp;"-"&amp;Q952</f>
        <v>ELOMI-MATILDA UW J HOOK BRA-EL8900-DARK SKIN-44-FF</v>
      </c>
      <c r="W952" s="1" t="s">
        <v>113</v>
      </c>
    </row>
    <row r="953" customFormat="false" ht="15" hidden="true" customHeight="false" outlineLevel="0" collapsed="false">
      <c r="B953" s="20" t="s">
        <v>1364</v>
      </c>
      <c r="C953" s="20" t="s">
        <v>37</v>
      </c>
      <c r="D953" s="103" t="s">
        <v>1262</v>
      </c>
      <c r="E953" s="103" t="s">
        <v>1324</v>
      </c>
      <c r="F953" s="14" t="s">
        <v>1325</v>
      </c>
      <c r="G953" s="26" t="s">
        <v>41</v>
      </c>
      <c r="H953" s="26" t="s">
        <v>70</v>
      </c>
      <c r="I953" s="26" t="s">
        <v>43</v>
      </c>
      <c r="J953" s="26"/>
      <c r="K953" s="27"/>
      <c r="L953" s="27"/>
      <c r="M953" s="116" t="s">
        <v>1326</v>
      </c>
      <c r="N953" s="103" t="s">
        <v>1365</v>
      </c>
      <c r="O953" s="103" t="s">
        <v>1366</v>
      </c>
      <c r="P953" s="103" t="s">
        <v>440</v>
      </c>
      <c r="Q953" s="103" t="s">
        <v>105</v>
      </c>
      <c r="R953" s="16" t="n">
        <v>2772</v>
      </c>
      <c r="S953" s="16" t="n">
        <v>5700</v>
      </c>
      <c r="T953" s="111" t="n">
        <v>1</v>
      </c>
      <c r="U953" s="1" t="str">
        <f aca="false">D953&amp;"-"&amp;E953&amp;"-"&amp;M953&amp;"-"&amp;O953&amp;"-"&amp;P953&amp;"-"&amp;Q953</f>
        <v>ELOMI-MATILDA UW J HOOK BRA-EL8900-LIGHT PINK-42-G</v>
      </c>
      <c r="W953" s="1" t="s">
        <v>113</v>
      </c>
    </row>
    <row r="954" customFormat="false" ht="15" hidden="true" customHeight="false" outlineLevel="0" collapsed="false">
      <c r="B954" s="20" t="s">
        <v>1367</v>
      </c>
      <c r="C954" s="20" t="s">
        <v>37</v>
      </c>
      <c r="D954" s="103" t="s">
        <v>1262</v>
      </c>
      <c r="E954" s="103" t="s">
        <v>1324</v>
      </c>
      <c r="F954" s="14" t="s">
        <v>1325</v>
      </c>
      <c r="G954" s="26" t="s">
        <v>41</v>
      </c>
      <c r="H954" s="26" t="s">
        <v>70</v>
      </c>
      <c r="I954" s="26" t="s">
        <v>43</v>
      </c>
      <c r="J954" s="26"/>
      <c r="K954" s="27"/>
      <c r="L954" s="27"/>
      <c r="M954" s="116" t="s">
        <v>1326</v>
      </c>
      <c r="N954" s="103" t="s">
        <v>1368</v>
      </c>
      <c r="O954" s="61" t="s">
        <v>1275</v>
      </c>
      <c r="P954" s="103" t="s">
        <v>134</v>
      </c>
      <c r="Q954" s="103" t="s">
        <v>50</v>
      </c>
      <c r="R954" s="16" t="n">
        <v>2772</v>
      </c>
      <c r="S954" s="16" t="n">
        <v>5700</v>
      </c>
      <c r="T954" s="111" t="n">
        <v>2</v>
      </c>
      <c r="U954" s="1" t="str">
        <f aca="false">D954&amp;"-"&amp;E954&amp;"-"&amp;M954&amp;"-"&amp;O954&amp;"-"&amp;P954&amp;"-"&amp;Q954</f>
        <v>ELOMI-MATILDA UW J HOOK BRA-EL8900-INK BLUE-34-F</v>
      </c>
      <c r="W954" s="1" t="s">
        <v>113</v>
      </c>
    </row>
    <row r="955" customFormat="false" ht="15" hidden="true" customHeight="false" outlineLevel="0" collapsed="false">
      <c r="B955" s="20" t="s">
        <v>1369</v>
      </c>
      <c r="C955" s="20" t="s">
        <v>37</v>
      </c>
      <c r="D955" s="103" t="s">
        <v>1262</v>
      </c>
      <c r="E955" s="103" t="s">
        <v>1324</v>
      </c>
      <c r="F955" s="14" t="s">
        <v>1325</v>
      </c>
      <c r="G955" s="26" t="s">
        <v>41</v>
      </c>
      <c r="H955" s="26" t="s">
        <v>70</v>
      </c>
      <c r="I955" s="26" t="s">
        <v>43</v>
      </c>
      <c r="J955" s="26"/>
      <c r="K955" s="27"/>
      <c r="L955" s="27"/>
      <c r="M955" s="116" t="s">
        <v>1326</v>
      </c>
      <c r="N955" s="103" t="s">
        <v>1370</v>
      </c>
      <c r="O955" s="103" t="s">
        <v>1366</v>
      </c>
      <c r="P955" s="103" t="s">
        <v>134</v>
      </c>
      <c r="Q955" s="103" t="s">
        <v>62</v>
      </c>
      <c r="R955" s="16" t="n">
        <v>2772</v>
      </c>
      <c r="S955" s="16" t="n">
        <v>5700</v>
      </c>
      <c r="T955" s="111" t="n">
        <v>1</v>
      </c>
      <c r="U955" s="1" t="str">
        <f aca="false">D955&amp;"-"&amp;E955&amp;"-"&amp;M955&amp;"-"&amp;O955&amp;"-"&amp;P955&amp;"-"&amp;Q955</f>
        <v>ELOMI-MATILDA UW J HOOK BRA-EL8900-LIGHT PINK-34-FF</v>
      </c>
      <c r="W955" s="1" t="s">
        <v>113</v>
      </c>
    </row>
    <row r="956" customFormat="false" ht="15" hidden="true" customHeight="false" outlineLevel="0" collapsed="false">
      <c r="B956" s="103" t="s">
        <v>1371</v>
      </c>
      <c r="C956" s="20" t="s">
        <v>37</v>
      </c>
      <c r="D956" s="103" t="s">
        <v>1262</v>
      </c>
      <c r="E956" s="103" t="s">
        <v>1372</v>
      </c>
      <c r="F956" s="26" t="s">
        <v>1373</v>
      </c>
      <c r="G956" s="26" t="s">
        <v>41</v>
      </c>
      <c r="H956" s="26" t="s">
        <v>70</v>
      </c>
      <c r="I956" s="26" t="s">
        <v>43</v>
      </c>
      <c r="J956" s="26"/>
      <c r="K956" s="27"/>
      <c r="L956" s="27"/>
      <c r="M956" s="103" t="s">
        <v>1374</v>
      </c>
      <c r="N956" s="103" t="s">
        <v>76</v>
      </c>
      <c r="O956" s="103" t="s">
        <v>77</v>
      </c>
      <c r="P956" s="103" t="s">
        <v>134</v>
      </c>
      <c r="Q956" s="103" t="s">
        <v>62</v>
      </c>
      <c r="R956" s="16" t="n">
        <v>2520.16</v>
      </c>
      <c r="S956" s="16" t="n">
        <v>5700</v>
      </c>
      <c r="T956" s="16" t="n">
        <v>1</v>
      </c>
      <c r="U956" s="1" t="str">
        <f aca="false">D956&amp;"-"&amp;E956&amp;"-"&amp;M956&amp;"-"&amp;O956&amp;"-"&amp;P956&amp;"-"&amp;Q956</f>
        <v>ELOMI-CATE UW FULL COVERAGE BRA-EL4030-BLACK-34-FF</v>
      </c>
    </row>
    <row r="957" customFormat="false" ht="15" hidden="true" customHeight="false" outlineLevel="0" collapsed="false">
      <c r="B957" s="25" t="s">
        <v>1375</v>
      </c>
      <c r="C957" s="17" t="s">
        <v>37</v>
      </c>
      <c r="D957" s="61" t="s">
        <v>1262</v>
      </c>
      <c r="E957" s="25" t="s">
        <v>1372</v>
      </c>
      <c r="F957" s="26" t="s">
        <v>1373</v>
      </c>
      <c r="G957" s="26" t="s">
        <v>41</v>
      </c>
      <c r="H957" s="26" t="s">
        <v>70</v>
      </c>
      <c r="I957" s="26" t="s">
        <v>43</v>
      </c>
      <c r="J957" s="26"/>
      <c r="K957" s="27"/>
      <c r="L957" s="27"/>
      <c r="M957" s="103" t="s">
        <v>1374</v>
      </c>
      <c r="N957" s="25" t="s">
        <v>76</v>
      </c>
      <c r="O957" s="113" t="s">
        <v>77</v>
      </c>
      <c r="P957" s="25" t="s">
        <v>440</v>
      </c>
      <c r="Q957" s="25" t="s">
        <v>129</v>
      </c>
      <c r="R957" s="16" t="n">
        <v>2772</v>
      </c>
      <c r="S957" s="16" t="n">
        <v>5700</v>
      </c>
      <c r="T957" s="16" t="n">
        <v>1</v>
      </c>
      <c r="U957" s="1" t="str">
        <f aca="false">D957&amp;"-"&amp;E957&amp;"-"&amp;M957&amp;"-"&amp;O957&amp;"-"&amp;P957&amp;"-"&amp;Q957</f>
        <v>ELOMI-CATE UW FULL COVERAGE BRA-EL4030-BLACK-42-GG</v>
      </c>
    </row>
    <row r="958" customFormat="false" ht="15" hidden="true" customHeight="false" outlineLevel="0" collapsed="false">
      <c r="B958" s="119" t="s">
        <v>1376</v>
      </c>
      <c r="C958" s="17" t="s">
        <v>37</v>
      </c>
      <c r="D958" s="61" t="s">
        <v>1262</v>
      </c>
      <c r="E958" s="25" t="s">
        <v>1372</v>
      </c>
      <c r="F958" s="26" t="s">
        <v>1373</v>
      </c>
      <c r="G958" s="26" t="s">
        <v>41</v>
      </c>
      <c r="H958" s="26" t="s">
        <v>70</v>
      </c>
      <c r="I958" s="26" t="s">
        <v>43</v>
      </c>
      <c r="J958" s="26"/>
      <c r="K958" s="27"/>
      <c r="L958" s="27"/>
      <c r="M958" s="103" t="s">
        <v>1374</v>
      </c>
      <c r="N958" s="119" t="s">
        <v>76</v>
      </c>
      <c r="O958" s="113" t="s">
        <v>77</v>
      </c>
      <c r="P958" s="119" t="s">
        <v>449</v>
      </c>
      <c r="Q958" s="119" t="s">
        <v>62</v>
      </c>
      <c r="R958" s="120" t="n">
        <v>2772</v>
      </c>
      <c r="S958" s="16" t="n">
        <v>5700</v>
      </c>
      <c r="T958" s="120" t="n">
        <v>1</v>
      </c>
      <c r="U958" s="1" t="str">
        <f aca="false">D958&amp;"-"&amp;E958&amp;"-"&amp;M958&amp;"-"&amp;O958&amp;"-"&amp;P958&amp;"-"&amp;Q958</f>
        <v>ELOMI-CATE UW FULL COVERAGE BRA-EL4030-BLACK-44-FF</v>
      </c>
    </row>
    <row r="959" customFormat="false" ht="15" hidden="true" customHeight="false" outlineLevel="0" collapsed="false">
      <c r="B959" s="61" t="s">
        <v>1377</v>
      </c>
      <c r="C959" s="17" t="s">
        <v>37</v>
      </c>
      <c r="D959" s="61" t="s">
        <v>1262</v>
      </c>
      <c r="E959" s="25" t="s">
        <v>1372</v>
      </c>
      <c r="F959" s="26" t="s">
        <v>1373</v>
      </c>
      <c r="G959" s="26" t="s">
        <v>41</v>
      </c>
      <c r="H959" s="26" t="s">
        <v>70</v>
      </c>
      <c r="I959" s="26" t="s">
        <v>43</v>
      </c>
      <c r="J959" s="26"/>
      <c r="K959" s="27"/>
      <c r="L959" s="27"/>
      <c r="M959" s="103" t="s">
        <v>1374</v>
      </c>
      <c r="N959" s="61" t="s">
        <v>1370</v>
      </c>
      <c r="O959" s="61" t="s">
        <v>1366</v>
      </c>
      <c r="P959" s="119" t="s">
        <v>134</v>
      </c>
      <c r="Q959" s="61" t="s">
        <v>129</v>
      </c>
      <c r="R959" s="16" t="n">
        <v>2772</v>
      </c>
      <c r="S959" s="16" t="n">
        <v>5700</v>
      </c>
      <c r="T959" s="16" t="n">
        <v>1</v>
      </c>
      <c r="U959" s="1" t="str">
        <f aca="false">D959&amp;"-"&amp;E959&amp;"-"&amp;M959&amp;"-"&amp;O959&amp;"-"&amp;P959&amp;"-"&amp;Q959</f>
        <v>ELOMI-CATE UW FULL COVERAGE BRA-EL4030-LIGHT PINK-34-GG</v>
      </c>
    </row>
    <row r="960" customFormat="false" ht="15" hidden="true" customHeight="false" outlineLevel="0" collapsed="false">
      <c r="B960" s="25" t="s">
        <v>1378</v>
      </c>
      <c r="C960" s="17" t="s">
        <v>37</v>
      </c>
      <c r="D960" s="61" t="s">
        <v>1262</v>
      </c>
      <c r="E960" s="25" t="s">
        <v>1372</v>
      </c>
      <c r="F960" s="26" t="s">
        <v>1373</v>
      </c>
      <c r="G960" s="26" t="s">
        <v>41</v>
      </c>
      <c r="H960" s="26" t="s">
        <v>70</v>
      </c>
      <c r="I960" s="26" t="s">
        <v>43</v>
      </c>
      <c r="J960" s="26"/>
      <c r="K960" s="27"/>
      <c r="L960" s="27"/>
      <c r="M960" s="103" t="s">
        <v>1374</v>
      </c>
      <c r="N960" s="25" t="s">
        <v>1370</v>
      </c>
      <c r="O960" s="61" t="s">
        <v>1366</v>
      </c>
      <c r="P960" s="119" t="s">
        <v>134</v>
      </c>
      <c r="Q960" s="25" t="s">
        <v>131</v>
      </c>
      <c r="R960" s="16" t="n">
        <v>2772</v>
      </c>
      <c r="S960" s="16" t="n">
        <v>5700</v>
      </c>
      <c r="T960" s="16" t="n">
        <v>1</v>
      </c>
      <c r="U960" s="1" t="str">
        <f aca="false">D960&amp;"-"&amp;E960&amp;"-"&amp;M960&amp;"-"&amp;O960&amp;"-"&amp;P960&amp;"-"&amp;Q960</f>
        <v>ELOMI-CATE UW FULL COVERAGE BRA-EL4030-LIGHT PINK-34-HH</v>
      </c>
    </row>
    <row r="961" customFormat="false" ht="15" hidden="true" customHeight="false" outlineLevel="0" collapsed="false">
      <c r="B961" s="25" t="s">
        <v>1379</v>
      </c>
      <c r="C961" s="17" t="s">
        <v>37</v>
      </c>
      <c r="D961" s="61" t="s">
        <v>1262</v>
      </c>
      <c r="E961" s="25" t="s">
        <v>1372</v>
      </c>
      <c r="F961" s="26" t="s">
        <v>1373</v>
      </c>
      <c r="G961" s="26" t="s">
        <v>41</v>
      </c>
      <c r="H961" s="26" t="s">
        <v>70</v>
      </c>
      <c r="I961" s="26" t="s">
        <v>43</v>
      </c>
      <c r="J961" s="26"/>
      <c r="K961" s="27"/>
      <c r="L961" s="27"/>
      <c r="M961" s="103" t="s">
        <v>1374</v>
      </c>
      <c r="N961" s="25" t="s">
        <v>1370</v>
      </c>
      <c r="O961" s="61" t="s">
        <v>1366</v>
      </c>
      <c r="P961" s="25" t="s">
        <v>65</v>
      </c>
      <c r="Q961" s="25" t="s">
        <v>50</v>
      </c>
      <c r="R961" s="16" t="n">
        <v>2772</v>
      </c>
      <c r="S961" s="16" t="n">
        <v>5700</v>
      </c>
      <c r="T961" s="16" t="n">
        <v>1</v>
      </c>
      <c r="U961" s="1" t="str">
        <f aca="false">D961&amp;"-"&amp;E961&amp;"-"&amp;M961&amp;"-"&amp;O961&amp;"-"&amp;P961&amp;"-"&amp;Q961</f>
        <v>ELOMI-CATE UW FULL COVERAGE BRA-EL4030-LIGHT PINK-36-F</v>
      </c>
    </row>
    <row r="962" customFormat="false" ht="15" hidden="true" customHeight="false" outlineLevel="0" collapsed="false">
      <c r="B962" s="61" t="s">
        <v>1380</v>
      </c>
      <c r="C962" s="17" t="s">
        <v>37</v>
      </c>
      <c r="D962" s="61" t="s">
        <v>1262</v>
      </c>
      <c r="E962" s="25" t="s">
        <v>1372</v>
      </c>
      <c r="F962" s="26" t="s">
        <v>1373</v>
      </c>
      <c r="G962" s="26" t="s">
        <v>41</v>
      </c>
      <c r="H962" s="26" t="s">
        <v>70</v>
      </c>
      <c r="I962" s="26" t="s">
        <v>43</v>
      </c>
      <c r="J962" s="26"/>
      <c r="K962" s="27"/>
      <c r="L962" s="27"/>
      <c r="M962" s="103" t="s">
        <v>1374</v>
      </c>
      <c r="N962" s="61" t="s">
        <v>1370</v>
      </c>
      <c r="O962" s="61" t="s">
        <v>1366</v>
      </c>
      <c r="P962" s="61" t="s">
        <v>65</v>
      </c>
      <c r="Q962" s="61" t="s">
        <v>105</v>
      </c>
      <c r="R962" s="16" t="n">
        <v>2864.38</v>
      </c>
      <c r="S962" s="16" t="n">
        <v>5700</v>
      </c>
      <c r="T962" s="16" t="n">
        <v>0</v>
      </c>
      <c r="U962" s="1" t="str">
        <f aca="false">D962&amp;"-"&amp;E962&amp;"-"&amp;M962&amp;"-"&amp;O962&amp;"-"&amp;P962&amp;"-"&amp;Q962</f>
        <v>ELOMI-CATE UW FULL COVERAGE BRA-EL4030-LIGHT PINK-36-G</v>
      </c>
    </row>
    <row r="963" customFormat="false" ht="15" hidden="true" customHeight="false" outlineLevel="0" collapsed="false">
      <c r="B963" s="25" t="s">
        <v>1381</v>
      </c>
      <c r="C963" s="17" t="s">
        <v>37</v>
      </c>
      <c r="D963" s="61" t="s">
        <v>1262</v>
      </c>
      <c r="E963" s="25" t="s">
        <v>1372</v>
      </c>
      <c r="F963" s="26" t="s">
        <v>1373</v>
      </c>
      <c r="G963" s="26" t="s">
        <v>41</v>
      </c>
      <c r="H963" s="26" t="s">
        <v>70</v>
      </c>
      <c r="I963" s="26" t="s">
        <v>43</v>
      </c>
      <c r="J963" s="26"/>
      <c r="K963" s="27"/>
      <c r="L963" s="27"/>
      <c r="M963" s="103" t="s">
        <v>1374</v>
      </c>
      <c r="N963" s="25" t="s">
        <v>1370</v>
      </c>
      <c r="O963" s="61" t="s">
        <v>1366</v>
      </c>
      <c r="P963" s="25" t="s">
        <v>65</v>
      </c>
      <c r="Q963" s="25" t="s">
        <v>131</v>
      </c>
      <c r="R963" s="16" t="n">
        <v>2864.38</v>
      </c>
      <c r="S963" s="16" t="n">
        <v>5700</v>
      </c>
      <c r="T963" s="16" t="n">
        <v>1</v>
      </c>
      <c r="U963" s="1" t="str">
        <f aca="false">D963&amp;"-"&amp;E963&amp;"-"&amp;M963&amp;"-"&amp;O963&amp;"-"&amp;P963&amp;"-"&amp;Q963</f>
        <v>ELOMI-CATE UW FULL COVERAGE BRA-EL4030-LIGHT PINK-36-HH</v>
      </c>
    </row>
    <row r="964" customFormat="false" ht="15" hidden="true" customHeight="false" outlineLevel="0" collapsed="false">
      <c r="B964" s="119" t="s">
        <v>1382</v>
      </c>
      <c r="C964" s="17" t="s">
        <v>37</v>
      </c>
      <c r="D964" s="61" t="s">
        <v>1262</v>
      </c>
      <c r="E964" s="25" t="s">
        <v>1372</v>
      </c>
      <c r="F964" s="26" t="s">
        <v>1373</v>
      </c>
      <c r="G964" s="26" t="s">
        <v>41</v>
      </c>
      <c r="H964" s="26" t="s">
        <v>70</v>
      </c>
      <c r="I964" s="26" t="s">
        <v>43</v>
      </c>
      <c r="J964" s="26"/>
      <c r="K964" s="27"/>
      <c r="L964" s="27"/>
      <c r="M964" s="103" t="s">
        <v>1374</v>
      </c>
      <c r="N964" s="119" t="s">
        <v>1370</v>
      </c>
      <c r="O964" s="61" t="s">
        <v>1366</v>
      </c>
      <c r="P964" s="61" t="s">
        <v>154</v>
      </c>
      <c r="Q964" s="119" t="s">
        <v>105</v>
      </c>
      <c r="R964" s="120" t="n">
        <v>2772</v>
      </c>
      <c r="S964" s="16" t="n">
        <v>5700</v>
      </c>
      <c r="T964" s="120" t="n">
        <v>1</v>
      </c>
      <c r="U964" s="1" t="str">
        <f aca="false">D964&amp;"-"&amp;E964&amp;"-"&amp;M964&amp;"-"&amp;O964&amp;"-"&amp;P964&amp;"-"&amp;Q964</f>
        <v>ELOMI-CATE UW FULL COVERAGE BRA-EL4030-LIGHT PINK-38-G</v>
      </c>
    </row>
    <row r="965" customFormat="false" ht="15" hidden="true" customHeight="false" outlineLevel="0" collapsed="false">
      <c r="B965" s="25" t="s">
        <v>1383</v>
      </c>
      <c r="C965" s="17" t="s">
        <v>37</v>
      </c>
      <c r="D965" s="61" t="s">
        <v>1262</v>
      </c>
      <c r="E965" s="25" t="s">
        <v>1372</v>
      </c>
      <c r="F965" s="26" t="s">
        <v>1373</v>
      </c>
      <c r="G965" s="26" t="s">
        <v>41</v>
      </c>
      <c r="H965" s="26" t="s">
        <v>70</v>
      </c>
      <c r="I965" s="26" t="s">
        <v>43</v>
      </c>
      <c r="J965" s="26"/>
      <c r="K965" s="27"/>
      <c r="L965" s="27"/>
      <c r="M965" s="103" t="s">
        <v>1374</v>
      </c>
      <c r="N965" s="25" t="s">
        <v>1370</v>
      </c>
      <c r="O965" s="61" t="s">
        <v>1366</v>
      </c>
      <c r="P965" s="61" t="s">
        <v>154</v>
      </c>
      <c r="Q965" s="25" t="s">
        <v>129</v>
      </c>
      <c r="R965" s="16" t="n">
        <v>2864.38</v>
      </c>
      <c r="S965" s="16" t="n">
        <v>5700</v>
      </c>
      <c r="T965" s="16" t="n">
        <v>2</v>
      </c>
      <c r="U965" s="1" t="str">
        <f aca="false">D965&amp;"-"&amp;E965&amp;"-"&amp;M965&amp;"-"&amp;O965&amp;"-"&amp;P965&amp;"-"&amp;Q965</f>
        <v>ELOMI-CATE UW FULL COVERAGE BRA-EL4030-LIGHT PINK-38-GG</v>
      </c>
    </row>
    <row r="966" customFormat="false" ht="15" hidden="true" customHeight="false" outlineLevel="0" collapsed="false">
      <c r="B966" s="61" t="s">
        <v>1384</v>
      </c>
      <c r="C966" s="17" t="s">
        <v>37</v>
      </c>
      <c r="D966" s="61" t="s">
        <v>1262</v>
      </c>
      <c r="E966" s="25" t="s">
        <v>1372</v>
      </c>
      <c r="F966" s="26" t="s">
        <v>1373</v>
      </c>
      <c r="G966" s="26" t="s">
        <v>41</v>
      </c>
      <c r="H966" s="26" t="s">
        <v>70</v>
      </c>
      <c r="I966" s="26" t="s">
        <v>43</v>
      </c>
      <c r="J966" s="26"/>
      <c r="K966" s="27"/>
      <c r="L966" s="27"/>
      <c r="M966" s="103" t="s">
        <v>1374</v>
      </c>
      <c r="N966" s="61" t="s">
        <v>1370</v>
      </c>
      <c r="O966" s="61" t="s">
        <v>1366</v>
      </c>
      <c r="P966" s="61" t="s">
        <v>154</v>
      </c>
      <c r="Q966" s="61" t="s">
        <v>143</v>
      </c>
      <c r="R966" s="16" t="n">
        <v>2864.38</v>
      </c>
      <c r="S966" s="16" t="n">
        <v>5700</v>
      </c>
      <c r="T966" s="16" t="n">
        <v>1</v>
      </c>
      <c r="U966" s="1" t="str">
        <f aca="false">D966&amp;"-"&amp;E966&amp;"-"&amp;M966&amp;"-"&amp;O966&amp;"-"&amp;P966&amp;"-"&amp;Q966</f>
        <v>ELOMI-CATE UW FULL COVERAGE BRA-EL4030-LIGHT PINK-38-H</v>
      </c>
    </row>
    <row r="967" customFormat="false" ht="15" hidden="true" customHeight="false" outlineLevel="0" collapsed="false">
      <c r="B967" s="61" t="s">
        <v>1385</v>
      </c>
      <c r="C967" s="17" t="s">
        <v>37</v>
      </c>
      <c r="D967" s="61" t="s">
        <v>1262</v>
      </c>
      <c r="E967" s="25" t="s">
        <v>1372</v>
      </c>
      <c r="F967" s="26" t="s">
        <v>1373</v>
      </c>
      <c r="G967" s="26" t="s">
        <v>41</v>
      </c>
      <c r="H967" s="26" t="s">
        <v>70</v>
      </c>
      <c r="I967" s="26" t="s">
        <v>43</v>
      </c>
      <c r="J967" s="26"/>
      <c r="K967" s="27"/>
      <c r="L967" s="27"/>
      <c r="M967" s="103" t="s">
        <v>1374</v>
      </c>
      <c r="N967" s="61" t="s">
        <v>1370</v>
      </c>
      <c r="O967" s="61" t="s">
        <v>1366</v>
      </c>
      <c r="P967" s="61" t="s">
        <v>417</v>
      </c>
      <c r="Q967" s="61" t="s">
        <v>50</v>
      </c>
      <c r="R967" s="16" t="n">
        <v>2772</v>
      </c>
      <c r="S967" s="16" t="n">
        <v>5700</v>
      </c>
      <c r="T967" s="16" t="n">
        <v>1</v>
      </c>
      <c r="U967" s="1" t="str">
        <f aca="false">D967&amp;"-"&amp;E967&amp;"-"&amp;M967&amp;"-"&amp;O967&amp;"-"&amp;P967&amp;"-"&amp;Q967</f>
        <v>ELOMI-CATE UW FULL COVERAGE BRA-EL4030-LIGHT PINK-40-F</v>
      </c>
    </row>
    <row r="968" customFormat="false" ht="15" hidden="true" customHeight="false" outlineLevel="0" collapsed="false">
      <c r="B968" s="61" t="s">
        <v>1386</v>
      </c>
      <c r="C968" s="17" t="s">
        <v>37</v>
      </c>
      <c r="D968" s="61" t="s">
        <v>1262</v>
      </c>
      <c r="E968" s="25" t="s">
        <v>1372</v>
      </c>
      <c r="F968" s="26" t="s">
        <v>1373</v>
      </c>
      <c r="G968" s="26" t="s">
        <v>41</v>
      </c>
      <c r="H968" s="26" t="s">
        <v>70</v>
      </c>
      <c r="I968" s="26" t="s">
        <v>43</v>
      </c>
      <c r="J968" s="26"/>
      <c r="K968" s="27"/>
      <c r="L968" s="27"/>
      <c r="M968" s="103" t="s">
        <v>1374</v>
      </c>
      <c r="N968" s="61" t="s">
        <v>1370</v>
      </c>
      <c r="O968" s="61" t="s">
        <v>1366</v>
      </c>
      <c r="P968" s="61" t="s">
        <v>417</v>
      </c>
      <c r="Q968" s="61" t="s">
        <v>62</v>
      </c>
      <c r="R968" s="16" t="n">
        <v>2772</v>
      </c>
      <c r="S968" s="16" t="n">
        <v>5700</v>
      </c>
      <c r="T968" s="16" t="n">
        <v>1</v>
      </c>
      <c r="U968" s="1" t="str">
        <f aca="false">D968&amp;"-"&amp;E968&amp;"-"&amp;M968&amp;"-"&amp;O968&amp;"-"&amp;P968&amp;"-"&amp;Q968</f>
        <v>ELOMI-CATE UW FULL COVERAGE BRA-EL4030-LIGHT PINK-40-FF</v>
      </c>
    </row>
    <row r="969" customFormat="false" ht="15" hidden="true" customHeight="false" outlineLevel="0" collapsed="false">
      <c r="B969" s="25" t="s">
        <v>1387</v>
      </c>
      <c r="C969" s="17" t="s">
        <v>37</v>
      </c>
      <c r="D969" s="61" t="s">
        <v>1262</v>
      </c>
      <c r="E969" s="25" t="s">
        <v>1372</v>
      </c>
      <c r="F969" s="26" t="s">
        <v>1373</v>
      </c>
      <c r="G969" s="26" t="s">
        <v>41</v>
      </c>
      <c r="H969" s="26" t="s">
        <v>70</v>
      </c>
      <c r="I969" s="26" t="s">
        <v>43</v>
      </c>
      <c r="J969" s="26"/>
      <c r="K969" s="27"/>
      <c r="L969" s="27"/>
      <c r="M969" s="103" t="s">
        <v>1374</v>
      </c>
      <c r="N969" s="25" t="s">
        <v>1370</v>
      </c>
      <c r="O969" s="61" t="s">
        <v>1366</v>
      </c>
      <c r="P969" s="25" t="s">
        <v>417</v>
      </c>
      <c r="Q969" s="25" t="s">
        <v>129</v>
      </c>
      <c r="R969" s="16" t="n">
        <v>2772</v>
      </c>
      <c r="S969" s="16" t="n">
        <v>5700</v>
      </c>
      <c r="T969" s="16" t="n">
        <v>0</v>
      </c>
      <c r="U969" s="1" t="str">
        <f aca="false">D969&amp;"-"&amp;E969&amp;"-"&amp;M969&amp;"-"&amp;O969&amp;"-"&amp;P969&amp;"-"&amp;Q969</f>
        <v>ELOMI-CATE UW FULL COVERAGE BRA-EL4030-LIGHT PINK-40-GG</v>
      </c>
    </row>
    <row r="970" customFormat="false" ht="15" hidden="true" customHeight="false" outlineLevel="0" collapsed="false">
      <c r="B970" s="61" t="s">
        <v>1388</v>
      </c>
      <c r="C970" s="17" t="s">
        <v>37</v>
      </c>
      <c r="D970" s="61" t="s">
        <v>1262</v>
      </c>
      <c r="E970" s="25" t="s">
        <v>1372</v>
      </c>
      <c r="F970" s="26" t="s">
        <v>1373</v>
      </c>
      <c r="G970" s="26" t="s">
        <v>41</v>
      </c>
      <c r="H970" s="26" t="s">
        <v>70</v>
      </c>
      <c r="I970" s="26" t="s">
        <v>43</v>
      </c>
      <c r="J970" s="26"/>
      <c r="K970" s="27"/>
      <c r="L970" s="27"/>
      <c r="M970" s="103" t="s">
        <v>1374</v>
      </c>
      <c r="N970" s="61" t="s">
        <v>1370</v>
      </c>
      <c r="O970" s="61" t="s">
        <v>1366</v>
      </c>
      <c r="P970" s="25" t="s">
        <v>440</v>
      </c>
      <c r="Q970" s="61" t="s">
        <v>62</v>
      </c>
      <c r="R970" s="16" t="n">
        <v>2864.38</v>
      </c>
      <c r="S970" s="16" t="n">
        <v>5700</v>
      </c>
      <c r="T970" s="16" t="n">
        <v>1</v>
      </c>
      <c r="U970" s="1" t="str">
        <f aca="false">D970&amp;"-"&amp;E970&amp;"-"&amp;M970&amp;"-"&amp;O970&amp;"-"&amp;P970&amp;"-"&amp;Q970</f>
        <v>ELOMI-CATE UW FULL COVERAGE BRA-EL4030-LIGHT PINK-42-FF</v>
      </c>
    </row>
    <row r="971" customFormat="false" ht="15" hidden="true" customHeight="false" outlineLevel="0" collapsed="false">
      <c r="B971" s="61" t="s">
        <v>1389</v>
      </c>
      <c r="C971" s="17" t="s">
        <v>37</v>
      </c>
      <c r="D971" s="61" t="s">
        <v>1262</v>
      </c>
      <c r="E971" s="25" t="s">
        <v>1372</v>
      </c>
      <c r="F971" s="26" t="s">
        <v>1373</v>
      </c>
      <c r="G971" s="26" t="s">
        <v>41</v>
      </c>
      <c r="H971" s="26" t="s">
        <v>70</v>
      </c>
      <c r="I971" s="26" t="s">
        <v>43</v>
      </c>
      <c r="J971" s="26"/>
      <c r="K971" s="27"/>
      <c r="L971" s="27"/>
      <c r="M971" s="103" t="s">
        <v>1374</v>
      </c>
      <c r="N971" s="61" t="s">
        <v>1370</v>
      </c>
      <c r="O971" s="61" t="s">
        <v>1366</v>
      </c>
      <c r="P971" s="25" t="s">
        <v>440</v>
      </c>
      <c r="Q971" s="61" t="s">
        <v>105</v>
      </c>
      <c r="R971" s="16" t="n">
        <v>2772</v>
      </c>
      <c r="S971" s="16" t="n">
        <v>5700</v>
      </c>
      <c r="T971" s="16" t="n">
        <v>1</v>
      </c>
      <c r="U971" s="1" t="str">
        <f aca="false">D971&amp;"-"&amp;E971&amp;"-"&amp;M971&amp;"-"&amp;O971&amp;"-"&amp;P971&amp;"-"&amp;Q971</f>
        <v>ELOMI-CATE UW FULL COVERAGE BRA-EL4030-LIGHT PINK-42-G</v>
      </c>
    </row>
    <row r="972" customFormat="false" ht="15" hidden="true" customHeight="false" outlineLevel="0" collapsed="false">
      <c r="B972" s="25" t="s">
        <v>1390</v>
      </c>
      <c r="C972" s="17" t="s">
        <v>37</v>
      </c>
      <c r="D972" s="61" t="s">
        <v>1262</v>
      </c>
      <c r="E972" s="25" t="s">
        <v>1372</v>
      </c>
      <c r="F972" s="26" t="s">
        <v>1373</v>
      </c>
      <c r="G972" s="26" t="s">
        <v>41</v>
      </c>
      <c r="H972" s="26" t="s">
        <v>70</v>
      </c>
      <c r="I972" s="26" t="s">
        <v>43</v>
      </c>
      <c r="J972" s="26"/>
      <c r="K972" s="27"/>
      <c r="L972" s="27"/>
      <c r="M972" s="103" t="s">
        <v>1374</v>
      </c>
      <c r="N972" s="25" t="s">
        <v>1370</v>
      </c>
      <c r="O972" s="61" t="s">
        <v>1366</v>
      </c>
      <c r="P972" s="25" t="s">
        <v>65</v>
      </c>
      <c r="Q972" s="25" t="s">
        <v>1391</v>
      </c>
      <c r="R972" s="16" t="n">
        <v>2772</v>
      </c>
      <c r="S972" s="16" t="n">
        <v>5700</v>
      </c>
      <c r="T972" s="16" t="n">
        <v>1</v>
      </c>
      <c r="U972" s="1" t="str">
        <f aca="false">D972&amp;"-"&amp;E972&amp;"-"&amp;M972&amp;"-"&amp;O972&amp;"-"&amp;P972&amp;"-"&amp;Q972</f>
        <v>ELOMI-CATE UW FULL COVERAGE BRA-EL4030-LIGHT PINK-36-JJ</v>
      </c>
    </row>
    <row r="973" customFormat="false" ht="15" hidden="true" customHeight="false" outlineLevel="0" collapsed="false">
      <c r="B973" s="119" t="s">
        <v>1392</v>
      </c>
      <c r="C973" s="17" t="s">
        <v>37</v>
      </c>
      <c r="D973" s="61" t="s">
        <v>1262</v>
      </c>
      <c r="E973" s="25" t="s">
        <v>1372</v>
      </c>
      <c r="F973" s="26" t="s">
        <v>1373</v>
      </c>
      <c r="G973" s="26" t="s">
        <v>41</v>
      </c>
      <c r="H973" s="26" t="s">
        <v>70</v>
      </c>
      <c r="I973" s="26" t="s">
        <v>43</v>
      </c>
      <c r="J973" s="26"/>
      <c r="K973" s="27"/>
      <c r="L973" s="27"/>
      <c r="M973" s="103" t="s">
        <v>1374</v>
      </c>
      <c r="N973" s="119" t="s">
        <v>1370</v>
      </c>
      <c r="O973" s="61" t="s">
        <v>1366</v>
      </c>
      <c r="P973" s="119" t="s">
        <v>417</v>
      </c>
      <c r="Q973" s="119" t="s">
        <v>238</v>
      </c>
      <c r="R973" s="120" t="n">
        <v>2700</v>
      </c>
      <c r="S973" s="16" t="n">
        <v>5700</v>
      </c>
      <c r="T973" s="120" t="n">
        <v>1</v>
      </c>
      <c r="U973" s="1" t="str">
        <f aca="false">D973&amp;"-"&amp;E973&amp;"-"&amp;M973&amp;"-"&amp;O973&amp;"-"&amp;P973&amp;"-"&amp;Q973</f>
        <v>ELOMI-CATE UW FULL COVERAGE BRA-EL4030-LIGHT PINK-40-J</v>
      </c>
    </row>
    <row r="974" customFormat="false" ht="15" hidden="true" customHeight="false" outlineLevel="0" collapsed="false">
      <c r="B974" s="61" t="s">
        <v>1393</v>
      </c>
      <c r="C974" s="17" t="s">
        <v>37</v>
      </c>
      <c r="D974" s="61" t="s">
        <v>1262</v>
      </c>
      <c r="E974" s="25" t="s">
        <v>1372</v>
      </c>
      <c r="F974" s="26" t="s">
        <v>1373</v>
      </c>
      <c r="G974" s="26" t="s">
        <v>41</v>
      </c>
      <c r="H974" s="26" t="s">
        <v>70</v>
      </c>
      <c r="I974" s="26" t="s">
        <v>43</v>
      </c>
      <c r="J974" s="26"/>
      <c r="K974" s="27"/>
      <c r="L974" s="27"/>
      <c r="M974" s="103" t="s">
        <v>1374</v>
      </c>
      <c r="N974" s="61" t="s">
        <v>1370</v>
      </c>
      <c r="O974" s="61" t="s">
        <v>1366</v>
      </c>
      <c r="P974" s="61" t="s">
        <v>417</v>
      </c>
      <c r="Q974" s="61" t="s">
        <v>1341</v>
      </c>
      <c r="R974" s="16" t="n">
        <v>2700</v>
      </c>
      <c r="S974" s="16" t="n">
        <v>5700</v>
      </c>
      <c r="T974" s="16" t="n">
        <v>1</v>
      </c>
      <c r="U974" s="1" t="str">
        <f aca="false">D974&amp;"-"&amp;E974&amp;"-"&amp;M974&amp;"-"&amp;O974&amp;"-"&amp;P974&amp;"-"&amp;Q974</f>
        <v>ELOMI-CATE UW FULL COVERAGE BRA-EL4030-LIGHT PINK-40-K</v>
      </c>
    </row>
    <row r="975" customFormat="false" ht="15" hidden="true" customHeight="false" outlineLevel="0" collapsed="false">
      <c r="B975" s="25" t="s">
        <v>1394</v>
      </c>
      <c r="C975" s="17" t="s">
        <v>37</v>
      </c>
      <c r="D975" s="61" t="s">
        <v>1262</v>
      </c>
      <c r="E975" s="25" t="s">
        <v>1372</v>
      </c>
      <c r="F975" s="26" t="s">
        <v>1373</v>
      </c>
      <c r="G975" s="26" t="s">
        <v>41</v>
      </c>
      <c r="H975" s="26" t="s">
        <v>70</v>
      </c>
      <c r="I975" s="26" t="s">
        <v>43</v>
      </c>
      <c r="J975" s="26"/>
      <c r="K975" s="27"/>
      <c r="L975" s="27"/>
      <c r="M975" s="103" t="s">
        <v>1374</v>
      </c>
      <c r="N975" s="25" t="s">
        <v>1370</v>
      </c>
      <c r="O975" s="61" t="s">
        <v>1366</v>
      </c>
      <c r="P975" s="25" t="s">
        <v>440</v>
      </c>
      <c r="Q975" s="25" t="s">
        <v>1341</v>
      </c>
      <c r="R975" s="16" t="n">
        <v>2772</v>
      </c>
      <c r="S975" s="16" t="n">
        <v>5700</v>
      </c>
      <c r="T975" s="16" t="n">
        <v>1</v>
      </c>
      <c r="U975" s="1" t="str">
        <f aca="false">D975&amp;"-"&amp;E975&amp;"-"&amp;M975&amp;"-"&amp;O975&amp;"-"&amp;P975&amp;"-"&amp;Q975</f>
        <v>ELOMI-CATE UW FULL COVERAGE BRA-EL4030-LIGHT PINK-42-K</v>
      </c>
    </row>
    <row r="976" customFormat="false" ht="15" hidden="true" customHeight="false" outlineLevel="0" collapsed="false">
      <c r="B976" s="25" t="s">
        <v>1395</v>
      </c>
      <c r="C976" s="17" t="s">
        <v>37</v>
      </c>
      <c r="D976" s="61" t="s">
        <v>1262</v>
      </c>
      <c r="E976" s="25" t="s">
        <v>1372</v>
      </c>
      <c r="F976" s="26" t="s">
        <v>1373</v>
      </c>
      <c r="G976" s="26" t="s">
        <v>41</v>
      </c>
      <c r="H976" s="26" t="s">
        <v>70</v>
      </c>
      <c r="I976" s="26" t="s">
        <v>43</v>
      </c>
      <c r="J976" s="26"/>
      <c r="K976" s="27"/>
      <c r="L976" s="27"/>
      <c r="M976" s="103" t="s">
        <v>1374</v>
      </c>
      <c r="N976" s="25" t="s">
        <v>72</v>
      </c>
      <c r="O976" s="25" t="s">
        <v>612</v>
      </c>
      <c r="P976" s="25" t="s">
        <v>417</v>
      </c>
      <c r="Q976" s="25" t="s">
        <v>131</v>
      </c>
      <c r="R976" s="16" t="n">
        <v>2772</v>
      </c>
      <c r="S976" s="16" t="n">
        <v>5700</v>
      </c>
      <c r="T976" s="16" t="n">
        <v>1</v>
      </c>
      <c r="U976" s="1" t="str">
        <f aca="false">D976&amp;"-"&amp;E976&amp;"-"&amp;M976&amp;"-"&amp;O976&amp;"-"&amp;P976&amp;"-"&amp;Q976</f>
        <v>ELOMI-CATE UW FULL COVERAGE BRA-EL4030-WHITE-40-HH</v>
      </c>
    </row>
    <row r="977" customFormat="false" ht="15" hidden="true" customHeight="false" outlineLevel="0" collapsed="false">
      <c r="B977" s="25" t="s">
        <v>1396</v>
      </c>
      <c r="C977" s="17" t="s">
        <v>37</v>
      </c>
      <c r="D977" s="61" t="s">
        <v>1262</v>
      </c>
      <c r="E977" s="25" t="s">
        <v>1372</v>
      </c>
      <c r="F977" s="26" t="s">
        <v>1373</v>
      </c>
      <c r="G977" s="26" t="s">
        <v>41</v>
      </c>
      <c r="H977" s="26" t="s">
        <v>70</v>
      </c>
      <c r="I977" s="26" t="s">
        <v>43</v>
      </c>
      <c r="J977" s="26"/>
      <c r="K977" s="27"/>
      <c r="L977" s="27"/>
      <c r="M977" s="103" t="s">
        <v>1374</v>
      </c>
      <c r="N977" s="25" t="s">
        <v>1397</v>
      </c>
      <c r="O977" s="25" t="s">
        <v>465</v>
      </c>
      <c r="P977" s="25" t="s">
        <v>417</v>
      </c>
      <c r="Q977" s="25" t="s">
        <v>105</v>
      </c>
      <c r="R977" s="16" t="n">
        <v>2772</v>
      </c>
      <c r="S977" s="16" t="n">
        <v>5700</v>
      </c>
      <c r="T977" s="16" t="n">
        <v>0</v>
      </c>
      <c r="U977" s="1" t="str">
        <f aca="false">D977&amp;"-"&amp;E977&amp;"-"&amp;M977&amp;"-"&amp;O977&amp;"-"&amp;P977&amp;"-"&amp;Q977</f>
        <v>ELOMI-CATE UW FULL COVERAGE BRA-EL4030-SKIN-40-G</v>
      </c>
    </row>
    <row r="978" customFormat="false" ht="15" hidden="true" customHeight="false" outlineLevel="0" collapsed="false">
      <c r="B978" s="61" t="s">
        <v>1398</v>
      </c>
      <c r="C978" s="17" t="s">
        <v>37</v>
      </c>
      <c r="D978" s="61" t="s">
        <v>1262</v>
      </c>
      <c r="E978" s="25" t="s">
        <v>1372</v>
      </c>
      <c r="F978" s="26" t="s">
        <v>1373</v>
      </c>
      <c r="G978" s="26" t="s">
        <v>41</v>
      </c>
      <c r="H978" s="26" t="s">
        <v>70</v>
      </c>
      <c r="I978" s="26" t="s">
        <v>43</v>
      </c>
      <c r="J978" s="26"/>
      <c r="K978" s="27"/>
      <c r="L978" s="27"/>
      <c r="M978" s="103" t="s">
        <v>1374</v>
      </c>
      <c r="N978" s="61" t="s">
        <v>1397</v>
      </c>
      <c r="O978" s="25" t="s">
        <v>465</v>
      </c>
      <c r="P978" s="61" t="s">
        <v>417</v>
      </c>
      <c r="Q978" s="61" t="s">
        <v>131</v>
      </c>
      <c r="R978" s="16" t="n">
        <v>2772</v>
      </c>
      <c r="S978" s="16" t="n">
        <v>5700</v>
      </c>
      <c r="T978" s="16" t="n">
        <v>2</v>
      </c>
      <c r="U978" s="1" t="str">
        <f aca="false">D978&amp;"-"&amp;E978&amp;"-"&amp;M978&amp;"-"&amp;O978&amp;"-"&amp;P978&amp;"-"&amp;Q978</f>
        <v>ELOMI-CATE UW FULL COVERAGE BRA-EL4030-SKIN-40-HH</v>
      </c>
    </row>
    <row r="979" customFormat="false" ht="15" hidden="true" customHeight="false" outlineLevel="0" collapsed="false">
      <c r="B979" s="25" t="s">
        <v>1399</v>
      </c>
      <c r="C979" s="17" t="s">
        <v>37</v>
      </c>
      <c r="D979" s="61" t="s">
        <v>1262</v>
      </c>
      <c r="E979" s="25" t="s">
        <v>1372</v>
      </c>
      <c r="F979" s="26" t="s">
        <v>1373</v>
      </c>
      <c r="G979" s="26" t="s">
        <v>41</v>
      </c>
      <c r="H979" s="26" t="s">
        <v>70</v>
      </c>
      <c r="I979" s="26" t="s">
        <v>43</v>
      </c>
      <c r="J979" s="26"/>
      <c r="K979" s="27"/>
      <c r="L979" s="27"/>
      <c r="M979" s="103" t="s">
        <v>1374</v>
      </c>
      <c r="N979" s="25" t="s">
        <v>1397</v>
      </c>
      <c r="O979" s="25" t="s">
        <v>465</v>
      </c>
      <c r="P979" s="25" t="s">
        <v>440</v>
      </c>
      <c r="Q979" s="25" t="s">
        <v>143</v>
      </c>
      <c r="R979" s="16" t="n">
        <v>2772</v>
      </c>
      <c r="S979" s="16" t="n">
        <v>5700</v>
      </c>
      <c r="T979" s="16" t="n">
        <v>1</v>
      </c>
      <c r="U979" s="1" t="str">
        <f aca="false">D979&amp;"-"&amp;E979&amp;"-"&amp;M979&amp;"-"&amp;O979&amp;"-"&amp;P979&amp;"-"&amp;Q979</f>
        <v>ELOMI-CATE UW FULL COVERAGE BRA-EL4030-SKIN-42-H</v>
      </c>
    </row>
    <row r="980" customFormat="false" ht="15" hidden="true" customHeight="false" outlineLevel="0" collapsed="false">
      <c r="B980" s="61" t="s">
        <v>1400</v>
      </c>
      <c r="C980" s="17" t="s">
        <v>37</v>
      </c>
      <c r="D980" s="61" t="s">
        <v>1262</v>
      </c>
      <c r="E980" s="25" t="s">
        <v>1372</v>
      </c>
      <c r="F980" s="26" t="s">
        <v>1373</v>
      </c>
      <c r="G980" s="26" t="s">
        <v>41</v>
      </c>
      <c r="H980" s="26" t="s">
        <v>70</v>
      </c>
      <c r="I980" s="26" t="s">
        <v>43</v>
      </c>
      <c r="J980" s="26"/>
      <c r="K980" s="27"/>
      <c r="L980" s="27"/>
      <c r="M980" s="103" t="s">
        <v>1374</v>
      </c>
      <c r="N980" s="61" t="s">
        <v>1401</v>
      </c>
      <c r="O980" s="61" t="s">
        <v>1187</v>
      </c>
      <c r="P980" s="61" t="s">
        <v>417</v>
      </c>
      <c r="Q980" s="61" t="s">
        <v>131</v>
      </c>
      <c r="R980" s="16" t="n">
        <v>2772</v>
      </c>
      <c r="S980" s="16" t="n">
        <v>5700</v>
      </c>
      <c r="T980" s="16" t="n">
        <v>1</v>
      </c>
      <c r="U980" s="1" t="str">
        <f aca="false">D980&amp;"-"&amp;E980&amp;"-"&amp;M980&amp;"-"&amp;O980&amp;"-"&amp;P980&amp;"-"&amp;Q980</f>
        <v>ELOMI-CATE UW FULL COVERAGE BRA-EL4030-WINE-40-HH</v>
      </c>
    </row>
    <row r="981" customFormat="false" ht="15" hidden="true" customHeight="false" outlineLevel="0" collapsed="false">
      <c r="B981" s="25" t="s">
        <v>1402</v>
      </c>
      <c r="C981" s="17" t="s">
        <v>37</v>
      </c>
      <c r="D981" s="61" t="s">
        <v>1262</v>
      </c>
      <c r="E981" s="25" t="s">
        <v>1372</v>
      </c>
      <c r="F981" s="26" t="s">
        <v>1373</v>
      </c>
      <c r="G981" s="26" t="s">
        <v>41</v>
      </c>
      <c r="H981" s="26" t="s">
        <v>70</v>
      </c>
      <c r="I981" s="26" t="s">
        <v>43</v>
      </c>
      <c r="J981" s="26"/>
      <c r="K981" s="27"/>
      <c r="L981" s="27"/>
      <c r="M981" s="103" t="s">
        <v>1374</v>
      </c>
      <c r="N981" s="25" t="s">
        <v>1401</v>
      </c>
      <c r="O981" s="61" t="s">
        <v>1187</v>
      </c>
      <c r="P981" s="25" t="s">
        <v>440</v>
      </c>
      <c r="Q981" s="25" t="s">
        <v>131</v>
      </c>
      <c r="R981" s="16" t="n">
        <v>2772</v>
      </c>
      <c r="S981" s="16" t="n">
        <v>5700</v>
      </c>
      <c r="T981" s="16" t="n">
        <v>1</v>
      </c>
      <c r="U981" s="1" t="str">
        <f aca="false">D981&amp;"-"&amp;E981&amp;"-"&amp;M981&amp;"-"&amp;O981&amp;"-"&amp;P981&amp;"-"&amp;Q981</f>
        <v>ELOMI-CATE UW FULL COVERAGE BRA-EL4030-WINE-42-HH</v>
      </c>
    </row>
    <row r="982" customFormat="false" ht="15" hidden="true" customHeight="false" outlineLevel="0" collapsed="false">
      <c r="B982" s="61" t="s">
        <v>1403</v>
      </c>
      <c r="C982" s="17" t="s">
        <v>37</v>
      </c>
      <c r="D982" s="61" t="s">
        <v>1262</v>
      </c>
      <c r="E982" s="25" t="s">
        <v>1372</v>
      </c>
      <c r="F982" s="26" t="s">
        <v>1373</v>
      </c>
      <c r="G982" s="26" t="s">
        <v>41</v>
      </c>
      <c r="H982" s="26" t="s">
        <v>70</v>
      </c>
      <c r="I982" s="26" t="s">
        <v>43</v>
      </c>
      <c r="J982" s="26"/>
      <c r="K982" s="27"/>
      <c r="L982" s="27"/>
      <c r="M982" s="103" t="s">
        <v>1374</v>
      </c>
      <c r="N982" s="61" t="s">
        <v>1401</v>
      </c>
      <c r="O982" s="61" t="s">
        <v>1187</v>
      </c>
      <c r="P982" s="61" t="s">
        <v>440</v>
      </c>
      <c r="Q982" s="61" t="s">
        <v>238</v>
      </c>
      <c r="R982" s="16" t="n">
        <v>2864.38</v>
      </c>
      <c r="S982" s="16" t="n">
        <v>5700</v>
      </c>
      <c r="T982" s="16" t="n">
        <v>1</v>
      </c>
      <c r="U982" s="1" t="str">
        <f aca="false">D982&amp;"-"&amp;E982&amp;"-"&amp;M982&amp;"-"&amp;O982&amp;"-"&amp;P982&amp;"-"&amp;Q982</f>
        <v>ELOMI-CATE UW FULL COVERAGE BRA-EL4030-WINE-42-J</v>
      </c>
    </row>
    <row r="983" customFormat="false" ht="15" hidden="true" customHeight="false" outlineLevel="0" collapsed="false">
      <c r="B983" s="61" t="s">
        <v>1404</v>
      </c>
      <c r="C983" s="17" t="s">
        <v>37</v>
      </c>
      <c r="D983" s="61" t="s">
        <v>1262</v>
      </c>
      <c r="E983" s="25" t="s">
        <v>1372</v>
      </c>
      <c r="F983" s="26" t="s">
        <v>1373</v>
      </c>
      <c r="G983" s="26" t="s">
        <v>41</v>
      </c>
      <c r="H983" s="26" t="s">
        <v>70</v>
      </c>
      <c r="I983" s="26" t="s">
        <v>43</v>
      </c>
      <c r="J983" s="26"/>
      <c r="K983" s="27"/>
      <c r="L983" s="27"/>
      <c r="M983" s="103" t="s">
        <v>1374</v>
      </c>
      <c r="N983" s="61" t="s">
        <v>1401</v>
      </c>
      <c r="O983" s="61" t="s">
        <v>1187</v>
      </c>
      <c r="P983" s="61" t="s">
        <v>515</v>
      </c>
      <c r="Q983" s="61" t="s">
        <v>66</v>
      </c>
      <c r="R983" s="16" t="n">
        <v>2772.02</v>
      </c>
      <c r="S983" s="16" t="n">
        <v>5700</v>
      </c>
      <c r="T983" s="16" t="n">
        <v>1</v>
      </c>
      <c r="U983" s="1" t="str">
        <f aca="false">D983&amp;"-"&amp;E983&amp;"-"&amp;M983&amp;"-"&amp;O983&amp;"-"&amp;P983&amp;"-"&amp;Q983</f>
        <v>ELOMI-CATE UW FULL COVERAGE BRA-EL4030-WINE-46-E</v>
      </c>
    </row>
    <row r="984" customFormat="false" ht="15" hidden="true" customHeight="false" outlineLevel="0" collapsed="false">
      <c r="B984" s="25" t="s">
        <v>1405</v>
      </c>
      <c r="C984" s="17" t="s">
        <v>37</v>
      </c>
      <c r="D984" s="61" t="s">
        <v>1262</v>
      </c>
      <c r="E984" s="25" t="s">
        <v>1372</v>
      </c>
      <c r="F984" s="26" t="s">
        <v>1373</v>
      </c>
      <c r="G984" s="26" t="s">
        <v>41</v>
      </c>
      <c r="H984" s="26" t="s">
        <v>70</v>
      </c>
      <c r="I984" s="26" t="s">
        <v>43</v>
      </c>
      <c r="J984" s="26"/>
      <c r="K984" s="27"/>
      <c r="L984" s="27"/>
      <c r="M984" s="103" t="s">
        <v>1374</v>
      </c>
      <c r="N984" s="25" t="s">
        <v>1401</v>
      </c>
      <c r="O984" s="61" t="s">
        <v>1187</v>
      </c>
      <c r="P984" s="25" t="s">
        <v>515</v>
      </c>
      <c r="Q984" s="25" t="s">
        <v>50</v>
      </c>
      <c r="R984" s="16" t="n">
        <v>2772</v>
      </c>
      <c r="S984" s="16" t="n">
        <v>5700</v>
      </c>
      <c r="T984" s="16" t="n">
        <v>1</v>
      </c>
      <c r="U984" s="1" t="str">
        <f aca="false">D984&amp;"-"&amp;E984&amp;"-"&amp;M984&amp;"-"&amp;O984&amp;"-"&amp;P984&amp;"-"&amp;Q984</f>
        <v>ELOMI-CATE UW FULL COVERAGE BRA-EL4030-WINE-46-F</v>
      </c>
    </row>
    <row r="985" customFormat="false" ht="15" hidden="true" customHeight="false" outlineLevel="0" collapsed="false">
      <c r="B985" s="119" t="s">
        <v>1406</v>
      </c>
      <c r="C985" s="17" t="s">
        <v>37</v>
      </c>
      <c r="D985" s="61" t="s">
        <v>1262</v>
      </c>
      <c r="E985" s="25" t="s">
        <v>1372</v>
      </c>
      <c r="F985" s="26" t="s">
        <v>1373</v>
      </c>
      <c r="G985" s="26" t="s">
        <v>41</v>
      </c>
      <c r="H985" s="26" t="s">
        <v>70</v>
      </c>
      <c r="I985" s="26" t="s">
        <v>43</v>
      </c>
      <c r="J985" s="26"/>
      <c r="K985" s="27"/>
      <c r="L985" s="27"/>
      <c r="M985" s="103" t="s">
        <v>1374</v>
      </c>
      <c r="N985" s="119" t="s">
        <v>1401</v>
      </c>
      <c r="O985" s="61" t="s">
        <v>1187</v>
      </c>
      <c r="P985" s="119" t="s">
        <v>515</v>
      </c>
      <c r="Q985" s="119" t="s">
        <v>131</v>
      </c>
      <c r="R985" s="120" t="n">
        <v>2477.5</v>
      </c>
      <c r="S985" s="16" t="n">
        <v>5700</v>
      </c>
      <c r="T985" s="120" t="n">
        <v>1</v>
      </c>
      <c r="U985" s="1" t="str">
        <f aca="false">D985&amp;"-"&amp;E985&amp;"-"&amp;M985&amp;"-"&amp;O985&amp;"-"&amp;P985&amp;"-"&amp;Q985</f>
        <v>ELOMI-CATE UW FULL COVERAGE BRA-EL4030-WINE-46-HH</v>
      </c>
    </row>
    <row r="986" customFormat="false" ht="15" hidden="true" customHeight="false" outlineLevel="0" collapsed="false">
      <c r="B986" s="61" t="s">
        <v>1407</v>
      </c>
      <c r="C986" s="17" t="s">
        <v>37</v>
      </c>
      <c r="D986" s="61" t="s">
        <v>1262</v>
      </c>
      <c r="E986" s="25" t="s">
        <v>1372</v>
      </c>
      <c r="F986" s="26" t="s">
        <v>1373</v>
      </c>
      <c r="G986" s="26" t="s">
        <v>41</v>
      </c>
      <c r="H986" s="26" t="s">
        <v>70</v>
      </c>
      <c r="I986" s="26" t="s">
        <v>43</v>
      </c>
      <c r="J986" s="26"/>
      <c r="K986" s="27"/>
      <c r="L986" s="27"/>
      <c r="M986" s="103" t="s">
        <v>1374</v>
      </c>
      <c r="N986" s="61" t="s">
        <v>1368</v>
      </c>
      <c r="O986" s="61" t="s">
        <v>1275</v>
      </c>
      <c r="P986" s="61" t="s">
        <v>154</v>
      </c>
      <c r="Q986" s="61" t="s">
        <v>50</v>
      </c>
      <c r="R986" s="16" t="n">
        <v>2520.02</v>
      </c>
      <c r="S986" s="16" t="n">
        <v>5700</v>
      </c>
      <c r="T986" s="16" t="n">
        <v>1</v>
      </c>
      <c r="U986" s="1" t="str">
        <f aca="false">D986&amp;"-"&amp;E986&amp;"-"&amp;M986&amp;"-"&amp;O986&amp;"-"&amp;P986&amp;"-"&amp;Q986</f>
        <v>ELOMI-CATE UW FULL COVERAGE BRA-EL4030-INK BLUE-38-F</v>
      </c>
    </row>
    <row r="987" customFormat="false" ht="15" hidden="true" customHeight="false" outlineLevel="0" collapsed="false">
      <c r="B987" s="61" t="s">
        <v>1408</v>
      </c>
      <c r="C987" s="17" t="s">
        <v>37</v>
      </c>
      <c r="D987" s="61" t="s">
        <v>1262</v>
      </c>
      <c r="E987" s="25" t="s">
        <v>1372</v>
      </c>
      <c r="F987" s="26" t="s">
        <v>1373</v>
      </c>
      <c r="G987" s="26" t="s">
        <v>41</v>
      </c>
      <c r="H987" s="26" t="s">
        <v>70</v>
      </c>
      <c r="I987" s="26" t="s">
        <v>43</v>
      </c>
      <c r="J987" s="26"/>
      <c r="K987" s="27"/>
      <c r="L987" s="27"/>
      <c r="M987" s="103" t="s">
        <v>1374</v>
      </c>
      <c r="N987" s="61" t="s">
        <v>1368</v>
      </c>
      <c r="O987" s="61" t="s">
        <v>1275</v>
      </c>
      <c r="P987" s="25" t="s">
        <v>440</v>
      </c>
      <c r="Q987" s="61" t="s">
        <v>66</v>
      </c>
      <c r="R987" s="16" t="n">
        <v>2772</v>
      </c>
      <c r="S987" s="16" t="n">
        <v>5700</v>
      </c>
      <c r="T987" s="16" t="n">
        <v>1</v>
      </c>
      <c r="U987" s="1" t="str">
        <f aca="false">D987&amp;"-"&amp;E987&amp;"-"&amp;M987&amp;"-"&amp;O987&amp;"-"&amp;P987&amp;"-"&amp;Q987</f>
        <v>ELOMI-CATE UW FULL COVERAGE BRA-EL4030-INK BLUE-42-E</v>
      </c>
    </row>
    <row r="988" customFormat="false" ht="15" hidden="true" customHeight="false" outlineLevel="0" collapsed="false">
      <c r="B988" s="61" t="s">
        <v>1409</v>
      </c>
      <c r="C988" s="17" t="s">
        <v>37</v>
      </c>
      <c r="D988" s="61" t="s">
        <v>1262</v>
      </c>
      <c r="E988" s="25" t="s">
        <v>1372</v>
      </c>
      <c r="F988" s="26" t="s">
        <v>1373</v>
      </c>
      <c r="G988" s="26" t="s">
        <v>41</v>
      </c>
      <c r="H988" s="26" t="s">
        <v>70</v>
      </c>
      <c r="I988" s="26" t="s">
        <v>43</v>
      </c>
      <c r="J988" s="26"/>
      <c r="K988" s="27"/>
      <c r="L988" s="27"/>
      <c r="M988" s="103" t="s">
        <v>1374</v>
      </c>
      <c r="N988" s="61" t="s">
        <v>1368</v>
      </c>
      <c r="O988" s="61" t="s">
        <v>1275</v>
      </c>
      <c r="P988" s="61" t="s">
        <v>515</v>
      </c>
      <c r="Q988" s="61" t="s">
        <v>50</v>
      </c>
      <c r="R988" s="16" t="n">
        <v>2772</v>
      </c>
      <c r="S988" s="16" t="n">
        <v>5700</v>
      </c>
      <c r="T988" s="16" t="n">
        <v>1</v>
      </c>
      <c r="U988" s="1" t="str">
        <f aca="false">D988&amp;"-"&amp;E988&amp;"-"&amp;M988&amp;"-"&amp;O988&amp;"-"&amp;P988&amp;"-"&amp;Q988</f>
        <v>ELOMI-CATE UW FULL COVERAGE BRA-EL4030-INK BLUE-46-F</v>
      </c>
    </row>
    <row r="989" customFormat="false" ht="15" hidden="true" customHeight="false" outlineLevel="0" collapsed="false">
      <c r="B989" s="25" t="s">
        <v>1410</v>
      </c>
      <c r="C989" s="17" t="s">
        <v>37</v>
      </c>
      <c r="D989" s="61" t="s">
        <v>1262</v>
      </c>
      <c r="E989" s="25" t="s">
        <v>1372</v>
      </c>
      <c r="F989" s="26" t="s">
        <v>1373</v>
      </c>
      <c r="G989" s="26" t="s">
        <v>41</v>
      </c>
      <c r="H989" s="26" t="s">
        <v>70</v>
      </c>
      <c r="I989" s="26" t="s">
        <v>43</v>
      </c>
      <c r="J989" s="26"/>
      <c r="K989" s="27"/>
      <c r="L989" s="27"/>
      <c r="M989" s="103" t="s">
        <v>1374</v>
      </c>
      <c r="N989" s="25" t="s">
        <v>1368</v>
      </c>
      <c r="O989" s="61" t="s">
        <v>1275</v>
      </c>
      <c r="P989" s="25" t="s">
        <v>515</v>
      </c>
      <c r="Q989" s="25" t="s">
        <v>62</v>
      </c>
      <c r="R989" s="16" t="n">
        <v>2772</v>
      </c>
      <c r="S989" s="16" t="n">
        <v>5700</v>
      </c>
      <c r="T989" s="16" t="n">
        <v>1</v>
      </c>
      <c r="U989" s="1" t="str">
        <f aca="false">D989&amp;"-"&amp;E989&amp;"-"&amp;M989&amp;"-"&amp;O989&amp;"-"&amp;P989&amp;"-"&amp;Q989</f>
        <v>ELOMI-CATE UW FULL COVERAGE BRA-EL4030-INK BLUE-46-FF</v>
      </c>
    </row>
    <row r="990" customFormat="false" ht="15" hidden="true" customHeight="false" outlineLevel="0" collapsed="false">
      <c r="B990" s="25" t="s">
        <v>1411</v>
      </c>
      <c r="C990" s="17" t="s">
        <v>37</v>
      </c>
      <c r="D990" s="61" t="s">
        <v>1262</v>
      </c>
      <c r="E990" s="25" t="s">
        <v>1372</v>
      </c>
      <c r="F990" s="26" t="s">
        <v>1373</v>
      </c>
      <c r="G990" s="26" t="s">
        <v>41</v>
      </c>
      <c r="H990" s="26" t="s">
        <v>70</v>
      </c>
      <c r="I990" s="26" t="s">
        <v>43</v>
      </c>
      <c r="J990" s="26"/>
      <c r="K990" s="27"/>
      <c r="L990" s="27"/>
      <c r="M990" s="103" t="s">
        <v>1374</v>
      </c>
      <c r="N990" s="25" t="s">
        <v>1368</v>
      </c>
      <c r="O990" s="61" t="s">
        <v>1275</v>
      </c>
      <c r="P990" s="25" t="s">
        <v>515</v>
      </c>
      <c r="Q990" s="25" t="s">
        <v>143</v>
      </c>
      <c r="R990" s="16" t="n">
        <v>2772</v>
      </c>
      <c r="S990" s="16" t="n">
        <v>5700</v>
      </c>
      <c r="T990" s="16" t="n">
        <v>1</v>
      </c>
      <c r="U990" s="1" t="str">
        <f aca="false">D990&amp;"-"&amp;E990&amp;"-"&amp;M990&amp;"-"&amp;O990&amp;"-"&amp;P990&amp;"-"&amp;Q990</f>
        <v>ELOMI-CATE UW FULL COVERAGE BRA-EL4030-INK BLUE-46-H</v>
      </c>
    </row>
    <row r="991" customFormat="false" ht="15" hidden="true" customHeight="false" outlineLevel="0" collapsed="false">
      <c r="B991" s="61" t="s">
        <v>1412</v>
      </c>
      <c r="C991" s="17" t="s">
        <v>37</v>
      </c>
      <c r="D991" s="61" t="s">
        <v>1262</v>
      </c>
      <c r="E991" s="25" t="s">
        <v>1372</v>
      </c>
      <c r="F991" s="26" t="s">
        <v>1373</v>
      </c>
      <c r="G991" s="26" t="s">
        <v>41</v>
      </c>
      <c r="H991" s="26" t="s">
        <v>70</v>
      </c>
      <c r="I991" s="26" t="s">
        <v>43</v>
      </c>
      <c r="J991" s="26"/>
      <c r="K991" s="27"/>
      <c r="L991" s="27"/>
      <c r="M991" s="103" t="s">
        <v>1374</v>
      </c>
      <c r="N991" s="61" t="s">
        <v>1413</v>
      </c>
      <c r="O991" s="61" t="s">
        <v>588</v>
      </c>
      <c r="P991" s="61" t="s">
        <v>154</v>
      </c>
      <c r="Q991" s="61" t="s">
        <v>66</v>
      </c>
      <c r="R991" s="16" t="n">
        <v>2772</v>
      </c>
      <c r="S991" s="16" t="n">
        <v>5700</v>
      </c>
      <c r="T991" s="16" t="n">
        <v>1</v>
      </c>
      <c r="U991" s="1" t="str">
        <f aca="false">D991&amp;"-"&amp;E991&amp;"-"&amp;M991&amp;"-"&amp;O991&amp;"-"&amp;P991&amp;"-"&amp;Q991</f>
        <v>ELOMI-CATE UW FULL COVERAGE BRA-EL4030-PURPLE-38-E</v>
      </c>
    </row>
    <row r="992" customFormat="false" ht="15" hidden="true" customHeight="false" outlineLevel="0" collapsed="false">
      <c r="B992" s="61" t="s">
        <v>1414</v>
      </c>
      <c r="C992" s="17" t="s">
        <v>37</v>
      </c>
      <c r="D992" s="61" t="s">
        <v>1262</v>
      </c>
      <c r="E992" s="25" t="s">
        <v>1372</v>
      </c>
      <c r="F992" s="26" t="s">
        <v>1373</v>
      </c>
      <c r="G992" s="26" t="s">
        <v>41</v>
      </c>
      <c r="H992" s="26" t="s">
        <v>70</v>
      </c>
      <c r="I992" s="26" t="s">
        <v>43</v>
      </c>
      <c r="J992" s="26"/>
      <c r="K992" s="27"/>
      <c r="L992" s="27"/>
      <c r="M992" s="103" t="s">
        <v>1374</v>
      </c>
      <c r="N992" s="61" t="s">
        <v>1413</v>
      </c>
      <c r="O992" s="61" t="s">
        <v>588</v>
      </c>
      <c r="P992" s="25" t="s">
        <v>440</v>
      </c>
      <c r="Q992" s="61" t="s">
        <v>50</v>
      </c>
      <c r="R992" s="16" t="n">
        <v>2772</v>
      </c>
      <c r="S992" s="16" t="n">
        <v>5700</v>
      </c>
      <c r="T992" s="16" t="n">
        <v>1</v>
      </c>
      <c r="U992" s="1" t="str">
        <f aca="false">D992&amp;"-"&amp;E992&amp;"-"&amp;M992&amp;"-"&amp;O992&amp;"-"&amp;P992&amp;"-"&amp;Q992</f>
        <v>ELOMI-CATE UW FULL COVERAGE BRA-EL4030-PURPLE-42-F</v>
      </c>
    </row>
    <row r="993" customFormat="false" ht="15" hidden="true" customHeight="false" outlineLevel="0" collapsed="false">
      <c r="B993" s="61" t="s">
        <v>1415</v>
      </c>
      <c r="C993" s="17" t="s">
        <v>37</v>
      </c>
      <c r="D993" s="61" t="s">
        <v>1262</v>
      </c>
      <c r="E993" s="25" t="s">
        <v>1372</v>
      </c>
      <c r="F993" s="26" t="s">
        <v>1373</v>
      </c>
      <c r="G993" s="26" t="s">
        <v>41</v>
      </c>
      <c r="H993" s="26" t="s">
        <v>70</v>
      </c>
      <c r="I993" s="26" t="s">
        <v>43</v>
      </c>
      <c r="J993" s="26"/>
      <c r="K993" s="27"/>
      <c r="L993" s="27"/>
      <c r="M993" s="103" t="s">
        <v>1374</v>
      </c>
      <c r="N993" s="61" t="s">
        <v>1416</v>
      </c>
      <c r="O993" s="25" t="s">
        <v>1417</v>
      </c>
      <c r="P993" s="61" t="s">
        <v>65</v>
      </c>
      <c r="Q993" s="61" t="s">
        <v>62</v>
      </c>
      <c r="R993" s="16" t="n">
        <v>2520</v>
      </c>
      <c r="S993" s="16" t="n">
        <v>5700</v>
      </c>
      <c r="T993" s="16" t="n">
        <v>1</v>
      </c>
      <c r="U993" s="1" t="str">
        <f aca="false">D993&amp;"-"&amp;E993&amp;"-"&amp;M993&amp;"-"&amp;O993&amp;"-"&amp;P993&amp;"-"&amp;Q993</f>
        <v>ELOMI-CATE UW FULL COVERAGE BRA-EL4030-FUSCIA PINK-36-FF</v>
      </c>
    </row>
    <row r="994" customFormat="false" ht="15" hidden="true" customHeight="false" outlineLevel="0" collapsed="false">
      <c r="B994" s="25" t="s">
        <v>1418</v>
      </c>
      <c r="C994" s="17" t="s">
        <v>37</v>
      </c>
      <c r="D994" s="61" t="s">
        <v>1262</v>
      </c>
      <c r="E994" s="25" t="s">
        <v>1372</v>
      </c>
      <c r="F994" s="26" t="s">
        <v>1373</v>
      </c>
      <c r="G994" s="26" t="s">
        <v>41</v>
      </c>
      <c r="H994" s="26" t="s">
        <v>70</v>
      </c>
      <c r="I994" s="26" t="s">
        <v>43</v>
      </c>
      <c r="J994" s="26"/>
      <c r="K994" s="27"/>
      <c r="L994" s="27"/>
      <c r="M994" s="103" t="s">
        <v>1374</v>
      </c>
      <c r="N994" s="25" t="s">
        <v>1416</v>
      </c>
      <c r="O994" s="25" t="s">
        <v>1417</v>
      </c>
      <c r="P994" s="61" t="s">
        <v>154</v>
      </c>
      <c r="Q994" s="25" t="s">
        <v>1341</v>
      </c>
      <c r="R994" s="16" t="n">
        <v>2772</v>
      </c>
      <c r="S994" s="16" t="n">
        <v>5700</v>
      </c>
      <c r="T994" s="16" t="n">
        <v>1</v>
      </c>
      <c r="U994" s="1" t="str">
        <f aca="false">D994&amp;"-"&amp;E994&amp;"-"&amp;M994&amp;"-"&amp;O994&amp;"-"&amp;P994&amp;"-"&amp;Q994</f>
        <v>ELOMI-CATE UW FULL COVERAGE BRA-EL4030-FUSCIA PINK-38-K</v>
      </c>
    </row>
    <row r="995" customFormat="false" ht="15" hidden="true" customHeight="false" outlineLevel="0" collapsed="false">
      <c r="B995" s="25" t="s">
        <v>1419</v>
      </c>
      <c r="C995" s="17" t="s">
        <v>37</v>
      </c>
      <c r="D995" s="61" t="s">
        <v>1262</v>
      </c>
      <c r="E995" s="25" t="s">
        <v>1372</v>
      </c>
      <c r="F995" s="26" t="s">
        <v>1373</v>
      </c>
      <c r="G995" s="26" t="s">
        <v>41</v>
      </c>
      <c r="H995" s="26" t="s">
        <v>70</v>
      </c>
      <c r="I995" s="26" t="s">
        <v>43</v>
      </c>
      <c r="J995" s="26"/>
      <c r="K995" s="27"/>
      <c r="L995" s="27"/>
      <c r="M995" s="103" t="s">
        <v>1374</v>
      </c>
      <c r="N995" s="25" t="s">
        <v>1420</v>
      </c>
      <c r="O995" s="25" t="s">
        <v>1421</v>
      </c>
      <c r="P995" s="25" t="s">
        <v>449</v>
      </c>
      <c r="Q995" s="25" t="s">
        <v>131</v>
      </c>
      <c r="R995" s="16" t="n">
        <v>2772</v>
      </c>
      <c r="S995" s="16" t="n">
        <v>5700</v>
      </c>
      <c r="T995" s="16" t="n">
        <v>1</v>
      </c>
      <c r="U995" s="1" t="str">
        <f aca="false">D995&amp;"-"&amp;E995&amp;"-"&amp;M995&amp;"-"&amp;O995&amp;"-"&amp;P995&amp;"-"&amp;Q995</f>
        <v>ELOMI-CATE UW FULL COVERAGE BRA-EL4030-WILLOW-44-HH</v>
      </c>
    </row>
    <row r="996" customFormat="false" ht="15" hidden="true" customHeight="false" outlineLevel="0" collapsed="false">
      <c r="B996" s="103" t="s">
        <v>1422</v>
      </c>
      <c r="C996" s="20" t="s">
        <v>37</v>
      </c>
      <c r="D996" s="103" t="s">
        <v>1262</v>
      </c>
      <c r="E996" s="103" t="s">
        <v>1423</v>
      </c>
      <c r="F996" s="14" t="s">
        <v>997</v>
      </c>
      <c r="G996" s="108" t="s">
        <v>573</v>
      </c>
      <c r="H996" s="3" t="s">
        <v>1424</v>
      </c>
      <c r="I996" s="14" t="s">
        <v>43</v>
      </c>
      <c r="J996" s="14"/>
      <c r="K996" s="27"/>
      <c r="L996" s="19"/>
      <c r="M996" s="16" t="s">
        <v>1425</v>
      </c>
      <c r="N996" s="103" t="s">
        <v>76</v>
      </c>
      <c r="O996" s="20" t="s">
        <v>77</v>
      </c>
      <c r="P996" s="103" t="s">
        <v>92</v>
      </c>
      <c r="Q996" s="103" t="s">
        <v>129</v>
      </c>
      <c r="R996" s="16" t="n">
        <v>2772</v>
      </c>
      <c r="S996" s="16" t="n">
        <v>5900</v>
      </c>
      <c r="T996" s="16" t="n">
        <v>1</v>
      </c>
      <c r="U996" s="1" t="str">
        <f aca="false">D996&amp;"-"&amp;E996&amp;"-"&amp;M996&amp;"-"&amp;O996&amp;"-"&amp;P996&amp;"-"&amp;Q996</f>
        <v>ELOMI-SMOOTH STRAPLESS BRA-EL4300-BLACK-32-GG</v>
      </c>
      <c r="W996" s="1" t="s">
        <v>113</v>
      </c>
    </row>
    <row r="997" customFormat="false" ht="15" hidden="true" customHeight="false" outlineLevel="0" collapsed="false">
      <c r="B997" s="61" t="s">
        <v>1426</v>
      </c>
      <c r="C997" s="17" t="s">
        <v>37</v>
      </c>
      <c r="D997" s="61" t="s">
        <v>1262</v>
      </c>
      <c r="E997" s="61" t="s">
        <v>1423</v>
      </c>
      <c r="F997" s="14" t="s">
        <v>997</v>
      </c>
      <c r="G997" s="108" t="s">
        <v>573</v>
      </c>
      <c r="H997" s="3" t="s">
        <v>1424</v>
      </c>
      <c r="I997" s="14" t="s">
        <v>43</v>
      </c>
      <c r="J997" s="14"/>
      <c r="K997" s="27"/>
      <c r="L997" s="19"/>
      <c r="M997" s="16" t="s">
        <v>1425</v>
      </c>
      <c r="N997" s="61" t="s">
        <v>76</v>
      </c>
      <c r="O997" s="29" t="s">
        <v>77</v>
      </c>
      <c r="P997" s="61" t="s">
        <v>134</v>
      </c>
      <c r="Q997" s="61" t="s">
        <v>129</v>
      </c>
      <c r="R997" s="16" t="n">
        <v>2970</v>
      </c>
      <c r="S997" s="16" t="n">
        <v>5900</v>
      </c>
      <c r="T997" s="1" t="n">
        <v>1</v>
      </c>
      <c r="U997" s="1" t="str">
        <f aca="false">D997&amp;"-"&amp;E997&amp;"-"&amp;M997&amp;"-"&amp;O997&amp;"-"&amp;P997&amp;"-"&amp;Q997</f>
        <v>ELOMI-SMOOTH STRAPLESS BRA-EL4300-BLACK-34-GG</v>
      </c>
      <c r="W997" s="1" t="s">
        <v>113</v>
      </c>
    </row>
    <row r="998" customFormat="false" ht="15" hidden="true" customHeight="false" outlineLevel="0" collapsed="false">
      <c r="B998" s="25" t="s">
        <v>1427</v>
      </c>
      <c r="C998" s="17" t="s">
        <v>37</v>
      </c>
      <c r="D998" s="61" t="s">
        <v>1262</v>
      </c>
      <c r="E998" s="61" t="s">
        <v>1423</v>
      </c>
      <c r="F998" s="14" t="s">
        <v>997</v>
      </c>
      <c r="G998" s="108" t="s">
        <v>573</v>
      </c>
      <c r="H998" s="3" t="s">
        <v>1424</v>
      </c>
      <c r="I998" s="14" t="s">
        <v>43</v>
      </c>
      <c r="J998" s="14"/>
      <c r="K998" s="27"/>
      <c r="L998" s="19"/>
      <c r="M998" s="16" t="s">
        <v>1425</v>
      </c>
      <c r="N998" s="25" t="s">
        <v>76</v>
      </c>
      <c r="O998" s="29" t="s">
        <v>77</v>
      </c>
      <c r="P998" s="25" t="s">
        <v>134</v>
      </c>
      <c r="Q998" s="25" t="s">
        <v>143</v>
      </c>
      <c r="R998" s="16" t="n">
        <v>2970</v>
      </c>
      <c r="S998" s="16" t="n">
        <v>5900</v>
      </c>
      <c r="T998" s="1" t="n">
        <v>1</v>
      </c>
      <c r="U998" s="1" t="str">
        <f aca="false">D998&amp;"-"&amp;E998&amp;"-"&amp;M998&amp;"-"&amp;O998&amp;"-"&amp;P998&amp;"-"&amp;Q998</f>
        <v>ELOMI-SMOOTH STRAPLESS BRA-EL4300-BLACK-34-H</v>
      </c>
      <c r="W998" s="1" t="s">
        <v>113</v>
      </c>
    </row>
    <row r="999" customFormat="false" ht="15" hidden="true" customHeight="false" outlineLevel="0" collapsed="false">
      <c r="B999" s="61" t="s">
        <v>1428</v>
      </c>
      <c r="C999" s="17" t="s">
        <v>37</v>
      </c>
      <c r="D999" s="61" t="s">
        <v>1262</v>
      </c>
      <c r="E999" s="61" t="s">
        <v>1423</v>
      </c>
      <c r="F999" s="14" t="s">
        <v>997</v>
      </c>
      <c r="G999" s="108" t="s">
        <v>573</v>
      </c>
      <c r="H999" s="3" t="s">
        <v>1424</v>
      </c>
      <c r="I999" s="14" t="s">
        <v>43</v>
      </c>
      <c r="J999" s="14"/>
      <c r="K999" s="27"/>
      <c r="L999" s="19"/>
      <c r="M999" s="16" t="s">
        <v>1425</v>
      </c>
      <c r="N999" s="61" t="s">
        <v>76</v>
      </c>
      <c r="O999" s="29" t="s">
        <v>77</v>
      </c>
      <c r="P999" s="61" t="s">
        <v>65</v>
      </c>
      <c r="Q999" s="61" t="s">
        <v>129</v>
      </c>
      <c r="R999" s="16" t="n">
        <v>2970</v>
      </c>
      <c r="S999" s="16" t="n">
        <v>5900</v>
      </c>
      <c r="T999" s="1" t="n">
        <v>1</v>
      </c>
      <c r="U999" s="1" t="str">
        <f aca="false">D999&amp;"-"&amp;E999&amp;"-"&amp;M999&amp;"-"&amp;O999&amp;"-"&amp;P999&amp;"-"&amp;Q999</f>
        <v>ELOMI-SMOOTH STRAPLESS BRA-EL4300-BLACK-36-GG</v>
      </c>
      <c r="W999" s="1" t="s">
        <v>113</v>
      </c>
    </row>
    <row r="1000" customFormat="false" ht="15" hidden="true" customHeight="false" outlineLevel="0" collapsed="false">
      <c r="B1000" s="25" t="s">
        <v>1429</v>
      </c>
      <c r="C1000" s="17" t="s">
        <v>37</v>
      </c>
      <c r="D1000" s="61" t="s">
        <v>1262</v>
      </c>
      <c r="E1000" s="61" t="s">
        <v>1423</v>
      </c>
      <c r="F1000" s="14" t="s">
        <v>997</v>
      </c>
      <c r="G1000" s="108" t="s">
        <v>573</v>
      </c>
      <c r="H1000" s="3" t="s">
        <v>1424</v>
      </c>
      <c r="I1000" s="14" t="s">
        <v>43</v>
      </c>
      <c r="J1000" s="14"/>
      <c r="K1000" s="27"/>
      <c r="L1000" s="19"/>
      <c r="M1000" s="16" t="s">
        <v>999</v>
      </c>
      <c r="N1000" s="25" t="s">
        <v>76</v>
      </c>
      <c r="O1000" s="29" t="s">
        <v>77</v>
      </c>
      <c r="P1000" s="25" t="s">
        <v>65</v>
      </c>
      <c r="Q1000" s="25" t="s">
        <v>143</v>
      </c>
      <c r="R1000" s="16" t="n">
        <v>1375</v>
      </c>
      <c r="S1000" s="16" t="n">
        <v>5900</v>
      </c>
      <c r="T1000" s="1" t="n">
        <v>1</v>
      </c>
      <c r="U1000" s="1" t="str">
        <f aca="false">D1000&amp;"-"&amp;E1000&amp;"-"&amp;M1000&amp;"-"&amp;O1000&amp;"-"&amp;P1000&amp;"-"&amp;Q1000</f>
        <v>ELOMI-SMOOTH STRAPLESS BRA-FL4530-BLACK-36-H</v>
      </c>
      <c r="W1000" s="1" t="s">
        <v>113</v>
      </c>
    </row>
    <row r="1001" customFormat="false" ht="15" hidden="true" customHeight="false" outlineLevel="0" collapsed="false">
      <c r="B1001" s="25" t="s">
        <v>1430</v>
      </c>
      <c r="C1001" s="17" t="s">
        <v>37</v>
      </c>
      <c r="D1001" s="61" t="s">
        <v>1262</v>
      </c>
      <c r="E1001" s="61" t="s">
        <v>1423</v>
      </c>
      <c r="F1001" s="14" t="s">
        <v>997</v>
      </c>
      <c r="G1001" s="108" t="s">
        <v>573</v>
      </c>
      <c r="H1001" s="3" t="s">
        <v>1424</v>
      </c>
      <c r="I1001" s="14" t="s">
        <v>43</v>
      </c>
      <c r="J1001" s="14"/>
      <c r="K1001" s="27"/>
      <c r="L1001" s="19"/>
      <c r="M1001" s="16" t="s">
        <v>999</v>
      </c>
      <c r="N1001" s="25" t="s">
        <v>76</v>
      </c>
      <c r="O1001" s="29" t="s">
        <v>77</v>
      </c>
      <c r="P1001" s="25" t="s">
        <v>154</v>
      </c>
      <c r="Q1001" s="25" t="s">
        <v>62</v>
      </c>
      <c r="R1001" s="16" t="n">
        <v>2772</v>
      </c>
      <c r="S1001" s="16" t="n">
        <v>5900</v>
      </c>
      <c r="T1001" s="1" t="n">
        <v>1</v>
      </c>
      <c r="U1001" s="1" t="str">
        <f aca="false">D1001&amp;"-"&amp;E1001&amp;"-"&amp;M1001&amp;"-"&amp;O1001&amp;"-"&amp;P1001&amp;"-"&amp;Q1001</f>
        <v>ELOMI-SMOOTH STRAPLESS BRA-FL4530-BLACK-38-FF</v>
      </c>
      <c r="W1001" s="1" t="s">
        <v>113</v>
      </c>
    </row>
    <row r="1002" customFormat="false" ht="15" hidden="true" customHeight="false" outlineLevel="0" collapsed="false">
      <c r="B1002" s="25" t="s">
        <v>1431</v>
      </c>
      <c r="C1002" s="17" t="s">
        <v>37</v>
      </c>
      <c r="D1002" s="61" t="s">
        <v>1262</v>
      </c>
      <c r="E1002" s="61" t="s">
        <v>1423</v>
      </c>
      <c r="F1002" s="14" t="s">
        <v>997</v>
      </c>
      <c r="G1002" s="108" t="s">
        <v>573</v>
      </c>
      <c r="H1002" s="3" t="s">
        <v>1424</v>
      </c>
      <c r="I1002" s="14" t="s">
        <v>43</v>
      </c>
      <c r="J1002" s="14"/>
      <c r="K1002" s="27"/>
      <c r="L1002" s="19"/>
      <c r="M1002" s="16" t="s">
        <v>999</v>
      </c>
      <c r="N1002" s="25" t="s">
        <v>76</v>
      </c>
      <c r="O1002" s="29" t="s">
        <v>77</v>
      </c>
      <c r="P1002" s="25" t="s">
        <v>154</v>
      </c>
      <c r="Q1002" s="25" t="s">
        <v>105</v>
      </c>
      <c r="R1002" s="16" t="n">
        <v>2772</v>
      </c>
      <c r="S1002" s="16" t="n">
        <v>5900</v>
      </c>
      <c r="T1002" s="1" t="n">
        <v>1</v>
      </c>
      <c r="U1002" s="1" t="str">
        <f aca="false">D1002&amp;"-"&amp;E1002&amp;"-"&amp;M1002&amp;"-"&amp;O1002&amp;"-"&amp;P1002&amp;"-"&amp;Q1002</f>
        <v>ELOMI-SMOOTH STRAPLESS BRA-FL4530-BLACK-38-G</v>
      </c>
      <c r="W1002" s="1" t="s">
        <v>113</v>
      </c>
    </row>
    <row r="1003" customFormat="false" ht="15" hidden="true" customHeight="false" outlineLevel="0" collapsed="false">
      <c r="B1003" s="61" t="s">
        <v>1432</v>
      </c>
      <c r="C1003" s="17" t="s">
        <v>37</v>
      </c>
      <c r="D1003" s="61" t="s">
        <v>1262</v>
      </c>
      <c r="E1003" s="61" t="s">
        <v>1423</v>
      </c>
      <c r="F1003" s="14" t="s">
        <v>997</v>
      </c>
      <c r="G1003" s="108" t="s">
        <v>573</v>
      </c>
      <c r="H1003" s="3" t="s">
        <v>1424</v>
      </c>
      <c r="I1003" s="14" t="s">
        <v>43</v>
      </c>
      <c r="J1003" s="14"/>
      <c r="K1003" s="27"/>
      <c r="L1003" s="19"/>
      <c r="M1003" s="16" t="s">
        <v>999</v>
      </c>
      <c r="N1003" s="61" t="s">
        <v>76</v>
      </c>
      <c r="O1003" s="29" t="s">
        <v>77</v>
      </c>
      <c r="P1003" s="61" t="s">
        <v>417</v>
      </c>
      <c r="Q1003" s="61" t="s">
        <v>50</v>
      </c>
      <c r="R1003" s="16" t="n">
        <v>2772</v>
      </c>
      <c r="S1003" s="16" t="n">
        <v>5900</v>
      </c>
      <c r="T1003" s="1" t="n">
        <v>1</v>
      </c>
      <c r="U1003" s="1" t="str">
        <f aca="false">D1003&amp;"-"&amp;E1003&amp;"-"&amp;M1003&amp;"-"&amp;O1003&amp;"-"&amp;P1003&amp;"-"&amp;Q1003</f>
        <v>ELOMI-SMOOTH STRAPLESS BRA-FL4530-BLACK-40-F</v>
      </c>
      <c r="W1003" s="1" t="s">
        <v>113</v>
      </c>
    </row>
    <row r="1004" customFormat="false" ht="15" hidden="true" customHeight="false" outlineLevel="0" collapsed="false">
      <c r="B1004" s="61" t="s">
        <v>1433</v>
      </c>
      <c r="C1004" s="17" t="s">
        <v>37</v>
      </c>
      <c r="D1004" s="61" t="s">
        <v>1262</v>
      </c>
      <c r="E1004" s="61" t="s">
        <v>1423</v>
      </c>
      <c r="F1004" s="14" t="s">
        <v>997</v>
      </c>
      <c r="G1004" s="108" t="s">
        <v>573</v>
      </c>
      <c r="H1004" s="3" t="s">
        <v>1424</v>
      </c>
      <c r="I1004" s="14" t="s">
        <v>43</v>
      </c>
      <c r="J1004" s="14"/>
      <c r="K1004" s="27"/>
      <c r="L1004" s="19"/>
      <c r="M1004" s="16" t="s">
        <v>999</v>
      </c>
      <c r="N1004" s="61" t="s">
        <v>76</v>
      </c>
      <c r="O1004" s="29" t="s">
        <v>77</v>
      </c>
      <c r="P1004" s="61" t="s">
        <v>417</v>
      </c>
      <c r="Q1004" s="61" t="s">
        <v>62</v>
      </c>
      <c r="R1004" s="16" t="n">
        <v>2525</v>
      </c>
      <c r="S1004" s="16" t="n">
        <v>5900</v>
      </c>
      <c r="T1004" s="1" t="n">
        <v>0</v>
      </c>
      <c r="U1004" s="1" t="str">
        <f aca="false">D1004&amp;"-"&amp;E1004&amp;"-"&amp;M1004&amp;"-"&amp;O1004&amp;"-"&amp;P1004&amp;"-"&amp;Q1004</f>
        <v>ELOMI-SMOOTH STRAPLESS BRA-FL4530-BLACK-40-FF</v>
      </c>
      <c r="W1004" s="1" t="s">
        <v>113</v>
      </c>
    </row>
    <row r="1005" customFormat="false" ht="15" hidden="true" customHeight="false" outlineLevel="0" collapsed="false">
      <c r="B1005" s="25" t="s">
        <v>1434</v>
      </c>
      <c r="C1005" s="17" t="s">
        <v>37</v>
      </c>
      <c r="D1005" s="61" t="s">
        <v>1262</v>
      </c>
      <c r="E1005" s="61" t="s">
        <v>1423</v>
      </c>
      <c r="F1005" s="14" t="s">
        <v>997</v>
      </c>
      <c r="G1005" s="108" t="s">
        <v>573</v>
      </c>
      <c r="H1005" s="3" t="s">
        <v>1424</v>
      </c>
      <c r="I1005" s="14" t="s">
        <v>43</v>
      </c>
      <c r="J1005" s="14"/>
      <c r="K1005" s="27"/>
      <c r="L1005" s="19"/>
      <c r="M1005" s="16" t="s">
        <v>999</v>
      </c>
      <c r="N1005" s="25" t="s">
        <v>76</v>
      </c>
      <c r="O1005" s="29" t="s">
        <v>77</v>
      </c>
      <c r="P1005" s="61" t="s">
        <v>417</v>
      </c>
      <c r="Q1005" s="25" t="s">
        <v>105</v>
      </c>
      <c r="R1005" s="16" t="n">
        <v>1375</v>
      </c>
      <c r="S1005" s="16" t="n">
        <v>5900</v>
      </c>
      <c r="T1005" s="1" t="n">
        <v>0</v>
      </c>
      <c r="U1005" s="1" t="str">
        <f aca="false">D1005&amp;"-"&amp;E1005&amp;"-"&amp;M1005&amp;"-"&amp;O1005&amp;"-"&amp;P1005&amp;"-"&amp;Q1005</f>
        <v>ELOMI-SMOOTH STRAPLESS BRA-FL4530-BLACK-40-G</v>
      </c>
      <c r="W1005" s="1" t="s">
        <v>113</v>
      </c>
    </row>
    <row r="1006" customFormat="false" ht="15" hidden="true" customHeight="false" outlineLevel="0" collapsed="false">
      <c r="B1006" s="61" t="s">
        <v>1435</v>
      </c>
      <c r="C1006" s="17" t="s">
        <v>37</v>
      </c>
      <c r="D1006" s="61" t="s">
        <v>1262</v>
      </c>
      <c r="E1006" s="61" t="s">
        <v>1423</v>
      </c>
      <c r="F1006" s="14" t="s">
        <v>997</v>
      </c>
      <c r="G1006" s="108" t="s">
        <v>573</v>
      </c>
      <c r="H1006" s="3" t="s">
        <v>1424</v>
      </c>
      <c r="I1006" s="14" t="s">
        <v>43</v>
      </c>
      <c r="J1006" s="14"/>
      <c r="K1006" s="27"/>
      <c r="L1006" s="19"/>
      <c r="M1006" s="16" t="s">
        <v>999</v>
      </c>
      <c r="N1006" s="61" t="s">
        <v>76</v>
      </c>
      <c r="O1006" s="29" t="s">
        <v>77</v>
      </c>
      <c r="P1006" s="61" t="s">
        <v>440</v>
      </c>
      <c r="Q1006" s="61" t="s">
        <v>66</v>
      </c>
      <c r="R1006" s="16" t="n">
        <v>2772</v>
      </c>
      <c r="S1006" s="16" t="n">
        <v>5900</v>
      </c>
      <c r="T1006" s="1" t="n">
        <v>1</v>
      </c>
      <c r="U1006" s="1" t="str">
        <f aca="false">D1006&amp;"-"&amp;E1006&amp;"-"&amp;M1006&amp;"-"&amp;O1006&amp;"-"&amp;P1006&amp;"-"&amp;Q1006</f>
        <v>ELOMI-SMOOTH STRAPLESS BRA-FL4530-BLACK-42-E</v>
      </c>
      <c r="W1006" s="1" t="s">
        <v>113</v>
      </c>
    </row>
    <row r="1007" customFormat="false" ht="15" hidden="true" customHeight="false" outlineLevel="0" collapsed="false">
      <c r="B1007" s="25" t="s">
        <v>1436</v>
      </c>
      <c r="C1007" s="17" t="s">
        <v>37</v>
      </c>
      <c r="D1007" s="61" t="s">
        <v>1262</v>
      </c>
      <c r="E1007" s="61" t="s">
        <v>1423</v>
      </c>
      <c r="F1007" s="14" t="s">
        <v>997</v>
      </c>
      <c r="G1007" s="108" t="s">
        <v>573</v>
      </c>
      <c r="H1007" s="3" t="s">
        <v>1424</v>
      </c>
      <c r="I1007" s="14" t="s">
        <v>43</v>
      </c>
      <c r="J1007" s="14"/>
      <c r="K1007" s="27"/>
      <c r="L1007" s="19"/>
      <c r="M1007" s="16" t="s">
        <v>999</v>
      </c>
      <c r="N1007" s="25" t="s">
        <v>76</v>
      </c>
      <c r="O1007" s="29" t="s">
        <v>77</v>
      </c>
      <c r="P1007" s="25" t="s">
        <v>440</v>
      </c>
      <c r="Q1007" s="25" t="s">
        <v>62</v>
      </c>
      <c r="R1007" s="16" t="n">
        <v>2772</v>
      </c>
      <c r="S1007" s="16" t="n">
        <v>5900</v>
      </c>
      <c r="T1007" s="1" t="n">
        <v>1</v>
      </c>
      <c r="U1007" s="1" t="str">
        <f aca="false">D1007&amp;"-"&amp;E1007&amp;"-"&amp;M1007&amp;"-"&amp;O1007&amp;"-"&amp;P1007&amp;"-"&amp;Q1007</f>
        <v>ELOMI-SMOOTH STRAPLESS BRA-FL4530-BLACK-42-FF</v>
      </c>
      <c r="W1007" s="1" t="s">
        <v>113</v>
      </c>
    </row>
    <row r="1008" customFormat="false" ht="15" hidden="true" customHeight="false" outlineLevel="0" collapsed="false">
      <c r="B1008" s="25" t="s">
        <v>1437</v>
      </c>
      <c r="C1008" s="17" t="s">
        <v>37</v>
      </c>
      <c r="D1008" s="61" t="s">
        <v>1262</v>
      </c>
      <c r="E1008" s="61" t="s">
        <v>1423</v>
      </c>
      <c r="F1008" s="14" t="s">
        <v>997</v>
      </c>
      <c r="G1008" s="108" t="s">
        <v>573</v>
      </c>
      <c r="H1008" s="3" t="s">
        <v>1424</v>
      </c>
      <c r="I1008" s="14" t="s">
        <v>43</v>
      </c>
      <c r="J1008" s="14"/>
      <c r="K1008" s="27"/>
      <c r="L1008" s="19"/>
      <c r="M1008" s="16" t="s">
        <v>999</v>
      </c>
      <c r="N1008" s="25" t="s">
        <v>76</v>
      </c>
      <c r="O1008" s="29" t="s">
        <v>77</v>
      </c>
      <c r="P1008" s="25" t="s">
        <v>440</v>
      </c>
      <c r="Q1008" s="25" t="s">
        <v>105</v>
      </c>
      <c r="R1008" s="16" t="n">
        <v>2772</v>
      </c>
      <c r="S1008" s="16" t="n">
        <v>5900</v>
      </c>
      <c r="T1008" s="1" t="n">
        <v>0</v>
      </c>
      <c r="U1008" s="1" t="str">
        <f aca="false">D1008&amp;"-"&amp;E1008&amp;"-"&amp;M1008&amp;"-"&amp;O1008&amp;"-"&amp;P1008&amp;"-"&amp;Q1008</f>
        <v>ELOMI-SMOOTH STRAPLESS BRA-FL4530-BLACK-42-G</v>
      </c>
      <c r="W1008" s="1" t="s">
        <v>113</v>
      </c>
    </row>
    <row r="1009" customFormat="false" ht="15" hidden="true" customHeight="false" outlineLevel="0" collapsed="false">
      <c r="B1009" s="25" t="s">
        <v>1438</v>
      </c>
      <c r="C1009" s="17" t="s">
        <v>37</v>
      </c>
      <c r="D1009" s="61" t="s">
        <v>1262</v>
      </c>
      <c r="E1009" s="61" t="s">
        <v>1423</v>
      </c>
      <c r="F1009" s="14" t="s">
        <v>997</v>
      </c>
      <c r="G1009" s="108" t="s">
        <v>573</v>
      </c>
      <c r="H1009" s="3" t="s">
        <v>1424</v>
      </c>
      <c r="I1009" s="14" t="s">
        <v>43</v>
      </c>
      <c r="J1009" s="14"/>
      <c r="K1009" s="27"/>
      <c r="L1009" s="19"/>
      <c r="M1009" s="16" t="s">
        <v>999</v>
      </c>
      <c r="N1009" s="25" t="s">
        <v>76</v>
      </c>
      <c r="O1009" s="29" t="s">
        <v>77</v>
      </c>
      <c r="P1009" s="25" t="s">
        <v>449</v>
      </c>
      <c r="Q1009" s="25" t="s">
        <v>62</v>
      </c>
      <c r="R1009" s="16" t="n">
        <v>2772</v>
      </c>
      <c r="S1009" s="16" t="n">
        <v>5900</v>
      </c>
      <c r="T1009" s="1" t="n">
        <v>1</v>
      </c>
      <c r="U1009" s="1" t="str">
        <f aca="false">D1009&amp;"-"&amp;E1009&amp;"-"&amp;M1009&amp;"-"&amp;O1009&amp;"-"&amp;P1009&amp;"-"&amp;Q1009</f>
        <v>ELOMI-SMOOTH STRAPLESS BRA-FL4530-BLACK-44-FF</v>
      </c>
      <c r="W1009" s="1" t="s">
        <v>113</v>
      </c>
    </row>
    <row r="1010" customFormat="false" ht="15" hidden="true" customHeight="false" outlineLevel="0" collapsed="false">
      <c r="B1010" s="25" t="s">
        <v>1439</v>
      </c>
      <c r="C1010" s="17" t="s">
        <v>37</v>
      </c>
      <c r="D1010" s="61" t="s">
        <v>1262</v>
      </c>
      <c r="E1010" s="61" t="s">
        <v>1423</v>
      </c>
      <c r="F1010" s="14" t="s">
        <v>997</v>
      </c>
      <c r="G1010" s="108" t="s">
        <v>573</v>
      </c>
      <c r="H1010" s="3" t="s">
        <v>1424</v>
      </c>
      <c r="I1010" s="14" t="s">
        <v>43</v>
      </c>
      <c r="J1010" s="14"/>
      <c r="K1010" s="27"/>
      <c r="L1010" s="19"/>
      <c r="M1010" s="16" t="s">
        <v>1425</v>
      </c>
      <c r="N1010" s="25" t="s">
        <v>1440</v>
      </c>
      <c r="O1010" s="29" t="s">
        <v>465</v>
      </c>
      <c r="P1010" s="25" t="s">
        <v>92</v>
      </c>
      <c r="Q1010" s="25" t="s">
        <v>129</v>
      </c>
      <c r="R1010" s="16" t="n">
        <v>2772</v>
      </c>
      <c r="S1010" s="16" t="n">
        <v>5900</v>
      </c>
      <c r="T1010" s="1" t="n">
        <v>1</v>
      </c>
      <c r="U1010" s="1" t="str">
        <f aca="false">D1010&amp;"-"&amp;E1010&amp;"-"&amp;M1010&amp;"-"&amp;O1010&amp;"-"&amp;P1010&amp;"-"&amp;Q1010</f>
        <v>ELOMI-SMOOTH STRAPLESS BRA-EL4300-SKIN-32-GG</v>
      </c>
      <c r="W1010" s="1" t="s">
        <v>113</v>
      </c>
    </row>
    <row r="1011" customFormat="false" ht="15" hidden="true" customHeight="false" outlineLevel="0" collapsed="false">
      <c r="B1011" s="61" t="s">
        <v>1441</v>
      </c>
      <c r="C1011" s="17" t="s">
        <v>37</v>
      </c>
      <c r="D1011" s="61" t="s">
        <v>1262</v>
      </c>
      <c r="E1011" s="61" t="s">
        <v>1423</v>
      </c>
      <c r="F1011" s="14" t="s">
        <v>997</v>
      </c>
      <c r="G1011" s="108" t="s">
        <v>573</v>
      </c>
      <c r="H1011" s="3" t="s">
        <v>1424</v>
      </c>
      <c r="I1011" s="14" t="s">
        <v>43</v>
      </c>
      <c r="J1011" s="14"/>
      <c r="K1011" s="27"/>
      <c r="L1011" s="19"/>
      <c r="M1011" s="16" t="s">
        <v>1425</v>
      </c>
      <c r="N1011" s="61" t="s">
        <v>1440</v>
      </c>
      <c r="O1011" s="29" t="s">
        <v>465</v>
      </c>
      <c r="P1011" s="61" t="s">
        <v>92</v>
      </c>
      <c r="Q1011" s="61" t="s">
        <v>143</v>
      </c>
      <c r="R1011" s="16" t="n">
        <v>2772</v>
      </c>
      <c r="S1011" s="16" t="n">
        <v>5900</v>
      </c>
      <c r="T1011" s="1" t="n">
        <v>1</v>
      </c>
      <c r="U1011" s="1" t="str">
        <f aca="false">D1011&amp;"-"&amp;E1011&amp;"-"&amp;M1011&amp;"-"&amp;O1011&amp;"-"&amp;P1011&amp;"-"&amp;Q1011</f>
        <v>ELOMI-SMOOTH STRAPLESS BRA-EL4300-SKIN-32-H</v>
      </c>
      <c r="W1011" s="1" t="s">
        <v>113</v>
      </c>
    </row>
    <row r="1012" customFormat="false" ht="15" hidden="true" customHeight="false" outlineLevel="0" collapsed="false">
      <c r="B1012" s="25" t="s">
        <v>1442</v>
      </c>
      <c r="C1012" s="17" t="s">
        <v>37</v>
      </c>
      <c r="D1012" s="61" t="s">
        <v>1262</v>
      </c>
      <c r="E1012" s="61" t="s">
        <v>1423</v>
      </c>
      <c r="F1012" s="14" t="s">
        <v>997</v>
      </c>
      <c r="G1012" s="108" t="s">
        <v>573</v>
      </c>
      <c r="H1012" s="3" t="s">
        <v>1424</v>
      </c>
      <c r="I1012" s="14" t="s">
        <v>43</v>
      </c>
      <c r="J1012" s="14"/>
      <c r="K1012" s="27"/>
      <c r="L1012" s="19"/>
      <c r="M1012" s="16" t="s">
        <v>1425</v>
      </c>
      <c r="N1012" s="25" t="s">
        <v>1440</v>
      </c>
      <c r="O1012" s="29" t="s">
        <v>465</v>
      </c>
      <c r="P1012" s="25" t="s">
        <v>92</v>
      </c>
      <c r="Q1012" s="25" t="s">
        <v>131</v>
      </c>
      <c r="R1012" s="16" t="n">
        <v>2772</v>
      </c>
      <c r="S1012" s="16" t="n">
        <v>5900</v>
      </c>
      <c r="T1012" s="1" t="n">
        <v>1</v>
      </c>
      <c r="U1012" s="1" t="str">
        <f aca="false">D1012&amp;"-"&amp;E1012&amp;"-"&amp;M1012&amp;"-"&amp;O1012&amp;"-"&amp;P1012&amp;"-"&amp;Q1012</f>
        <v>ELOMI-SMOOTH STRAPLESS BRA-EL4300-SKIN-32-HH</v>
      </c>
      <c r="W1012" s="1" t="s">
        <v>113</v>
      </c>
    </row>
    <row r="1013" customFormat="false" ht="15" hidden="true" customHeight="false" outlineLevel="0" collapsed="false">
      <c r="B1013" s="25" t="s">
        <v>1443</v>
      </c>
      <c r="C1013" s="17" t="s">
        <v>37</v>
      </c>
      <c r="D1013" s="61" t="s">
        <v>1262</v>
      </c>
      <c r="E1013" s="61" t="s">
        <v>1423</v>
      </c>
      <c r="F1013" s="14" t="s">
        <v>997</v>
      </c>
      <c r="G1013" s="108" t="s">
        <v>573</v>
      </c>
      <c r="H1013" s="3" t="s">
        <v>1424</v>
      </c>
      <c r="I1013" s="14" t="s">
        <v>43</v>
      </c>
      <c r="J1013" s="14"/>
      <c r="K1013" s="27"/>
      <c r="L1013" s="19"/>
      <c r="M1013" s="16" t="s">
        <v>999</v>
      </c>
      <c r="N1013" s="25" t="s">
        <v>1440</v>
      </c>
      <c r="O1013" s="29" t="s">
        <v>465</v>
      </c>
      <c r="P1013" s="25" t="s">
        <v>92</v>
      </c>
      <c r="Q1013" s="25" t="s">
        <v>238</v>
      </c>
      <c r="R1013" s="16" t="n">
        <v>2970</v>
      </c>
      <c r="S1013" s="16" t="n">
        <v>5900</v>
      </c>
      <c r="T1013" s="1" t="n">
        <v>1</v>
      </c>
      <c r="U1013" s="1" t="str">
        <f aca="false">D1013&amp;"-"&amp;E1013&amp;"-"&amp;M1013&amp;"-"&amp;O1013&amp;"-"&amp;P1013&amp;"-"&amp;Q1013</f>
        <v>ELOMI-SMOOTH STRAPLESS BRA-FL4530-SKIN-32-J</v>
      </c>
      <c r="W1013" s="1" t="s">
        <v>113</v>
      </c>
    </row>
    <row r="1014" customFormat="false" ht="15" hidden="true" customHeight="false" outlineLevel="0" collapsed="false">
      <c r="B1014" s="25" t="s">
        <v>1444</v>
      </c>
      <c r="C1014" s="17" t="s">
        <v>37</v>
      </c>
      <c r="D1014" s="61" t="s">
        <v>1262</v>
      </c>
      <c r="E1014" s="61" t="s">
        <v>1423</v>
      </c>
      <c r="F1014" s="14" t="s">
        <v>997</v>
      </c>
      <c r="G1014" s="108" t="s">
        <v>573</v>
      </c>
      <c r="H1014" s="3" t="s">
        <v>1424</v>
      </c>
      <c r="I1014" s="14" t="s">
        <v>43</v>
      </c>
      <c r="J1014" s="14"/>
      <c r="K1014" s="27"/>
      <c r="L1014" s="19"/>
      <c r="M1014" s="16" t="s">
        <v>1425</v>
      </c>
      <c r="N1014" s="25" t="s">
        <v>1440</v>
      </c>
      <c r="O1014" s="29" t="s">
        <v>465</v>
      </c>
      <c r="P1014" s="25" t="s">
        <v>134</v>
      </c>
      <c r="Q1014" s="25" t="s">
        <v>129</v>
      </c>
      <c r="R1014" s="16" t="n">
        <v>2772</v>
      </c>
      <c r="S1014" s="16" t="n">
        <v>5900</v>
      </c>
      <c r="T1014" s="1" t="n">
        <v>1</v>
      </c>
      <c r="U1014" s="1" t="str">
        <f aca="false">D1014&amp;"-"&amp;E1014&amp;"-"&amp;M1014&amp;"-"&amp;O1014&amp;"-"&amp;P1014&amp;"-"&amp;Q1014</f>
        <v>ELOMI-SMOOTH STRAPLESS BRA-EL4300-SKIN-34-GG</v>
      </c>
      <c r="W1014" s="1" t="s">
        <v>113</v>
      </c>
    </row>
    <row r="1015" customFormat="false" ht="15" hidden="true" customHeight="false" outlineLevel="0" collapsed="false">
      <c r="B1015" s="61" t="s">
        <v>1445</v>
      </c>
      <c r="C1015" s="17" t="s">
        <v>37</v>
      </c>
      <c r="D1015" s="61" t="s">
        <v>1262</v>
      </c>
      <c r="E1015" s="61" t="s">
        <v>1423</v>
      </c>
      <c r="F1015" s="14" t="s">
        <v>997</v>
      </c>
      <c r="G1015" s="108" t="s">
        <v>573</v>
      </c>
      <c r="H1015" s="3" t="s">
        <v>1424</v>
      </c>
      <c r="I1015" s="14" t="s">
        <v>43</v>
      </c>
      <c r="J1015" s="14"/>
      <c r="K1015" s="27"/>
      <c r="L1015" s="19"/>
      <c r="M1015" s="16" t="s">
        <v>1425</v>
      </c>
      <c r="N1015" s="61" t="s">
        <v>1440</v>
      </c>
      <c r="O1015" s="29" t="s">
        <v>465</v>
      </c>
      <c r="P1015" s="25" t="s">
        <v>134</v>
      </c>
      <c r="Q1015" s="61" t="s">
        <v>143</v>
      </c>
      <c r="R1015" s="16" t="n">
        <v>2772</v>
      </c>
      <c r="S1015" s="16" t="n">
        <v>5900</v>
      </c>
      <c r="T1015" s="1" t="n">
        <v>1</v>
      </c>
      <c r="U1015" s="1" t="str">
        <f aca="false">D1015&amp;"-"&amp;E1015&amp;"-"&amp;M1015&amp;"-"&amp;O1015&amp;"-"&amp;P1015&amp;"-"&amp;Q1015</f>
        <v>ELOMI-SMOOTH STRAPLESS BRA-EL4300-SKIN-34-H</v>
      </c>
      <c r="W1015" s="1" t="s">
        <v>113</v>
      </c>
    </row>
    <row r="1016" customFormat="false" ht="15" hidden="true" customHeight="false" outlineLevel="0" collapsed="false">
      <c r="B1016" s="25" t="s">
        <v>1446</v>
      </c>
      <c r="C1016" s="17" t="s">
        <v>37</v>
      </c>
      <c r="D1016" s="61" t="s">
        <v>1262</v>
      </c>
      <c r="E1016" s="61" t="s">
        <v>1423</v>
      </c>
      <c r="F1016" s="14" t="s">
        <v>997</v>
      </c>
      <c r="G1016" s="108" t="s">
        <v>573</v>
      </c>
      <c r="H1016" s="3" t="s">
        <v>1424</v>
      </c>
      <c r="I1016" s="14" t="s">
        <v>43</v>
      </c>
      <c r="J1016" s="14"/>
      <c r="K1016" s="27"/>
      <c r="L1016" s="19"/>
      <c r="M1016" s="16" t="s">
        <v>1425</v>
      </c>
      <c r="N1016" s="25" t="s">
        <v>1440</v>
      </c>
      <c r="O1016" s="29" t="s">
        <v>465</v>
      </c>
      <c r="P1016" s="25" t="s">
        <v>134</v>
      </c>
      <c r="Q1016" s="25" t="s">
        <v>131</v>
      </c>
      <c r="R1016" s="16" t="n">
        <v>2772</v>
      </c>
      <c r="S1016" s="16" t="n">
        <v>5900</v>
      </c>
      <c r="T1016" s="1" t="n">
        <v>0</v>
      </c>
      <c r="U1016" s="1" t="str">
        <f aca="false">D1016&amp;"-"&amp;E1016&amp;"-"&amp;M1016&amp;"-"&amp;O1016&amp;"-"&amp;P1016&amp;"-"&amp;Q1016</f>
        <v>ELOMI-SMOOTH STRAPLESS BRA-EL4300-SKIN-34-HH</v>
      </c>
      <c r="W1016" s="1" t="s">
        <v>113</v>
      </c>
    </row>
    <row r="1017" customFormat="false" ht="15" hidden="true" customHeight="false" outlineLevel="0" collapsed="false">
      <c r="B1017" s="25" t="s">
        <v>1447</v>
      </c>
      <c r="C1017" s="17" t="s">
        <v>37</v>
      </c>
      <c r="D1017" s="61" t="s">
        <v>1262</v>
      </c>
      <c r="E1017" s="61" t="s">
        <v>1423</v>
      </c>
      <c r="F1017" s="14" t="s">
        <v>997</v>
      </c>
      <c r="G1017" s="108" t="s">
        <v>573</v>
      </c>
      <c r="H1017" s="3" t="s">
        <v>1424</v>
      </c>
      <c r="I1017" s="14" t="s">
        <v>43</v>
      </c>
      <c r="J1017" s="14"/>
      <c r="K1017" s="27"/>
      <c r="L1017" s="19"/>
      <c r="M1017" s="16" t="s">
        <v>1425</v>
      </c>
      <c r="N1017" s="25" t="s">
        <v>1440</v>
      </c>
      <c r="O1017" s="29" t="s">
        <v>465</v>
      </c>
      <c r="P1017" s="25" t="s">
        <v>65</v>
      </c>
      <c r="Q1017" s="25" t="s">
        <v>129</v>
      </c>
      <c r="R1017" s="16" t="n">
        <v>2772</v>
      </c>
      <c r="S1017" s="16" t="n">
        <v>5900</v>
      </c>
      <c r="T1017" s="1" t="n">
        <v>1</v>
      </c>
      <c r="U1017" s="1" t="str">
        <f aca="false">D1017&amp;"-"&amp;E1017&amp;"-"&amp;M1017&amp;"-"&amp;O1017&amp;"-"&amp;P1017&amp;"-"&amp;Q1017</f>
        <v>ELOMI-SMOOTH STRAPLESS BRA-EL4300-SKIN-36-GG</v>
      </c>
      <c r="W1017" s="1" t="s">
        <v>113</v>
      </c>
    </row>
    <row r="1018" customFormat="false" ht="15" hidden="true" customHeight="false" outlineLevel="0" collapsed="false">
      <c r="B1018" s="61" t="s">
        <v>1448</v>
      </c>
      <c r="C1018" s="17" t="s">
        <v>37</v>
      </c>
      <c r="D1018" s="61" t="s">
        <v>1262</v>
      </c>
      <c r="E1018" s="61" t="s">
        <v>1423</v>
      </c>
      <c r="F1018" s="14" t="s">
        <v>997</v>
      </c>
      <c r="G1018" s="108" t="s">
        <v>573</v>
      </c>
      <c r="H1018" s="3" t="s">
        <v>1424</v>
      </c>
      <c r="I1018" s="14" t="s">
        <v>43</v>
      </c>
      <c r="J1018" s="14"/>
      <c r="K1018" s="27"/>
      <c r="L1018" s="19"/>
      <c r="M1018" s="16" t="s">
        <v>1425</v>
      </c>
      <c r="N1018" s="61" t="s">
        <v>1440</v>
      </c>
      <c r="O1018" s="29" t="s">
        <v>465</v>
      </c>
      <c r="P1018" s="61" t="s">
        <v>65</v>
      </c>
      <c r="Q1018" s="61" t="s">
        <v>143</v>
      </c>
      <c r="R1018" s="16" t="n">
        <v>2970</v>
      </c>
      <c r="S1018" s="16" t="n">
        <v>5900</v>
      </c>
      <c r="T1018" s="1" t="n">
        <v>1</v>
      </c>
      <c r="U1018" s="1" t="str">
        <f aca="false">D1018&amp;"-"&amp;E1018&amp;"-"&amp;M1018&amp;"-"&amp;O1018&amp;"-"&amp;P1018&amp;"-"&amp;Q1018</f>
        <v>ELOMI-SMOOTH STRAPLESS BRA-EL4300-SKIN-36-H</v>
      </c>
      <c r="W1018" s="1" t="s">
        <v>113</v>
      </c>
    </row>
    <row r="1019" customFormat="false" ht="15" hidden="true" customHeight="false" outlineLevel="0" collapsed="false">
      <c r="B1019" s="61" t="s">
        <v>1449</v>
      </c>
      <c r="C1019" s="17" t="s">
        <v>37</v>
      </c>
      <c r="D1019" s="61" t="s">
        <v>1262</v>
      </c>
      <c r="E1019" s="61" t="s">
        <v>1423</v>
      </c>
      <c r="F1019" s="14" t="s">
        <v>997</v>
      </c>
      <c r="G1019" s="108" t="s">
        <v>573</v>
      </c>
      <c r="H1019" s="3" t="s">
        <v>1424</v>
      </c>
      <c r="I1019" s="14" t="s">
        <v>43</v>
      </c>
      <c r="J1019" s="14"/>
      <c r="K1019" s="27"/>
      <c r="L1019" s="19"/>
      <c r="M1019" s="16" t="s">
        <v>999</v>
      </c>
      <c r="N1019" s="61" t="s">
        <v>1440</v>
      </c>
      <c r="O1019" s="29" t="s">
        <v>465</v>
      </c>
      <c r="P1019" s="61" t="s">
        <v>154</v>
      </c>
      <c r="Q1019" s="61" t="s">
        <v>62</v>
      </c>
      <c r="R1019" s="16" t="n">
        <v>2772</v>
      </c>
      <c r="S1019" s="16" t="n">
        <v>5900</v>
      </c>
      <c r="T1019" s="1" t="n">
        <v>1</v>
      </c>
      <c r="U1019" s="1" t="str">
        <f aca="false">D1019&amp;"-"&amp;E1019&amp;"-"&amp;M1019&amp;"-"&amp;O1019&amp;"-"&amp;P1019&amp;"-"&amp;Q1019</f>
        <v>ELOMI-SMOOTH STRAPLESS BRA-FL4530-SKIN-38-FF</v>
      </c>
      <c r="W1019" s="1" t="s">
        <v>113</v>
      </c>
    </row>
    <row r="1020" customFormat="false" ht="15" hidden="true" customHeight="false" outlineLevel="0" collapsed="false">
      <c r="B1020" s="25" t="s">
        <v>1450</v>
      </c>
      <c r="C1020" s="17" t="s">
        <v>37</v>
      </c>
      <c r="D1020" s="61" t="s">
        <v>1262</v>
      </c>
      <c r="E1020" s="61" t="s">
        <v>1423</v>
      </c>
      <c r="F1020" s="14" t="s">
        <v>997</v>
      </c>
      <c r="G1020" s="108" t="s">
        <v>573</v>
      </c>
      <c r="H1020" s="3" t="s">
        <v>1424</v>
      </c>
      <c r="I1020" s="14" t="s">
        <v>43</v>
      </c>
      <c r="J1020" s="14"/>
      <c r="K1020" s="27"/>
      <c r="L1020" s="19"/>
      <c r="M1020" s="16" t="s">
        <v>999</v>
      </c>
      <c r="N1020" s="25" t="s">
        <v>1440</v>
      </c>
      <c r="O1020" s="29" t="s">
        <v>465</v>
      </c>
      <c r="P1020" s="25" t="s">
        <v>154</v>
      </c>
      <c r="Q1020" s="25" t="s">
        <v>105</v>
      </c>
      <c r="R1020" s="16" t="n">
        <v>2772</v>
      </c>
      <c r="S1020" s="16" t="n">
        <v>5900</v>
      </c>
      <c r="T1020" s="1" t="n">
        <v>1</v>
      </c>
      <c r="U1020" s="1" t="str">
        <f aca="false">D1020&amp;"-"&amp;E1020&amp;"-"&amp;M1020&amp;"-"&amp;O1020&amp;"-"&amp;P1020&amp;"-"&amp;Q1020</f>
        <v>ELOMI-SMOOTH STRAPLESS BRA-FL4530-SKIN-38-G</v>
      </c>
      <c r="W1020" s="1" t="s">
        <v>113</v>
      </c>
    </row>
    <row r="1021" customFormat="false" ht="15" hidden="true" customHeight="false" outlineLevel="0" collapsed="false">
      <c r="B1021" s="25" t="s">
        <v>1451</v>
      </c>
      <c r="C1021" s="17" t="s">
        <v>37</v>
      </c>
      <c r="D1021" s="61" t="s">
        <v>1262</v>
      </c>
      <c r="E1021" s="61" t="s">
        <v>1423</v>
      </c>
      <c r="F1021" s="14" t="s">
        <v>997</v>
      </c>
      <c r="G1021" s="108" t="s">
        <v>573</v>
      </c>
      <c r="H1021" s="3" t="s">
        <v>1424</v>
      </c>
      <c r="I1021" s="14" t="s">
        <v>43</v>
      </c>
      <c r="J1021" s="14"/>
      <c r="K1021" s="27"/>
      <c r="L1021" s="19"/>
      <c r="M1021" s="16" t="s">
        <v>1425</v>
      </c>
      <c r="N1021" s="25" t="s">
        <v>1440</v>
      </c>
      <c r="O1021" s="29" t="s">
        <v>465</v>
      </c>
      <c r="P1021" s="25" t="s">
        <v>154</v>
      </c>
      <c r="Q1021" s="25" t="s">
        <v>143</v>
      </c>
      <c r="R1021" s="16" t="n">
        <v>2772</v>
      </c>
      <c r="S1021" s="16" t="n">
        <v>5900</v>
      </c>
      <c r="T1021" s="1" t="n">
        <v>1</v>
      </c>
      <c r="U1021" s="1" t="str">
        <f aca="false">D1021&amp;"-"&amp;E1021&amp;"-"&amp;M1021&amp;"-"&amp;O1021&amp;"-"&amp;P1021&amp;"-"&amp;Q1021</f>
        <v>ELOMI-SMOOTH STRAPLESS BRA-EL4300-SKIN-38-H</v>
      </c>
      <c r="W1021" s="1" t="s">
        <v>113</v>
      </c>
    </row>
    <row r="1022" customFormat="false" ht="15" hidden="true" customHeight="false" outlineLevel="0" collapsed="false">
      <c r="B1022" s="61" t="s">
        <v>1452</v>
      </c>
      <c r="C1022" s="17" t="s">
        <v>37</v>
      </c>
      <c r="D1022" s="61" t="s">
        <v>1262</v>
      </c>
      <c r="E1022" s="61" t="s">
        <v>1423</v>
      </c>
      <c r="F1022" s="14" t="s">
        <v>997</v>
      </c>
      <c r="G1022" s="108" t="s">
        <v>573</v>
      </c>
      <c r="H1022" s="3" t="s">
        <v>1424</v>
      </c>
      <c r="I1022" s="14" t="s">
        <v>43</v>
      </c>
      <c r="J1022" s="14"/>
      <c r="K1022" s="27"/>
      <c r="L1022" s="19"/>
      <c r="M1022" s="16" t="s">
        <v>999</v>
      </c>
      <c r="N1022" s="61" t="s">
        <v>1440</v>
      </c>
      <c r="O1022" s="29" t="s">
        <v>465</v>
      </c>
      <c r="P1022" s="61" t="s">
        <v>417</v>
      </c>
      <c r="Q1022" s="61" t="s">
        <v>66</v>
      </c>
      <c r="R1022" s="16" t="n">
        <v>2772</v>
      </c>
      <c r="S1022" s="16" t="n">
        <v>5900</v>
      </c>
      <c r="T1022" s="1" t="n">
        <v>0</v>
      </c>
      <c r="U1022" s="1" t="str">
        <f aca="false">D1022&amp;"-"&amp;E1022&amp;"-"&amp;M1022&amp;"-"&amp;O1022&amp;"-"&amp;P1022&amp;"-"&amp;Q1022</f>
        <v>ELOMI-SMOOTH STRAPLESS BRA-FL4530-SKIN-40-E</v>
      </c>
      <c r="W1022" s="1" t="s">
        <v>113</v>
      </c>
    </row>
    <row r="1023" customFormat="false" ht="15" hidden="true" customHeight="false" outlineLevel="0" collapsed="false">
      <c r="B1023" s="25" t="s">
        <v>1453</v>
      </c>
      <c r="C1023" s="17" t="s">
        <v>37</v>
      </c>
      <c r="D1023" s="61" t="s">
        <v>1262</v>
      </c>
      <c r="E1023" s="61" t="s">
        <v>1423</v>
      </c>
      <c r="F1023" s="14" t="s">
        <v>997</v>
      </c>
      <c r="G1023" s="108" t="s">
        <v>573</v>
      </c>
      <c r="H1023" s="3" t="s">
        <v>1424</v>
      </c>
      <c r="I1023" s="14" t="s">
        <v>43</v>
      </c>
      <c r="J1023" s="14"/>
      <c r="K1023" s="27"/>
      <c r="L1023" s="19"/>
      <c r="M1023" s="16" t="s">
        <v>999</v>
      </c>
      <c r="N1023" s="25" t="s">
        <v>1440</v>
      </c>
      <c r="O1023" s="29" t="s">
        <v>465</v>
      </c>
      <c r="P1023" s="25" t="s">
        <v>417</v>
      </c>
      <c r="Q1023" s="25" t="s">
        <v>50</v>
      </c>
      <c r="R1023" s="16" t="n">
        <v>2772</v>
      </c>
      <c r="S1023" s="16" t="n">
        <v>5900</v>
      </c>
      <c r="T1023" s="1" t="n">
        <v>1</v>
      </c>
      <c r="U1023" s="1" t="str">
        <f aca="false">D1023&amp;"-"&amp;E1023&amp;"-"&amp;M1023&amp;"-"&amp;O1023&amp;"-"&amp;P1023&amp;"-"&amp;Q1023</f>
        <v>ELOMI-SMOOTH STRAPLESS BRA-FL4530-SKIN-40-F</v>
      </c>
      <c r="W1023" s="1" t="s">
        <v>113</v>
      </c>
    </row>
    <row r="1024" customFormat="false" ht="15" hidden="true" customHeight="false" outlineLevel="0" collapsed="false">
      <c r="B1024" s="61" t="s">
        <v>1454</v>
      </c>
      <c r="C1024" s="17" t="s">
        <v>37</v>
      </c>
      <c r="D1024" s="61" t="s">
        <v>1262</v>
      </c>
      <c r="E1024" s="61" t="s">
        <v>1423</v>
      </c>
      <c r="F1024" s="14" t="s">
        <v>997</v>
      </c>
      <c r="G1024" s="108" t="s">
        <v>573</v>
      </c>
      <c r="H1024" s="3" t="s">
        <v>1424</v>
      </c>
      <c r="I1024" s="14" t="s">
        <v>43</v>
      </c>
      <c r="J1024" s="14"/>
      <c r="K1024" s="27"/>
      <c r="L1024" s="19"/>
      <c r="M1024" s="16" t="s">
        <v>999</v>
      </c>
      <c r="N1024" s="61" t="s">
        <v>1440</v>
      </c>
      <c r="O1024" s="29" t="s">
        <v>465</v>
      </c>
      <c r="P1024" s="61" t="s">
        <v>417</v>
      </c>
      <c r="Q1024" s="61" t="s">
        <v>62</v>
      </c>
      <c r="R1024" s="16" t="n">
        <v>2772</v>
      </c>
      <c r="S1024" s="16" t="n">
        <v>5900</v>
      </c>
      <c r="T1024" s="1" t="n">
        <v>1</v>
      </c>
      <c r="U1024" s="1" t="str">
        <f aca="false">D1024&amp;"-"&amp;E1024&amp;"-"&amp;M1024&amp;"-"&amp;O1024&amp;"-"&amp;P1024&amp;"-"&amp;Q1024</f>
        <v>ELOMI-SMOOTH STRAPLESS BRA-FL4530-SKIN-40-FF</v>
      </c>
      <c r="W1024" s="1" t="s">
        <v>113</v>
      </c>
    </row>
    <row r="1025" customFormat="false" ht="15" hidden="true" customHeight="false" outlineLevel="0" collapsed="false">
      <c r="B1025" s="25" t="s">
        <v>1455</v>
      </c>
      <c r="C1025" s="17" t="s">
        <v>37</v>
      </c>
      <c r="D1025" s="61" t="s">
        <v>1262</v>
      </c>
      <c r="E1025" s="61" t="s">
        <v>1423</v>
      </c>
      <c r="F1025" s="14" t="s">
        <v>997</v>
      </c>
      <c r="G1025" s="108" t="s">
        <v>573</v>
      </c>
      <c r="H1025" s="3" t="s">
        <v>1424</v>
      </c>
      <c r="I1025" s="14" t="s">
        <v>43</v>
      </c>
      <c r="J1025" s="14"/>
      <c r="K1025" s="27"/>
      <c r="L1025" s="19"/>
      <c r="M1025" s="16" t="s">
        <v>1425</v>
      </c>
      <c r="N1025" s="25" t="s">
        <v>1440</v>
      </c>
      <c r="O1025" s="29" t="s">
        <v>465</v>
      </c>
      <c r="P1025" s="25" t="s">
        <v>417</v>
      </c>
      <c r="Q1025" s="25" t="s">
        <v>105</v>
      </c>
      <c r="R1025" s="16" t="n">
        <v>2772</v>
      </c>
      <c r="S1025" s="16" t="n">
        <v>5900</v>
      </c>
      <c r="T1025" s="1" t="n">
        <v>0</v>
      </c>
      <c r="U1025" s="1" t="str">
        <f aca="false">D1025&amp;"-"&amp;E1025&amp;"-"&amp;M1025&amp;"-"&amp;O1025&amp;"-"&amp;P1025&amp;"-"&amp;Q1025</f>
        <v>ELOMI-SMOOTH STRAPLESS BRA-EL4300-SKIN-40-G</v>
      </c>
      <c r="W1025" s="1" t="s">
        <v>113</v>
      </c>
    </row>
    <row r="1026" customFormat="false" ht="15" hidden="true" customHeight="false" outlineLevel="0" collapsed="false">
      <c r="B1026" s="61" t="s">
        <v>1456</v>
      </c>
      <c r="C1026" s="17" t="s">
        <v>37</v>
      </c>
      <c r="D1026" s="61" t="s">
        <v>1262</v>
      </c>
      <c r="E1026" s="61" t="s">
        <v>1423</v>
      </c>
      <c r="F1026" s="14" t="s">
        <v>997</v>
      </c>
      <c r="G1026" s="108" t="s">
        <v>573</v>
      </c>
      <c r="H1026" s="3" t="s">
        <v>1424</v>
      </c>
      <c r="I1026" s="14" t="s">
        <v>43</v>
      </c>
      <c r="J1026" s="14"/>
      <c r="K1026" s="27"/>
      <c r="L1026" s="19"/>
      <c r="M1026" s="16" t="s">
        <v>1425</v>
      </c>
      <c r="N1026" s="61" t="s">
        <v>1440</v>
      </c>
      <c r="O1026" s="29" t="s">
        <v>465</v>
      </c>
      <c r="P1026" s="61" t="s">
        <v>417</v>
      </c>
      <c r="Q1026" s="61" t="s">
        <v>143</v>
      </c>
      <c r="R1026" s="16" t="n">
        <v>2772</v>
      </c>
      <c r="S1026" s="16" t="n">
        <v>5900</v>
      </c>
      <c r="T1026" s="1" t="n">
        <v>0</v>
      </c>
      <c r="U1026" s="1" t="str">
        <f aca="false">D1026&amp;"-"&amp;E1026&amp;"-"&amp;M1026&amp;"-"&amp;O1026&amp;"-"&amp;P1026&amp;"-"&amp;Q1026</f>
        <v>ELOMI-SMOOTH STRAPLESS BRA-EL4300-SKIN-40-H</v>
      </c>
      <c r="W1026" s="1" t="s">
        <v>113</v>
      </c>
    </row>
    <row r="1027" customFormat="false" ht="15" hidden="true" customHeight="false" outlineLevel="0" collapsed="false">
      <c r="B1027" s="61" t="s">
        <v>1457</v>
      </c>
      <c r="C1027" s="17" t="s">
        <v>37</v>
      </c>
      <c r="D1027" s="61" t="s">
        <v>1262</v>
      </c>
      <c r="E1027" s="61" t="s">
        <v>1423</v>
      </c>
      <c r="F1027" s="14" t="s">
        <v>997</v>
      </c>
      <c r="G1027" s="108" t="s">
        <v>573</v>
      </c>
      <c r="H1027" s="3" t="s">
        <v>1424</v>
      </c>
      <c r="I1027" s="14" t="s">
        <v>43</v>
      </c>
      <c r="J1027" s="14"/>
      <c r="K1027" s="27"/>
      <c r="L1027" s="19"/>
      <c r="M1027" s="16" t="s">
        <v>1425</v>
      </c>
      <c r="N1027" s="61" t="s">
        <v>1440</v>
      </c>
      <c r="O1027" s="29" t="s">
        <v>465</v>
      </c>
      <c r="P1027" s="61" t="s">
        <v>417</v>
      </c>
      <c r="Q1027" s="61" t="s">
        <v>131</v>
      </c>
      <c r="R1027" s="16" t="n">
        <v>2772</v>
      </c>
      <c r="S1027" s="16" t="n">
        <v>5900</v>
      </c>
      <c r="T1027" s="1" t="n">
        <v>0</v>
      </c>
      <c r="U1027" s="1" t="str">
        <f aca="false">D1027&amp;"-"&amp;E1027&amp;"-"&amp;M1027&amp;"-"&amp;O1027&amp;"-"&amp;P1027&amp;"-"&amp;Q1027</f>
        <v>ELOMI-SMOOTH STRAPLESS BRA-EL4300-SKIN-40-HH</v>
      </c>
      <c r="W1027" s="1" t="s">
        <v>113</v>
      </c>
    </row>
    <row r="1028" customFormat="false" ht="15" hidden="true" customHeight="false" outlineLevel="0" collapsed="false">
      <c r="B1028" s="25" t="s">
        <v>1458</v>
      </c>
      <c r="C1028" s="17" t="s">
        <v>37</v>
      </c>
      <c r="D1028" s="61" t="s">
        <v>1262</v>
      </c>
      <c r="E1028" s="61" t="s">
        <v>1423</v>
      </c>
      <c r="F1028" s="14" t="s">
        <v>997</v>
      </c>
      <c r="G1028" s="108" t="s">
        <v>573</v>
      </c>
      <c r="H1028" s="3" t="s">
        <v>1424</v>
      </c>
      <c r="I1028" s="14" t="s">
        <v>43</v>
      </c>
      <c r="J1028" s="14"/>
      <c r="K1028" s="27"/>
      <c r="L1028" s="19"/>
      <c r="M1028" s="16" t="s">
        <v>999</v>
      </c>
      <c r="N1028" s="25" t="s">
        <v>1440</v>
      </c>
      <c r="O1028" s="29" t="s">
        <v>465</v>
      </c>
      <c r="P1028" s="25" t="s">
        <v>440</v>
      </c>
      <c r="Q1028" s="25" t="s">
        <v>50</v>
      </c>
      <c r="R1028" s="16" t="n">
        <v>2970</v>
      </c>
      <c r="S1028" s="16" t="n">
        <v>5900</v>
      </c>
      <c r="T1028" s="1" t="n">
        <v>1</v>
      </c>
      <c r="U1028" s="1" t="str">
        <f aca="false">D1028&amp;"-"&amp;E1028&amp;"-"&amp;M1028&amp;"-"&amp;O1028&amp;"-"&amp;P1028&amp;"-"&amp;Q1028</f>
        <v>ELOMI-SMOOTH STRAPLESS BRA-FL4530-SKIN-42-F</v>
      </c>
      <c r="W1028" s="1" t="s">
        <v>113</v>
      </c>
    </row>
    <row r="1029" customFormat="false" ht="15" hidden="true" customHeight="false" outlineLevel="0" collapsed="false">
      <c r="B1029" s="25" t="s">
        <v>1459</v>
      </c>
      <c r="C1029" s="17" t="s">
        <v>37</v>
      </c>
      <c r="D1029" s="61" t="s">
        <v>1262</v>
      </c>
      <c r="E1029" s="61" t="s">
        <v>1423</v>
      </c>
      <c r="F1029" s="14" t="s">
        <v>997</v>
      </c>
      <c r="G1029" s="108" t="s">
        <v>573</v>
      </c>
      <c r="H1029" s="3" t="s">
        <v>1424</v>
      </c>
      <c r="I1029" s="14" t="s">
        <v>43</v>
      </c>
      <c r="J1029" s="14"/>
      <c r="K1029" s="27"/>
      <c r="L1029" s="19"/>
      <c r="M1029" s="16" t="s">
        <v>999</v>
      </c>
      <c r="N1029" s="25" t="s">
        <v>1440</v>
      </c>
      <c r="O1029" s="29" t="s">
        <v>465</v>
      </c>
      <c r="P1029" s="25" t="s">
        <v>440</v>
      </c>
      <c r="Q1029" s="25" t="s">
        <v>62</v>
      </c>
      <c r="R1029" s="16" t="n">
        <v>2772</v>
      </c>
      <c r="S1029" s="16" t="n">
        <v>5900</v>
      </c>
      <c r="T1029" s="1" t="n">
        <v>1</v>
      </c>
      <c r="U1029" s="1" t="str">
        <f aca="false">D1029&amp;"-"&amp;E1029&amp;"-"&amp;M1029&amp;"-"&amp;O1029&amp;"-"&amp;P1029&amp;"-"&amp;Q1029</f>
        <v>ELOMI-SMOOTH STRAPLESS BRA-FL4530-SKIN-42-FF</v>
      </c>
      <c r="W1029" s="1" t="s">
        <v>113</v>
      </c>
    </row>
    <row r="1030" customFormat="false" ht="15" hidden="true" customHeight="false" outlineLevel="0" collapsed="false">
      <c r="B1030" s="61" t="s">
        <v>1460</v>
      </c>
      <c r="C1030" s="17" t="s">
        <v>37</v>
      </c>
      <c r="D1030" s="61" t="s">
        <v>1262</v>
      </c>
      <c r="E1030" s="61" t="s">
        <v>1423</v>
      </c>
      <c r="F1030" s="14" t="s">
        <v>997</v>
      </c>
      <c r="G1030" s="108" t="s">
        <v>573</v>
      </c>
      <c r="H1030" s="3" t="s">
        <v>1424</v>
      </c>
      <c r="I1030" s="14" t="s">
        <v>43</v>
      </c>
      <c r="J1030" s="14"/>
      <c r="K1030" s="27"/>
      <c r="L1030" s="19"/>
      <c r="M1030" s="16" t="s">
        <v>1425</v>
      </c>
      <c r="N1030" s="61" t="s">
        <v>1440</v>
      </c>
      <c r="O1030" s="29" t="s">
        <v>465</v>
      </c>
      <c r="P1030" s="61" t="s">
        <v>440</v>
      </c>
      <c r="Q1030" s="61" t="s">
        <v>105</v>
      </c>
      <c r="R1030" s="16" t="n">
        <v>2772</v>
      </c>
      <c r="S1030" s="16" t="n">
        <v>5900</v>
      </c>
      <c r="T1030" s="1" t="n">
        <v>1</v>
      </c>
      <c r="U1030" s="1" t="str">
        <f aca="false">D1030&amp;"-"&amp;E1030&amp;"-"&amp;M1030&amp;"-"&amp;O1030&amp;"-"&amp;P1030&amp;"-"&amp;Q1030</f>
        <v>ELOMI-SMOOTH STRAPLESS BRA-EL4300-SKIN-42-G</v>
      </c>
      <c r="W1030" s="1" t="s">
        <v>113</v>
      </c>
    </row>
    <row r="1031" customFormat="false" ht="15" hidden="true" customHeight="false" outlineLevel="0" collapsed="false">
      <c r="B1031" s="25" t="s">
        <v>1461</v>
      </c>
      <c r="C1031" s="17" t="s">
        <v>37</v>
      </c>
      <c r="D1031" s="61" t="s">
        <v>1262</v>
      </c>
      <c r="E1031" s="61" t="s">
        <v>1423</v>
      </c>
      <c r="F1031" s="14" t="s">
        <v>997</v>
      </c>
      <c r="G1031" s="108" t="s">
        <v>573</v>
      </c>
      <c r="H1031" s="3" t="s">
        <v>1424</v>
      </c>
      <c r="I1031" s="14" t="s">
        <v>43</v>
      </c>
      <c r="J1031" s="14"/>
      <c r="K1031" s="27"/>
      <c r="L1031" s="19"/>
      <c r="M1031" s="16" t="s">
        <v>999</v>
      </c>
      <c r="N1031" s="25" t="s">
        <v>1440</v>
      </c>
      <c r="O1031" s="29" t="s">
        <v>465</v>
      </c>
      <c r="P1031" s="25" t="s">
        <v>449</v>
      </c>
      <c r="Q1031" s="25" t="s">
        <v>66</v>
      </c>
      <c r="R1031" s="16" t="n">
        <v>2772</v>
      </c>
      <c r="S1031" s="16" t="n">
        <v>5900</v>
      </c>
      <c r="T1031" s="1" t="n">
        <v>1</v>
      </c>
      <c r="U1031" s="1" t="str">
        <f aca="false">D1031&amp;"-"&amp;E1031&amp;"-"&amp;M1031&amp;"-"&amp;O1031&amp;"-"&amp;P1031&amp;"-"&amp;Q1031</f>
        <v>ELOMI-SMOOTH STRAPLESS BRA-FL4530-SKIN-44-E</v>
      </c>
      <c r="W1031" s="1" t="s">
        <v>113</v>
      </c>
    </row>
    <row r="1032" customFormat="false" ht="15" hidden="true" customHeight="false" outlineLevel="0" collapsed="false">
      <c r="B1032" s="61" t="s">
        <v>1462</v>
      </c>
      <c r="C1032" s="17" t="s">
        <v>37</v>
      </c>
      <c r="D1032" s="61" t="s">
        <v>1262</v>
      </c>
      <c r="E1032" s="61" t="s">
        <v>1423</v>
      </c>
      <c r="F1032" s="14" t="s">
        <v>997</v>
      </c>
      <c r="G1032" s="108" t="s">
        <v>573</v>
      </c>
      <c r="H1032" s="3" t="s">
        <v>1424</v>
      </c>
      <c r="I1032" s="14" t="s">
        <v>43</v>
      </c>
      <c r="J1032" s="14"/>
      <c r="K1032" s="27"/>
      <c r="L1032" s="19"/>
      <c r="M1032" s="16" t="s">
        <v>999</v>
      </c>
      <c r="N1032" s="61" t="s">
        <v>1440</v>
      </c>
      <c r="O1032" s="29" t="s">
        <v>465</v>
      </c>
      <c r="P1032" s="61" t="s">
        <v>449</v>
      </c>
      <c r="Q1032" s="61" t="s">
        <v>50</v>
      </c>
      <c r="R1032" s="16" t="n">
        <v>2772</v>
      </c>
      <c r="S1032" s="16" t="n">
        <v>5900</v>
      </c>
      <c r="T1032" s="1" t="n">
        <v>1</v>
      </c>
      <c r="U1032" s="1" t="str">
        <f aca="false">D1032&amp;"-"&amp;E1032&amp;"-"&amp;M1032&amp;"-"&amp;O1032&amp;"-"&amp;P1032&amp;"-"&amp;Q1032</f>
        <v>ELOMI-SMOOTH STRAPLESS BRA-FL4530-SKIN-44-F</v>
      </c>
      <c r="W1032" s="1" t="s">
        <v>113</v>
      </c>
    </row>
    <row r="1033" customFormat="false" ht="15" hidden="true" customHeight="false" outlineLevel="0" collapsed="false">
      <c r="B1033" s="103" t="s">
        <v>1463</v>
      </c>
      <c r="C1033" s="20" t="s">
        <v>37</v>
      </c>
      <c r="D1033" s="103" t="s">
        <v>1262</v>
      </c>
      <c r="E1033" s="103" t="s">
        <v>1423</v>
      </c>
      <c r="F1033" s="14" t="s">
        <v>997</v>
      </c>
      <c r="G1033" s="108" t="s">
        <v>573</v>
      </c>
      <c r="H1033" s="3" t="s">
        <v>1424</v>
      </c>
      <c r="I1033" s="14" t="s">
        <v>43</v>
      </c>
      <c r="J1033" s="14"/>
      <c r="K1033" s="27"/>
      <c r="L1033" s="19"/>
      <c r="M1033" s="16" t="s">
        <v>999</v>
      </c>
      <c r="N1033" s="103" t="s">
        <v>1440</v>
      </c>
      <c r="O1033" s="20" t="s">
        <v>465</v>
      </c>
      <c r="P1033" s="103" t="s">
        <v>449</v>
      </c>
      <c r="Q1033" s="103" t="s">
        <v>62</v>
      </c>
      <c r="R1033" s="16" t="n">
        <v>2772</v>
      </c>
      <c r="S1033" s="16" t="n">
        <v>5900</v>
      </c>
      <c r="T1033" s="1" t="n">
        <v>2</v>
      </c>
      <c r="U1033" s="1" t="str">
        <f aca="false">D1033&amp;"-"&amp;E1033&amp;"-"&amp;M1033&amp;"-"&amp;O1033&amp;"-"&amp;P1033&amp;"-"&amp;Q1033</f>
        <v>ELOMI-SMOOTH STRAPLESS BRA-FL4530-SKIN-44-FF</v>
      </c>
      <c r="W1033" s="1" t="s">
        <v>113</v>
      </c>
    </row>
    <row r="1034" customFormat="false" ht="15" hidden="true" customHeight="false" outlineLevel="0" collapsed="false">
      <c r="B1034" s="17" t="s">
        <v>1464</v>
      </c>
      <c r="C1034" s="17" t="s">
        <v>37</v>
      </c>
      <c r="D1034" s="61" t="s">
        <v>1262</v>
      </c>
      <c r="E1034" s="17" t="s">
        <v>1465</v>
      </c>
      <c r="F1034" s="14" t="s">
        <v>1466</v>
      </c>
      <c r="G1034" s="108" t="s">
        <v>573</v>
      </c>
      <c r="H1034" s="3" t="s">
        <v>1424</v>
      </c>
      <c r="I1034" s="14" t="s">
        <v>43</v>
      </c>
      <c r="J1034" s="14"/>
      <c r="K1034" s="19"/>
      <c r="L1034" s="19"/>
      <c r="M1034" s="17" t="s">
        <v>1467</v>
      </c>
      <c r="N1034" s="17" t="s">
        <v>76</v>
      </c>
      <c r="O1034" s="17" t="s">
        <v>77</v>
      </c>
      <c r="P1034" s="17" t="s">
        <v>134</v>
      </c>
      <c r="Q1034" s="17" t="s">
        <v>105</v>
      </c>
      <c r="R1034" s="16" t="n">
        <v>2655.18</v>
      </c>
      <c r="S1034" s="16" t="n">
        <v>6100</v>
      </c>
      <c r="T1034" s="16" t="n">
        <v>0</v>
      </c>
      <c r="U1034" s="1" t="str">
        <f aca="false">D1034&amp;"-"&amp;E1034&amp;"-"&amp;M1034&amp;"-"&amp;O1034&amp;"-"&amp;P1034&amp;"-"&amp;Q1034</f>
        <v>ELOMI-CHARLEY 0906-EL4381-BLACK-34-G</v>
      </c>
    </row>
    <row r="1035" customFormat="false" ht="15" hidden="true" customHeight="false" outlineLevel="0" collapsed="false">
      <c r="B1035" s="17" t="s">
        <v>1468</v>
      </c>
      <c r="C1035" s="17" t="s">
        <v>37</v>
      </c>
      <c r="D1035" s="61" t="s">
        <v>1262</v>
      </c>
      <c r="E1035" s="17" t="s">
        <v>1465</v>
      </c>
      <c r="F1035" s="14" t="s">
        <v>1466</v>
      </c>
      <c r="G1035" s="108" t="s">
        <v>573</v>
      </c>
      <c r="H1035" s="3" t="s">
        <v>1424</v>
      </c>
      <c r="I1035" s="14" t="s">
        <v>43</v>
      </c>
      <c r="J1035" s="14"/>
      <c r="K1035" s="19"/>
      <c r="L1035" s="19"/>
      <c r="M1035" s="17" t="s">
        <v>1467</v>
      </c>
      <c r="N1035" s="17" t="s">
        <v>76</v>
      </c>
      <c r="O1035" s="17" t="s">
        <v>77</v>
      </c>
      <c r="P1035" s="17" t="s">
        <v>134</v>
      </c>
      <c r="Q1035" s="17" t="s">
        <v>129</v>
      </c>
      <c r="R1035" s="16" t="n">
        <v>2655.18</v>
      </c>
      <c r="S1035" s="16" t="n">
        <v>6100</v>
      </c>
      <c r="T1035" s="16" t="n">
        <v>0</v>
      </c>
      <c r="U1035" s="1" t="str">
        <f aca="false">D1035&amp;"-"&amp;E1035&amp;"-"&amp;M1035&amp;"-"&amp;O1035&amp;"-"&amp;P1035&amp;"-"&amp;Q1035</f>
        <v>ELOMI-CHARLEY 0906-EL4381-BLACK-34-GG</v>
      </c>
    </row>
    <row r="1036" customFormat="false" ht="15" hidden="true" customHeight="false" outlineLevel="0" collapsed="false">
      <c r="B1036" s="29" t="s">
        <v>1469</v>
      </c>
      <c r="C1036" s="17" t="s">
        <v>37</v>
      </c>
      <c r="D1036" s="61" t="s">
        <v>1262</v>
      </c>
      <c r="E1036" s="29" t="s">
        <v>1465</v>
      </c>
      <c r="F1036" s="14" t="s">
        <v>1466</v>
      </c>
      <c r="G1036" s="108" t="s">
        <v>573</v>
      </c>
      <c r="H1036" s="3" t="s">
        <v>1424</v>
      </c>
      <c r="I1036" s="14" t="s">
        <v>43</v>
      </c>
      <c r="J1036" s="14"/>
      <c r="K1036" s="19"/>
      <c r="L1036" s="19"/>
      <c r="M1036" s="17" t="s">
        <v>1467</v>
      </c>
      <c r="N1036" s="29" t="s">
        <v>76</v>
      </c>
      <c r="O1036" s="17" t="s">
        <v>77</v>
      </c>
      <c r="P1036" s="29" t="s">
        <v>134</v>
      </c>
      <c r="Q1036" s="29" t="s">
        <v>143</v>
      </c>
      <c r="R1036" s="16" t="n">
        <v>2655.18</v>
      </c>
      <c r="S1036" s="16" t="n">
        <v>6100</v>
      </c>
      <c r="T1036" s="16" t="n">
        <v>0</v>
      </c>
      <c r="U1036" s="1" t="str">
        <f aca="false">D1036&amp;"-"&amp;E1036&amp;"-"&amp;M1036&amp;"-"&amp;O1036&amp;"-"&amp;P1036&amp;"-"&amp;Q1036</f>
        <v>ELOMI-CHARLEY 0906-EL4381-BLACK-34-H</v>
      </c>
    </row>
    <row r="1037" customFormat="false" ht="15" hidden="true" customHeight="false" outlineLevel="0" collapsed="false">
      <c r="B1037" s="17" t="s">
        <v>1470</v>
      </c>
      <c r="C1037" s="17" t="s">
        <v>37</v>
      </c>
      <c r="D1037" s="61" t="s">
        <v>1262</v>
      </c>
      <c r="E1037" s="17" t="s">
        <v>1465</v>
      </c>
      <c r="F1037" s="14" t="s">
        <v>1466</v>
      </c>
      <c r="G1037" s="108" t="s">
        <v>573</v>
      </c>
      <c r="H1037" s="3" t="s">
        <v>1424</v>
      </c>
      <c r="I1037" s="14" t="s">
        <v>43</v>
      </c>
      <c r="J1037" s="14"/>
      <c r="K1037" s="19"/>
      <c r="L1037" s="19"/>
      <c r="M1037" s="17" t="s">
        <v>1467</v>
      </c>
      <c r="N1037" s="17" t="s">
        <v>76</v>
      </c>
      <c r="O1037" s="17" t="s">
        <v>77</v>
      </c>
      <c r="P1037" s="17" t="s">
        <v>134</v>
      </c>
      <c r="Q1037" s="17" t="s">
        <v>131</v>
      </c>
      <c r="R1037" s="16" t="n">
        <v>2655.18</v>
      </c>
      <c r="S1037" s="16" t="n">
        <v>6100</v>
      </c>
      <c r="T1037" s="16" t="n">
        <v>0</v>
      </c>
      <c r="U1037" s="1" t="str">
        <f aca="false">D1037&amp;"-"&amp;E1037&amp;"-"&amp;M1037&amp;"-"&amp;O1037&amp;"-"&amp;P1037&amp;"-"&amp;Q1037</f>
        <v>ELOMI-CHARLEY 0906-EL4381-BLACK-34-HH</v>
      </c>
    </row>
    <row r="1038" customFormat="false" ht="15" hidden="true" customHeight="false" outlineLevel="0" collapsed="false">
      <c r="B1038" s="17" t="s">
        <v>1471</v>
      </c>
      <c r="C1038" s="17" t="s">
        <v>37</v>
      </c>
      <c r="D1038" s="61" t="s">
        <v>1262</v>
      </c>
      <c r="E1038" s="17" t="s">
        <v>1465</v>
      </c>
      <c r="F1038" s="14" t="s">
        <v>1466</v>
      </c>
      <c r="G1038" s="108" t="s">
        <v>573</v>
      </c>
      <c r="H1038" s="3" t="s">
        <v>1424</v>
      </c>
      <c r="I1038" s="14" t="s">
        <v>43</v>
      </c>
      <c r="J1038" s="14"/>
      <c r="K1038" s="19"/>
      <c r="L1038" s="19"/>
      <c r="M1038" s="17" t="s">
        <v>1467</v>
      </c>
      <c r="N1038" s="17" t="s">
        <v>76</v>
      </c>
      <c r="O1038" s="17" t="s">
        <v>77</v>
      </c>
      <c r="P1038" s="17" t="s">
        <v>65</v>
      </c>
      <c r="Q1038" s="17" t="s">
        <v>50</v>
      </c>
      <c r="R1038" s="16" t="n">
        <v>2655.18</v>
      </c>
      <c r="S1038" s="16" t="n">
        <v>6100</v>
      </c>
      <c r="T1038" s="16" t="n">
        <v>1</v>
      </c>
      <c r="U1038" s="1" t="str">
        <f aca="false">D1038&amp;"-"&amp;E1038&amp;"-"&amp;M1038&amp;"-"&amp;O1038&amp;"-"&amp;P1038&amp;"-"&amp;Q1038</f>
        <v>ELOMI-CHARLEY 0906-EL4381-BLACK-36-F</v>
      </c>
    </row>
    <row r="1039" customFormat="false" ht="15" hidden="true" customHeight="false" outlineLevel="0" collapsed="false">
      <c r="B1039" s="29" t="s">
        <v>1472</v>
      </c>
      <c r="C1039" s="17" t="s">
        <v>37</v>
      </c>
      <c r="D1039" s="61" t="s">
        <v>1262</v>
      </c>
      <c r="E1039" s="29" t="s">
        <v>1465</v>
      </c>
      <c r="F1039" s="14" t="s">
        <v>1466</v>
      </c>
      <c r="G1039" s="108" t="s">
        <v>573</v>
      </c>
      <c r="H1039" s="3" t="s">
        <v>1424</v>
      </c>
      <c r="I1039" s="14" t="s">
        <v>43</v>
      </c>
      <c r="J1039" s="14"/>
      <c r="K1039" s="19"/>
      <c r="L1039" s="19"/>
      <c r="M1039" s="17" t="s">
        <v>1467</v>
      </c>
      <c r="N1039" s="29" t="s">
        <v>76</v>
      </c>
      <c r="O1039" s="17" t="s">
        <v>77</v>
      </c>
      <c r="P1039" s="29" t="s">
        <v>65</v>
      </c>
      <c r="Q1039" s="29" t="s">
        <v>62</v>
      </c>
      <c r="R1039" s="16" t="n">
        <v>2655.18</v>
      </c>
      <c r="S1039" s="16" t="n">
        <v>6100</v>
      </c>
      <c r="T1039" s="16" t="n">
        <v>0</v>
      </c>
      <c r="U1039" s="1" t="str">
        <f aca="false">D1039&amp;"-"&amp;E1039&amp;"-"&amp;M1039&amp;"-"&amp;O1039&amp;"-"&amp;P1039&amp;"-"&amp;Q1039</f>
        <v>ELOMI-CHARLEY 0906-EL4381-BLACK-36-FF</v>
      </c>
    </row>
    <row r="1040" customFormat="false" ht="15" hidden="true" customHeight="false" outlineLevel="0" collapsed="false">
      <c r="B1040" s="29" t="s">
        <v>1473</v>
      </c>
      <c r="C1040" s="17" t="s">
        <v>37</v>
      </c>
      <c r="D1040" s="61" t="s">
        <v>1262</v>
      </c>
      <c r="E1040" s="29" t="s">
        <v>1474</v>
      </c>
      <c r="F1040" s="14" t="s">
        <v>1466</v>
      </c>
      <c r="G1040" s="108" t="s">
        <v>573</v>
      </c>
      <c r="H1040" s="3" t="s">
        <v>1424</v>
      </c>
      <c r="I1040" s="14" t="s">
        <v>43</v>
      </c>
      <c r="J1040" s="14"/>
      <c r="K1040" s="19"/>
      <c r="L1040" s="19"/>
      <c r="M1040" s="17" t="s">
        <v>1467</v>
      </c>
      <c r="N1040" s="29" t="s">
        <v>76</v>
      </c>
      <c r="O1040" s="17" t="s">
        <v>77</v>
      </c>
      <c r="P1040" s="29" t="s">
        <v>65</v>
      </c>
      <c r="Q1040" s="29" t="s">
        <v>129</v>
      </c>
      <c r="R1040" s="16" t="n">
        <v>2772</v>
      </c>
      <c r="S1040" s="16" t="n">
        <v>6100</v>
      </c>
      <c r="T1040" s="16" t="n">
        <v>0</v>
      </c>
      <c r="U1040" s="1" t="str">
        <f aca="false">D1040&amp;"-"&amp;E1040&amp;"-"&amp;M1040&amp;"-"&amp;O1040&amp;"-"&amp;P1040&amp;"-"&amp;Q1040</f>
        <v>ELOMI-CHARLEY WIRED BRALETTE BRA-EL4381-BLACK-36-GG</v>
      </c>
    </row>
    <row r="1041" customFormat="false" ht="15" hidden="true" customHeight="false" outlineLevel="0" collapsed="false">
      <c r="B1041" s="29" t="s">
        <v>1475</v>
      </c>
      <c r="C1041" s="17" t="s">
        <v>37</v>
      </c>
      <c r="D1041" s="61" t="s">
        <v>1262</v>
      </c>
      <c r="E1041" s="29" t="s">
        <v>1476</v>
      </c>
      <c r="F1041" s="14" t="s">
        <v>1466</v>
      </c>
      <c r="G1041" s="108" t="s">
        <v>573</v>
      </c>
      <c r="H1041" s="3" t="s">
        <v>1424</v>
      </c>
      <c r="I1041" s="14" t="s">
        <v>43</v>
      </c>
      <c r="J1041" s="14"/>
      <c r="K1041" s="19"/>
      <c r="L1041" s="19"/>
      <c r="M1041" s="17" t="s">
        <v>1467</v>
      </c>
      <c r="N1041" s="29" t="s">
        <v>76</v>
      </c>
      <c r="O1041" s="17" t="s">
        <v>77</v>
      </c>
      <c r="P1041" s="29" t="s">
        <v>65</v>
      </c>
      <c r="Q1041" s="29" t="s">
        <v>129</v>
      </c>
      <c r="R1041" s="16" t="n">
        <v>3199</v>
      </c>
      <c r="S1041" s="16" t="n">
        <v>6100</v>
      </c>
      <c r="T1041" s="16" t="n">
        <v>0</v>
      </c>
      <c r="U1041" s="1" t="str">
        <f aca="false">D1041&amp;"-"&amp;E1041&amp;"-"&amp;M1041&amp;"-"&amp;O1041&amp;"-"&amp;P1041&amp;"-"&amp;Q1041</f>
        <v>ELOMI-CHARLEY UW BRALETTE-EL4381-BLACK-36-GG</v>
      </c>
    </row>
    <row r="1042" customFormat="false" ht="15" hidden="true" customHeight="false" outlineLevel="0" collapsed="false">
      <c r="B1042" s="17" t="s">
        <v>1477</v>
      </c>
      <c r="C1042" s="17" t="s">
        <v>37</v>
      </c>
      <c r="D1042" s="61" t="s">
        <v>1262</v>
      </c>
      <c r="E1042" s="17" t="s">
        <v>1474</v>
      </c>
      <c r="F1042" s="14" t="s">
        <v>1466</v>
      </c>
      <c r="G1042" s="108" t="s">
        <v>573</v>
      </c>
      <c r="H1042" s="3" t="s">
        <v>1424</v>
      </c>
      <c r="I1042" s="14" t="s">
        <v>43</v>
      </c>
      <c r="J1042" s="14"/>
      <c r="K1042" s="19"/>
      <c r="L1042" s="19"/>
      <c r="M1042" s="17" t="s">
        <v>1467</v>
      </c>
      <c r="N1042" s="17" t="s">
        <v>76</v>
      </c>
      <c r="O1042" s="17" t="s">
        <v>77</v>
      </c>
      <c r="P1042" s="17" t="s">
        <v>65</v>
      </c>
      <c r="Q1042" s="17" t="s">
        <v>143</v>
      </c>
      <c r="R1042" s="16" t="n">
        <v>2772</v>
      </c>
      <c r="S1042" s="16" t="n">
        <v>6100</v>
      </c>
      <c r="T1042" s="16" t="n">
        <v>0</v>
      </c>
      <c r="U1042" s="1" t="str">
        <f aca="false">D1042&amp;"-"&amp;E1042&amp;"-"&amp;M1042&amp;"-"&amp;O1042&amp;"-"&amp;P1042&amp;"-"&amp;Q1042</f>
        <v>ELOMI-CHARLEY WIRED BRALETTE BRA-EL4381-BLACK-36-H</v>
      </c>
    </row>
    <row r="1043" customFormat="false" ht="15" hidden="true" customHeight="false" outlineLevel="0" collapsed="false">
      <c r="B1043" s="17" t="s">
        <v>1478</v>
      </c>
      <c r="C1043" s="17" t="s">
        <v>37</v>
      </c>
      <c r="D1043" s="61" t="s">
        <v>1262</v>
      </c>
      <c r="E1043" s="17" t="s">
        <v>1465</v>
      </c>
      <c r="F1043" s="14" t="s">
        <v>1466</v>
      </c>
      <c r="G1043" s="108" t="s">
        <v>573</v>
      </c>
      <c r="H1043" s="3" t="s">
        <v>1424</v>
      </c>
      <c r="I1043" s="14" t="s">
        <v>43</v>
      </c>
      <c r="J1043" s="14"/>
      <c r="K1043" s="19"/>
      <c r="L1043" s="19"/>
      <c r="M1043" s="17" t="s">
        <v>1467</v>
      </c>
      <c r="N1043" s="17" t="s">
        <v>76</v>
      </c>
      <c r="O1043" s="17" t="s">
        <v>77</v>
      </c>
      <c r="P1043" s="17" t="s">
        <v>154</v>
      </c>
      <c r="Q1043" s="17" t="s">
        <v>66</v>
      </c>
      <c r="R1043" s="16" t="n">
        <v>2655.18</v>
      </c>
      <c r="S1043" s="16" t="n">
        <v>6100</v>
      </c>
      <c r="T1043" s="16" t="n">
        <v>0</v>
      </c>
      <c r="U1043" s="1" t="str">
        <f aca="false">D1043&amp;"-"&amp;E1043&amp;"-"&amp;M1043&amp;"-"&amp;O1043&amp;"-"&amp;P1043&amp;"-"&amp;Q1043</f>
        <v>ELOMI-CHARLEY 0906-EL4381-BLACK-38-E</v>
      </c>
    </row>
    <row r="1044" customFormat="false" ht="15" hidden="true" customHeight="false" outlineLevel="0" collapsed="false">
      <c r="B1044" s="17" t="s">
        <v>1479</v>
      </c>
      <c r="C1044" s="17" t="s">
        <v>37</v>
      </c>
      <c r="D1044" s="61" t="s">
        <v>1262</v>
      </c>
      <c r="E1044" s="17" t="s">
        <v>1476</v>
      </c>
      <c r="F1044" s="14" t="s">
        <v>1466</v>
      </c>
      <c r="G1044" s="108" t="s">
        <v>573</v>
      </c>
      <c r="H1044" s="3" t="s">
        <v>1424</v>
      </c>
      <c r="I1044" s="14" t="s">
        <v>43</v>
      </c>
      <c r="J1044" s="14"/>
      <c r="K1044" s="19"/>
      <c r="L1044" s="19"/>
      <c r="M1044" s="17" t="s">
        <v>1467</v>
      </c>
      <c r="N1044" s="17" t="s">
        <v>76</v>
      </c>
      <c r="O1044" s="17" t="s">
        <v>77</v>
      </c>
      <c r="P1044" s="17" t="s">
        <v>154</v>
      </c>
      <c r="Q1044" s="17" t="s">
        <v>50</v>
      </c>
      <c r="R1044" s="16" t="n">
        <v>3199</v>
      </c>
      <c r="S1044" s="16" t="n">
        <v>6100</v>
      </c>
      <c r="T1044" s="16" t="n">
        <v>2</v>
      </c>
      <c r="U1044" s="1" t="str">
        <f aca="false">D1044&amp;"-"&amp;E1044&amp;"-"&amp;M1044&amp;"-"&amp;O1044&amp;"-"&amp;P1044&amp;"-"&amp;Q1044</f>
        <v>ELOMI-CHARLEY UW BRALETTE-EL4381-BLACK-38-F</v>
      </c>
    </row>
    <row r="1045" customFormat="false" ht="15" hidden="true" customHeight="false" outlineLevel="0" collapsed="false">
      <c r="B1045" s="29" t="s">
        <v>1480</v>
      </c>
      <c r="C1045" s="17" t="s">
        <v>37</v>
      </c>
      <c r="D1045" s="61" t="s">
        <v>1262</v>
      </c>
      <c r="E1045" s="29" t="s">
        <v>1476</v>
      </c>
      <c r="F1045" s="14" t="s">
        <v>1466</v>
      </c>
      <c r="G1045" s="108" t="s">
        <v>573</v>
      </c>
      <c r="H1045" s="3" t="s">
        <v>1424</v>
      </c>
      <c r="I1045" s="14" t="s">
        <v>43</v>
      </c>
      <c r="J1045" s="14"/>
      <c r="K1045" s="19"/>
      <c r="L1045" s="19"/>
      <c r="M1045" s="17" t="s">
        <v>1467</v>
      </c>
      <c r="N1045" s="29" t="s">
        <v>76</v>
      </c>
      <c r="O1045" s="17" t="s">
        <v>77</v>
      </c>
      <c r="P1045" s="29" t="s">
        <v>154</v>
      </c>
      <c r="Q1045" s="29" t="s">
        <v>62</v>
      </c>
      <c r="R1045" s="16" t="n">
        <v>3199</v>
      </c>
      <c r="S1045" s="16" t="n">
        <v>6100</v>
      </c>
      <c r="T1045" s="16" t="n">
        <v>1</v>
      </c>
      <c r="U1045" s="1" t="str">
        <f aca="false">D1045&amp;"-"&amp;E1045&amp;"-"&amp;M1045&amp;"-"&amp;O1045&amp;"-"&amp;P1045&amp;"-"&amp;Q1045</f>
        <v>ELOMI-CHARLEY UW BRALETTE-EL4381-BLACK-38-FF</v>
      </c>
    </row>
    <row r="1046" customFormat="false" ht="15" hidden="true" customHeight="false" outlineLevel="0" collapsed="false">
      <c r="B1046" s="17" t="s">
        <v>1481</v>
      </c>
      <c r="C1046" s="17" t="s">
        <v>37</v>
      </c>
      <c r="D1046" s="61" t="s">
        <v>1262</v>
      </c>
      <c r="E1046" s="17" t="s">
        <v>1476</v>
      </c>
      <c r="F1046" s="14" t="s">
        <v>1466</v>
      </c>
      <c r="G1046" s="108" t="s">
        <v>573</v>
      </c>
      <c r="H1046" s="3" t="s">
        <v>1424</v>
      </c>
      <c r="I1046" s="14" t="s">
        <v>43</v>
      </c>
      <c r="J1046" s="14"/>
      <c r="K1046" s="19"/>
      <c r="L1046" s="19"/>
      <c r="M1046" s="17" t="s">
        <v>1467</v>
      </c>
      <c r="N1046" s="17" t="s">
        <v>76</v>
      </c>
      <c r="O1046" s="17" t="s">
        <v>77</v>
      </c>
      <c r="P1046" s="17" t="s">
        <v>154</v>
      </c>
      <c r="Q1046" s="17" t="s">
        <v>105</v>
      </c>
      <c r="R1046" s="16" t="n">
        <v>3199</v>
      </c>
      <c r="S1046" s="16" t="n">
        <v>6100</v>
      </c>
      <c r="T1046" s="16" t="n">
        <v>1</v>
      </c>
      <c r="U1046" s="1" t="str">
        <f aca="false">D1046&amp;"-"&amp;E1046&amp;"-"&amp;M1046&amp;"-"&amp;O1046&amp;"-"&amp;P1046&amp;"-"&amp;Q1046</f>
        <v>ELOMI-CHARLEY UW BRALETTE-EL4381-BLACK-38-G</v>
      </c>
    </row>
    <row r="1047" customFormat="false" ht="15" hidden="true" customHeight="false" outlineLevel="0" collapsed="false">
      <c r="B1047" s="29" t="s">
        <v>1482</v>
      </c>
      <c r="C1047" s="17" t="s">
        <v>37</v>
      </c>
      <c r="D1047" s="61" t="s">
        <v>1262</v>
      </c>
      <c r="E1047" s="29" t="s">
        <v>1476</v>
      </c>
      <c r="F1047" s="14" t="s">
        <v>1466</v>
      </c>
      <c r="G1047" s="108" t="s">
        <v>573</v>
      </c>
      <c r="H1047" s="3" t="s">
        <v>1424</v>
      </c>
      <c r="I1047" s="14" t="s">
        <v>43</v>
      </c>
      <c r="J1047" s="14"/>
      <c r="K1047" s="19"/>
      <c r="L1047" s="19"/>
      <c r="M1047" s="17" t="s">
        <v>1467</v>
      </c>
      <c r="N1047" s="29" t="s">
        <v>76</v>
      </c>
      <c r="O1047" s="17" t="s">
        <v>77</v>
      </c>
      <c r="P1047" s="29" t="s">
        <v>154</v>
      </c>
      <c r="Q1047" s="29" t="s">
        <v>129</v>
      </c>
      <c r="R1047" s="16" t="n">
        <v>3199</v>
      </c>
      <c r="S1047" s="16" t="n">
        <v>6100</v>
      </c>
      <c r="T1047" s="16" t="n">
        <v>0</v>
      </c>
      <c r="U1047" s="1" t="str">
        <f aca="false">D1047&amp;"-"&amp;E1047&amp;"-"&amp;M1047&amp;"-"&amp;O1047&amp;"-"&amp;P1047&amp;"-"&amp;Q1047</f>
        <v>ELOMI-CHARLEY UW BRALETTE-EL4381-BLACK-38-GG</v>
      </c>
    </row>
    <row r="1048" customFormat="false" ht="15" hidden="true" customHeight="false" outlineLevel="0" collapsed="false">
      <c r="B1048" s="29" t="s">
        <v>1483</v>
      </c>
      <c r="C1048" s="17" t="s">
        <v>37</v>
      </c>
      <c r="D1048" s="61" t="s">
        <v>1262</v>
      </c>
      <c r="E1048" s="29" t="s">
        <v>1465</v>
      </c>
      <c r="F1048" s="14" t="s">
        <v>1466</v>
      </c>
      <c r="G1048" s="108" t="s">
        <v>573</v>
      </c>
      <c r="H1048" s="3" t="s">
        <v>1424</v>
      </c>
      <c r="I1048" s="14" t="s">
        <v>43</v>
      </c>
      <c r="J1048" s="14"/>
      <c r="K1048" s="19"/>
      <c r="L1048" s="19"/>
      <c r="M1048" s="17" t="s">
        <v>1467</v>
      </c>
      <c r="N1048" s="29" t="s">
        <v>76</v>
      </c>
      <c r="O1048" s="17" t="s">
        <v>77</v>
      </c>
      <c r="P1048" s="29" t="s">
        <v>154</v>
      </c>
      <c r="Q1048" s="29" t="s">
        <v>143</v>
      </c>
      <c r="R1048" s="16" t="n">
        <v>2655.18</v>
      </c>
      <c r="S1048" s="16" t="n">
        <v>6100</v>
      </c>
      <c r="T1048" s="16" t="n">
        <v>0</v>
      </c>
      <c r="U1048" s="1" t="str">
        <f aca="false">D1048&amp;"-"&amp;E1048&amp;"-"&amp;M1048&amp;"-"&amp;O1048&amp;"-"&amp;P1048&amp;"-"&amp;Q1048</f>
        <v>ELOMI-CHARLEY 0906-EL4381-BLACK-38-H</v>
      </c>
    </row>
    <row r="1049" customFormat="false" ht="15" hidden="true" customHeight="false" outlineLevel="0" collapsed="false">
      <c r="B1049" s="17" t="s">
        <v>1484</v>
      </c>
      <c r="C1049" s="17" t="s">
        <v>37</v>
      </c>
      <c r="D1049" s="61" t="s">
        <v>1262</v>
      </c>
      <c r="E1049" s="17" t="s">
        <v>1465</v>
      </c>
      <c r="F1049" s="14" t="s">
        <v>1466</v>
      </c>
      <c r="G1049" s="108" t="s">
        <v>573</v>
      </c>
      <c r="H1049" s="3" t="s">
        <v>1424</v>
      </c>
      <c r="I1049" s="14" t="s">
        <v>43</v>
      </c>
      <c r="J1049" s="14"/>
      <c r="K1049" s="19"/>
      <c r="L1049" s="19"/>
      <c r="M1049" s="17" t="s">
        <v>1467</v>
      </c>
      <c r="N1049" s="17" t="s">
        <v>76</v>
      </c>
      <c r="O1049" s="17" t="s">
        <v>77</v>
      </c>
      <c r="P1049" s="17" t="s">
        <v>417</v>
      </c>
      <c r="Q1049" s="17" t="s">
        <v>66</v>
      </c>
      <c r="R1049" s="16" t="n">
        <v>2655.18</v>
      </c>
      <c r="S1049" s="16" t="n">
        <v>6100</v>
      </c>
      <c r="T1049" s="16" t="n">
        <v>0</v>
      </c>
      <c r="U1049" s="1" t="str">
        <f aca="false">D1049&amp;"-"&amp;E1049&amp;"-"&amp;M1049&amp;"-"&amp;O1049&amp;"-"&amp;P1049&amp;"-"&amp;Q1049</f>
        <v>ELOMI-CHARLEY 0906-EL4381-BLACK-40-E</v>
      </c>
    </row>
    <row r="1050" customFormat="false" ht="15" hidden="true" customHeight="false" outlineLevel="0" collapsed="false">
      <c r="B1050" s="29" t="s">
        <v>1485</v>
      </c>
      <c r="C1050" s="17" t="s">
        <v>37</v>
      </c>
      <c r="D1050" s="61" t="s">
        <v>1262</v>
      </c>
      <c r="E1050" s="29" t="s">
        <v>1465</v>
      </c>
      <c r="F1050" s="14" t="s">
        <v>1466</v>
      </c>
      <c r="G1050" s="108" t="s">
        <v>573</v>
      </c>
      <c r="H1050" s="3" t="s">
        <v>1424</v>
      </c>
      <c r="I1050" s="14" t="s">
        <v>43</v>
      </c>
      <c r="J1050" s="14"/>
      <c r="K1050" s="19"/>
      <c r="L1050" s="19"/>
      <c r="M1050" s="17" t="s">
        <v>1467</v>
      </c>
      <c r="N1050" s="29" t="s">
        <v>76</v>
      </c>
      <c r="O1050" s="17" t="s">
        <v>77</v>
      </c>
      <c r="P1050" s="29" t="s">
        <v>417</v>
      </c>
      <c r="Q1050" s="29" t="s">
        <v>50</v>
      </c>
      <c r="R1050" s="16" t="n">
        <v>3199</v>
      </c>
      <c r="S1050" s="16" t="n">
        <v>6100</v>
      </c>
      <c r="T1050" s="16" t="n">
        <v>0</v>
      </c>
      <c r="U1050" s="1" t="str">
        <f aca="false">D1050&amp;"-"&amp;E1050&amp;"-"&amp;M1050&amp;"-"&amp;O1050&amp;"-"&amp;P1050&amp;"-"&amp;Q1050</f>
        <v>ELOMI-CHARLEY 0906-EL4381-BLACK-40-F</v>
      </c>
    </row>
    <row r="1051" customFormat="false" ht="15" hidden="true" customHeight="false" outlineLevel="0" collapsed="false">
      <c r="B1051" s="17" t="s">
        <v>1486</v>
      </c>
      <c r="C1051" s="17" t="s">
        <v>37</v>
      </c>
      <c r="D1051" s="61" t="s">
        <v>1262</v>
      </c>
      <c r="E1051" s="17" t="s">
        <v>1465</v>
      </c>
      <c r="F1051" s="14" t="s">
        <v>1466</v>
      </c>
      <c r="G1051" s="108" t="s">
        <v>573</v>
      </c>
      <c r="H1051" s="3" t="s">
        <v>1424</v>
      </c>
      <c r="I1051" s="14" t="s">
        <v>43</v>
      </c>
      <c r="J1051" s="14"/>
      <c r="K1051" s="19"/>
      <c r="L1051" s="19"/>
      <c r="M1051" s="17" t="s">
        <v>1467</v>
      </c>
      <c r="N1051" s="17" t="s">
        <v>76</v>
      </c>
      <c r="O1051" s="17" t="s">
        <v>77</v>
      </c>
      <c r="P1051" s="17" t="s">
        <v>417</v>
      </c>
      <c r="Q1051" s="17" t="s">
        <v>62</v>
      </c>
      <c r="R1051" s="16" t="n">
        <v>2655.18</v>
      </c>
      <c r="S1051" s="16" t="n">
        <v>6100</v>
      </c>
      <c r="T1051" s="16" t="n">
        <v>0</v>
      </c>
      <c r="U1051" s="1" t="str">
        <f aca="false">D1051&amp;"-"&amp;E1051&amp;"-"&amp;M1051&amp;"-"&amp;O1051&amp;"-"&amp;P1051&amp;"-"&amp;Q1051</f>
        <v>ELOMI-CHARLEY 0906-EL4381-BLACK-40-FF</v>
      </c>
    </row>
    <row r="1052" customFormat="false" ht="15" hidden="true" customHeight="false" outlineLevel="0" collapsed="false">
      <c r="B1052" s="29" t="s">
        <v>1487</v>
      </c>
      <c r="C1052" s="17" t="s">
        <v>37</v>
      </c>
      <c r="D1052" s="61" t="s">
        <v>1262</v>
      </c>
      <c r="E1052" s="29" t="s">
        <v>1474</v>
      </c>
      <c r="F1052" s="14" t="s">
        <v>1466</v>
      </c>
      <c r="G1052" s="108" t="s">
        <v>573</v>
      </c>
      <c r="H1052" s="3" t="s">
        <v>1424</v>
      </c>
      <c r="I1052" s="14" t="s">
        <v>43</v>
      </c>
      <c r="J1052" s="14"/>
      <c r="K1052" s="19"/>
      <c r="L1052" s="19"/>
      <c r="M1052" s="17" t="s">
        <v>1467</v>
      </c>
      <c r="N1052" s="29" t="s">
        <v>1238</v>
      </c>
      <c r="O1052" s="29" t="s">
        <v>104</v>
      </c>
      <c r="P1052" s="29" t="s">
        <v>417</v>
      </c>
      <c r="Q1052" s="29" t="s">
        <v>105</v>
      </c>
      <c r="R1052" s="16" t="n">
        <v>2772</v>
      </c>
      <c r="S1052" s="16" t="n">
        <v>6100</v>
      </c>
      <c r="T1052" s="16" t="n">
        <v>0</v>
      </c>
      <c r="U1052" s="1" t="str">
        <f aca="false">D1052&amp;"-"&amp;E1052&amp;"-"&amp;M1052&amp;"-"&amp;O1052&amp;"-"&amp;P1052&amp;"-"&amp;Q1052</f>
        <v>ELOMI-CHARLEY WIRED BRALETTE BRA-EL4381-Light Pink-40-G</v>
      </c>
    </row>
    <row r="1053" customFormat="false" ht="15" hidden="true" customHeight="false" outlineLevel="0" collapsed="false">
      <c r="B1053" s="17" t="s">
        <v>1488</v>
      </c>
      <c r="C1053" s="17" t="s">
        <v>37</v>
      </c>
      <c r="D1053" s="61" t="s">
        <v>1262</v>
      </c>
      <c r="E1053" s="17" t="s">
        <v>1474</v>
      </c>
      <c r="F1053" s="14" t="s">
        <v>1466</v>
      </c>
      <c r="G1053" s="108" t="s">
        <v>573</v>
      </c>
      <c r="H1053" s="3" t="s">
        <v>1424</v>
      </c>
      <c r="I1053" s="14" t="s">
        <v>43</v>
      </c>
      <c r="J1053" s="14"/>
      <c r="K1053" s="19"/>
      <c r="L1053" s="19"/>
      <c r="M1053" s="17" t="s">
        <v>1467</v>
      </c>
      <c r="N1053" s="17" t="s">
        <v>76</v>
      </c>
      <c r="O1053" s="17" t="s">
        <v>77</v>
      </c>
      <c r="P1053" s="17" t="s">
        <v>417</v>
      </c>
      <c r="Q1053" s="17" t="s">
        <v>129</v>
      </c>
      <c r="R1053" s="16" t="n">
        <v>2772</v>
      </c>
      <c r="S1053" s="16" t="n">
        <v>6100</v>
      </c>
      <c r="T1053" s="16" t="n">
        <v>0</v>
      </c>
      <c r="U1053" s="1" t="str">
        <f aca="false">D1053&amp;"-"&amp;E1053&amp;"-"&amp;M1053&amp;"-"&amp;O1053&amp;"-"&amp;P1053&amp;"-"&amp;Q1053</f>
        <v>ELOMI-CHARLEY WIRED BRALETTE BRA-EL4381-BLACK-40-GG</v>
      </c>
    </row>
    <row r="1054" customFormat="false" ht="15" hidden="true" customHeight="false" outlineLevel="0" collapsed="false">
      <c r="B1054" s="17" t="s">
        <v>1489</v>
      </c>
      <c r="C1054" s="17" t="s">
        <v>37</v>
      </c>
      <c r="D1054" s="61" t="s">
        <v>1262</v>
      </c>
      <c r="E1054" s="17" t="s">
        <v>1474</v>
      </c>
      <c r="F1054" s="14" t="s">
        <v>1466</v>
      </c>
      <c r="G1054" s="108" t="s">
        <v>573</v>
      </c>
      <c r="H1054" s="3" t="s">
        <v>1424</v>
      </c>
      <c r="I1054" s="14" t="s">
        <v>43</v>
      </c>
      <c r="J1054" s="14"/>
      <c r="K1054" s="27"/>
      <c r="L1054" s="27"/>
      <c r="M1054" s="17" t="s">
        <v>1467</v>
      </c>
      <c r="N1054" s="25" t="s">
        <v>1490</v>
      </c>
      <c r="O1054" s="25" t="s">
        <v>104</v>
      </c>
      <c r="P1054" s="17" t="s">
        <v>134</v>
      </c>
      <c r="Q1054" s="17" t="s">
        <v>143</v>
      </c>
      <c r="R1054" s="16" t="n">
        <v>2839.2</v>
      </c>
      <c r="S1054" s="16" t="n">
        <v>6100</v>
      </c>
      <c r="T1054" s="16" t="n">
        <v>1</v>
      </c>
      <c r="U1054" s="1" t="str">
        <f aca="false">D1054&amp;"-"&amp;E1054&amp;"-"&amp;M1054&amp;"-"&amp;O1054&amp;"-"&amp;P1054&amp;"-"&amp;Q1054</f>
        <v>ELOMI-CHARLEY WIRED BRALETTE BRA-EL4381-Light Pink-34-H</v>
      </c>
    </row>
    <row r="1055" customFormat="false" ht="15" hidden="true" customHeight="false" outlineLevel="0" collapsed="false">
      <c r="B1055" s="61" t="s">
        <v>1491</v>
      </c>
      <c r="C1055" s="17" t="s">
        <v>37</v>
      </c>
      <c r="D1055" s="61" t="s">
        <v>1262</v>
      </c>
      <c r="E1055" s="17" t="s">
        <v>1474</v>
      </c>
      <c r="F1055" s="14" t="s">
        <v>1466</v>
      </c>
      <c r="G1055" s="108" t="s">
        <v>573</v>
      </c>
      <c r="H1055" s="3" t="s">
        <v>1424</v>
      </c>
      <c r="I1055" s="14" t="s">
        <v>43</v>
      </c>
      <c r="J1055" s="14"/>
      <c r="K1055" s="27"/>
      <c r="L1055" s="27"/>
      <c r="M1055" s="17" t="s">
        <v>1467</v>
      </c>
      <c r="N1055" s="61" t="s">
        <v>1490</v>
      </c>
      <c r="O1055" s="25" t="s">
        <v>104</v>
      </c>
      <c r="P1055" s="61" t="s">
        <v>134</v>
      </c>
      <c r="Q1055" s="61" t="s">
        <v>131</v>
      </c>
      <c r="R1055" s="16" t="n">
        <v>2839.2</v>
      </c>
      <c r="S1055" s="16" t="n">
        <v>6100</v>
      </c>
      <c r="T1055" s="16" t="n">
        <v>1</v>
      </c>
      <c r="U1055" s="1" t="str">
        <f aca="false">D1055&amp;"-"&amp;E1055&amp;"-"&amp;M1055&amp;"-"&amp;O1055&amp;"-"&amp;P1055&amp;"-"&amp;Q1055</f>
        <v>ELOMI-CHARLEY WIRED BRALETTE BRA-EL4381-Light Pink-34-HH</v>
      </c>
    </row>
    <row r="1056" customFormat="false" ht="15" hidden="true" customHeight="false" outlineLevel="0" collapsed="false">
      <c r="B1056" s="25" t="s">
        <v>1492</v>
      </c>
      <c r="C1056" s="17" t="s">
        <v>37</v>
      </c>
      <c r="D1056" s="61" t="s">
        <v>1262</v>
      </c>
      <c r="E1056" s="17" t="s">
        <v>1474</v>
      </c>
      <c r="F1056" s="14" t="s">
        <v>1466</v>
      </c>
      <c r="G1056" s="108" t="s">
        <v>573</v>
      </c>
      <c r="H1056" s="3" t="s">
        <v>1424</v>
      </c>
      <c r="I1056" s="14" t="s">
        <v>43</v>
      </c>
      <c r="J1056" s="14"/>
      <c r="K1056" s="27"/>
      <c r="L1056" s="27"/>
      <c r="M1056" s="17" t="s">
        <v>1467</v>
      </c>
      <c r="N1056" s="25" t="s">
        <v>1490</v>
      </c>
      <c r="O1056" s="25" t="s">
        <v>104</v>
      </c>
      <c r="P1056" s="25" t="s">
        <v>65</v>
      </c>
      <c r="Q1056" s="25" t="s">
        <v>50</v>
      </c>
      <c r="R1056" s="16" t="n">
        <v>2655.18</v>
      </c>
      <c r="S1056" s="16" t="n">
        <v>6100</v>
      </c>
      <c r="T1056" s="16" t="n">
        <v>1</v>
      </c>
      <c r="U1056" s="1" t="str">
        <f aca="false">D1056&amp;"-"&amp;E1056&amp;"-"&amp;M1056&amp;"-"&amp;O1056&amp;"-"&amp;P1056&amp;"-"&amp;Q1056</f>
        <v>ELOMI-CHARLEY WIRED BRALETTE BRA-EL4381-Light Pink-36-F</v>
      </c>
    </row>
    <row r="1057" customFormat="false" ht="15" hidden="true" customHeight="false" outlineLevel="0" collapsed="false">
      <c r="B1057" s="25" t="s">
        <v>1493</v>
      </c>
      <c r="C1057" s="17" t="s">
        <v>37</v>
      </c>
      <c r="D1057" s="61" t="s">
        <v>1262</v>
      </c>
      <c r="E1057" s="17" t="s">
        <v>1474</v>
      </c>
      <c r="F1057" s="14" t="s">
        <v>1466</v>
      </c>
      <c r="G1057" s="108" t="s">
        <v>573</v>
      </c>
      <c r="H1057" s="3" t="s">
        <v>1424</v>
      </c>
      <c r="I1057" s="14" t="s">
        <v>43</v>
      </c>
      <c r="J1057" s="14"/>
      <c r="K1057" s="27"/>
      <c r="L1057" s="27"/>
      <c r="M1057" s="17" t="s">
        <v>1467</v>
      </c>
      <c r="N1057" s="25" t="s">
        <v>1490</v>
      </c>
      <c r="O1057" s="25" t="s">
        <v>104</v>
      </c>
      <c r="P1057" s="25" t="s">
        <v>65</v>
      </c>
      <c r="Q1057" s="25" t="s">
        <v>105</v>
      </c>
      <c r="R1057" s="16" t="n">
        <v>2839.2</v>
      </c>
      <c r="S1057" s="16" t="n">
        <v>6100</v>
      </c>
      <c r="T1057" s="16" t="n">
        <v>1</v>
      </c>
      <c r="U1057" s="1" t="str">
        <f aca="false">D1057&amp;"-"&amp;E1057&amp;"-"&amp;M1057&amp;"-"&amp;O1057&amp;"-"&amp;P1057&amp;"-"&amp;Q1057</f>
        <v>ELOMI-CHARLEY WIRED BRALETTE BRA-EL4381-Light Pink-36-G</v>
      </c>
    </row>
    <row r="1058" customFormat="false" ht="15" hidden="true" customHeight="false" outlineLevel="0" collapsed="false">
      <c r="B1058" s="61" t="s">
        <v>1494</v>
      </c>
      <c r="C1058" s="17" t="s">
        <v>37</v>
      </c>
      <c r="D1058" s="61" t="s">
        <v>1262</v>
      </c>
      <c r="E1058" s="17" t="s">
        <v>1474</v>
      </c>
      <c r="F1058" s="14" t="s">
        <v>1466</v>
      </c>
      <c r="G1058" s="108" t="s">
        <v>573</v>
      </c>
      <c r="H1058" s="3" t="s">
        <v>1424</v>
      </c>
      <c r="I1058" s="14" t="s">
        <v>43</v>
      </c>
      <c r="J1058" s="14"/>
      <c r="K1058" s="27"/>
      <c r="L1058" s="27"/>
      <c r="M1058" s="17" t="s">
        <v>1467</v>
      </c>
      <c r="N1058" s="61" t="s">
        <v>1490</v>
      </c>
      <c r="O1058" s="25" t="s">
        <v>104</v>
      </c>
      <c r="P1058" s="61" t="s">
        <v>65</v>
      </c>
      <c r="Q1058" s="61" t="s">
        <v>143</v>
      </c>
      <c r="R1058" s="16" t="n">
        <v>2655.18</v>
      </c>
      <c r="S1058" s="16" t="n">
        <v>6100</v>
      </c>
      <c r="T1058" s="16" t="n">
        <v>0</v>
      </c>
      <c r="U1058" s="1" t="str">
        <f aca="false">D1058&amp;"-"&amp;E1058&amp;"-"&amp;M1058&amp;"-"&amp;O1058&amp;"-"&amp;P1058&amp;"-"&amp;Q1058</f>
        <v>ELOMI-CHARLEY WIRED BRALETTE BRA-EL4381-Light Pink-36-H</v>
      </c>
    </row>
    <row r="1059" customFormat="false" ht="15" hidden="true" customHeight="false" outlineLevel="0" collapsed="false">
      <c r="B1059" s="61" t="s">
        <v>1495</v>
      </c>
      <c r="C1059" s="17" t="s">
        <v>37</v>
      </c>
      <c r="D1059" s="61" t="s">
        <v>1262</v>
      </c>
      <c r="E1059" s="17" t="s">
        <v>1474</v>
      </c>
      <c r="F1059" s="14" t="s">
        <v>1466</v>
      </c>
      <c r="G1059" s="108" t="s">
        <v>573</v>
      </c>
      <c r="H1059" s="3" t="s">
        <v>1424</v>
      </c>
      <c r="I1059" s="14" t="s">
        <v>43</v>
      </c>
      <c r="J1059" s="14"/>
      <c r="K1059" s="27"/>
      <c r="L1059" s="27"/>
      <c r="M1059" s="17" t="s">
        <v>1467</v>
      </c>
      <c r="N1059" s="61" t="s">
        <v>1490</v>
      </c>
      <c r="O1059" s="25" t="s">
        <v>104</v>
      </c>
      <c r="P1059" s="61" t="s">
        <v>154</v>
      </c>
      <c r="Q1059" s="61" t="s">
        <v>50</v>
      </c>
      <c r="R1059" s="16" t="n">
        <v>2655.18</v>
      </c>
      <c r="S1059" s="16" t="n">
        <v>6100</v>
      </c>
      <c r="T1059" s="16" t="n">
        <v>0</v>
      </c>
      <c r="U1059" s="1" t="str">
        <f aca="false">D1059&amp;"-"&amp;E1059&amp;"-"&amp;M1059&amp;"-"&amp;O1059&amp;"-"&amp;P1059&amp;"-"&amp;Q1059</f>
        <v>ELOMI-CHARLEY WIRED BRALETTE BRA-EL4381-Light Pink-38-F</v>
      </c>
    </row>
    <row r="1060" customFormat="false" ht="15" hidden="true" customHeight="false" outlineLevel="0" collapsed="false">
      <c r="B1060" s="61" t="s">
        <v>1496</v>
      </c>
      <c r="C1060" s="17" t="s">
        <v>37</v>
      </c>
      <c r="D1060" s="61" t="s">
        <v>1262</v>
      </c>
      <c r="E1060" s="17" t="s">
        <v>1474</v>
      </c>
      <c r="F1060" s="14" t="s">
        <v>1466</v>
      </c>
      <c r="G1060" s="108" t="s">
        <v>573</v>
      </c>
      <c r="H1060" s="3" t="s">
        <v>1424</v>
      </c>
      <c r="I1060" s="14" t="s">
        <v>43</v>
      </c>
      <c r="J1060" s="14"/>
      <c r="K1060" s="27"/>
      <c r="L1060" s="27"/>
      <c r="M1060" s="17" t="s">
        <v>1467</v>
      </c>
      <c r="N1060" s="61" t="s">
        <v>1490</v>
      </c>
      <c r="O1060" s="25" t="s">
        <v>104</v>
      </c>
      <c r="P1060" s="61" t="s">
        <v>154</v>
      </c>
      <c r="Q1060" s="61" t="s">
        <v>143</v>
      </c>
      <c r="R1060" s="16" t="n">
        <v>3168</v>
      </c>
      <c r="S1060" s="16" t="n">
        <v>6100</v>
      </c>
      <c r="T1060" s="16" t="n">
        <v>0</v>
      </c>
      <c r="U1060" s="1" t="str">
        <f aca="false">D1060&amp;"-"&amp;E1060&amp;"-"&amp;M1060&amp;"-"&amp;O1060&amp;"-"&amp;P1060&amp;"-"&amp;Q1060</f>
        <v>ELOMI-CHARLEY WIRED BRALETTE BRA-EL4381-Light Pink-38-H</v>
      </c>
    </row>
    <row r="1061" customFormat="false" ht="15" hidden="true" customHeight="false" outlineLevel="0" collapsed="false">
      <c r="B1061" s="61" t="s">
        <v>1497</v>
      </c>
      <c r="C1061" s="17" t="s">
        <v>37</v>
      </c>
      <c r="D1061" s="61" t="s">
        <v>1262</v>
      </c>
      <c r="E1061" s="17" t="s">
        <v>1474</v>
      </c>
      <c r="F1061" s="14" t="s">
        <v>1466</v>
      </c>
      <c r="G1061" s="108" t="s">
        <v>573</v>
      </c>
      <c r="H1061" s="3" t="s">
        <v>1424</v>
      </c>
      <c r="I1061" s="14" t="s">
        <v>43</v>
      </c>
      <c r="J1061" s="14"/>
      <c r="K1061" s="27"/>
      <c r="L1061" s="27"/>
      <c r="M1061" s="17" t="s">
        <v>1467</v>
      </c>
      <c r="N1061" s="61" t="s">
        <v>1490</v>
      </c>
      <c r="O1061" s="25" t="s">
        <v>104</v>
      </c>
      <c r="P1061" s="61" t="s">
        <v>154</v>
      </c>
      <c r="Q1061" s="61" t="s">
        <v>105</v>
      </c>
      <c r="R1061" s="16" t="n">
        <v>2655.18</v>
      </c>
      <c r="S1061" s="16" t="n">
        <v>6100</v>
      </c>
      <c r="T1061" s="16" t="n">
        <v>0</v>
      </c>
      <c r="U1061" s="1" t="str">
        <f aca="false">D1061&amp;"-"&amp;E1061&amp;"-"&amp;M1061&amp;"-"&amp;O1061&amp;"-"&amp;P1061&amp;"-"&amp;Q1061</f>
        <v>ELOMI-CHARLEY WIRED BRALETTE BRA-EL4381-Light Pink-38-G</v>
      </c>
    </row>
    <row r="1062" customFormat="false" ht="15" hidden="true" customHeight="false" outlineLevel="0" collapsed="false">
      <c r="B1062" s="25" t="s">
        <v>1498</v>
      </c>
      <c r="C1062" s="17" t="s">
        <v>37</v>
      </c>
      <c r="D1062" s="61" t="s">
        <v>1262</v>
      </c>
      <c r="E1062" s="17" t="s">
        <v>1474</v>
      </c>
      <c r="F1062" s="14" t="s">
        <v>1466</v>
      </c>
      <c r="G1062" s="108" t="s">
        <v>573</v>
      </c>
      <c r="H1062" s="3" t="s">
        <v>1424</v>
      </c>
      <c r="I1062" s="14" t="s">
        <v>43</v>
      </c>
      <c r="J1062" s="14"/>
      <c r="K1062" s="27"/>
      <c r="L1062" s="27"/>
      <c r="M1062" s="17" t="s">
        <v>1467</v>
      </c>
      <c r="N1062" s="25" t="s">
        <v>1490</v>
      </c>
      <c r="O1062" s="25" t="s">
        <v>104</v>
      </c>
      <c r="P1062" s="25" t="s">
        <v>154</v>
      </c>
      <c r="Q1062" s="25" t="s">
        <v>143</v>
      </c>
      <c r="R1062" s="16" t="n">
        <v>2655.18</v>
      </c>
      <c r="S1062" s="16" t="n">
        <v>6100</v>
      </c>
      <c r="T1062" s="16" t="n">
        <v>0</v>
      </c>
      <c r="U1062" s="1" t="str">
        <f aca="false">D1062&amp;"-"&amp;E1062&amp;"-"&amp;M1062&amp;"-"&amp;O1062&amp;"-"&amp;P1062&amp;"-"&amp;Q1062</f>
        <v>ELOMI-CHARLEY WIRED BRALETTE BRA-EL4381-Light Pink-38-H</v>
      </c>
    </row>
    <row r="1063" customFormat="false" ht="15" hidden="true" customHeight="false" outlineLevel="0" collapsed="false">
      <c r="B1063" s="25" t="s">
        <v>1499</v>
      </c>
      <c r="C1063" s="17" t="s">
        <v>37</v>
      </c>
      <c r="D1063" s="61" t="s">
        <v>1262</v>
      </c>
      <c r="E1063" s="17" t="s">
        <v>1474</v>
      </c>
      <c r="F1063" s="14" t="s">
        <v>1466</v>
      </c>
      <c r="G1063" s="108" t="s">
        <v>573</v>
      </c>
      <c r="H1063" s="3" t="s">
        <v>1424</v>
      </c>
      <c r="I1063" s="14" t="s">
        <v>43</v>
      </c>
      <c r="J1063" s="14"/>
      <c r="K1063" s="27"/>
      <c r="L1063" s="27"/>
      <c r="M1063" s="17" t="s">
        <v>1467</v>
      </c>
      <c r="N1063" s="25" t="s">
        <v>1490</v>
      </c>
      <c r="O1063" s="25" t="s">
        <v>104</v>
      </c>
      <c r="P1063" s="25" t="s">
        <v>417</v>
      </c>
      <c r="Q1063" s="25" t="s">
        <v>143</v>
      </c>
      <c r="R1063" s="16" t="n">
        <v>3168</v>
      </c>
      <c r="S1063" s="16" t="n">
        <v>6100</v>
      </c>
      <c r="T1063" s="16" t="n">
        <v>1</v>
      </c>
      <c r="U1063" s="1" t="str">
        <f aca="false">D1063&amp;"-"&amp;E1063&amp;"-"&amp;M1063&amp;"-"&amp;O1063&amp;"-"&amp;P1063&amp;"-"&amp;Q1063</f>
        <v>ELOMI-CHARLEY WIRED BRALETTE BRA-EL4381-Light Pink-40-H</v>
      </c>
    </row>
    <row r="1064" customFormat="false" ht="15" hidden="true" customHeight="false" outlineLevel="0" collapsed="false">
      <c r="B1064" s="25" t="s">
        <v>1500</v>
      </c>
      <c r="C1064" s="17" t="s">
        <v>37</v>
      </c>
      <c r="D1064" s="61" t="s">
        <v>1262</v>
      </c>
      <c r="E1064" s="61" t="s">
        <v>1501</v>
      </c>
      <c r="F1064" s="14" t="s">
        <v>1502</v>
      </c>
      <c r="G1064" s="108" t="s">
        <v>573</v>
      </c>
      <c r="H1064" s="3" t="s">
        <v>1503</v>
      </c>
      <c r="I1064" s="14" t="s">
        <v>43</v>
      </c>
      <c r="J1064" s="14"/>
      <c r="K1064" s="27"/>
      <c r="M1064" s="25" t="s">
        <v>1504</v>
      </c>
      <c r="N1064" s="25" t="s">
        <v>76</v>
      </c>
      <c r="O1064" s="1" t="s">
        <v>77</v>
      </c>
      <c r="P1064" s="25" t="s">
        <v>440</v>
      </c>
      <c r="Q1064" s="25" t="s">
        <v>66</v>
      </c>
      <c r="R1064" s="16" t="n">
        <v>1950</v>
      </c>
      <c r="S1064" s="16" t="n">
        <v>5200</v>
      </c>
      <c r="T1064" s="16" t="n">
        <v>1</v>
      </c>
      <c r="U1064" s="1" t="str">
        <f aca="false">D1064&amp;"-"&amp;E1064&amp;"-"&amp;M1064&amp;"-"&amp;O1064&amp;"-"&amp;P1064&amp;"-"&amp;Q1064</f>
        <v>ELOMI-KELSEY UW BENDEU BRA-EL300524-BLACK-42-E</v>
      </c>
    </row>
    <row r="1065" customFormat="false" ht="15" hidden="true" customHeight="false" outlineLevel="0" collapsed="false">
      <c r="B1065" s="61" t="s">
        <v>1505</v>
      </c>
      <c r="C1065" s="17" t="s">
        <v>37</v>
      </c>
      <c r="D1065" s="61" t="s">
        <v>1262</v>
      </c>
      <c r="E1065" s="61" t="s">
        <v>1501</v>
      </c>
      <c r="F1065" s="14" t="s">
        <v>1502</v>
      </c>
      <c r="G1065" s="108" t="s">
        <v>573</v>
      </c>
      <c r="H1065" s="3" t="s">
        <v>1503</v>
      </c>
      <c r="I1065" s="14" t="s">
        <v>43</v>
      </c>
      <c r="J1065" s="14"/>
      <c r="K1065" s="27"/>
      <c r="M1065" s="25" t="s">
        <v>1504</v>
      </c>
      <c r="N1065" s="61" t="s">
        <v>76</v>
      </c>
      <c r="O1065" s="1" t="s">
        <v>77</v>
      </c>
      <c r="P1065" s="61" t="s">
        <v>65</v>
      </c>
      <c r="Q1065" s="61" t="s">
        <v>50</v>
      </c>
      <c r="R1065" s="16" t="n">
        <v>1950</v>
      </c>
      <c r="S1065" s="16" t="n">
        <v>5200</v>
      </c>
      <c r="T1065" s="16" t="n">
        <v>3</v>
      </c>
      <c r="U1065" s="1" t="str">
        <f aca="false">D1065&amp;"-"&amp;E1065&amp;"-"&amp;M1065&amp;"-"&amp;O1065&amp;"-"&amp;P1065&amp;"-"&amp;Q1065</f>
        <v>ELOMI-KELSEY UW BENDEU BRA-EL300524-BLACK-36-F</v>
      </c>
    </row>
    <row r="1066" customFormat="false" ht="15" hidden="true" customHeight="false" outlineLevel="0" collapsed="false">
      <c r="B1066" s="61" t="s">
        <v>1506</v>
      </c>
      <c r="C1066" s="17" t="s">
        <v>37</v>
      </c>
      <c r="D1066" s="61" t="s">
        <v>1262</v>
      </c>
      <c r="E1066" s="61" t="s">
        <v>1501</v>
      </c>
      <c r="F1066" s="14" t="s">
        <v>1502</v>
      </c>
      <c r="G1066" s="108" t="s">
        <v>573</v>
      </c>
      <c r="H1066" s="3" t="s">
        <v>1503</v>
      </c>
      <c r="I1066" s="14" t="s">
        <v>43</v>
      </c>
      <c r="J1066" s="14"/>
      <c r="K1066" s="27"/>
      <c r="M1066" s="25" t="s">
        <v>1504</v>
      </c>
      <c r="N1066" s="61" t="s">
        <v>76</v>
      </c>
      <c r="O1066" s="1" t="s">
        <v>77</v>
      </c>
      <c r="P1066" s="61" t="s">
        <v>65</v>
      </c>
      <c r="Q1066" s="61" t="s">
        <v>62</v>
      </c>
      <c r="R1066" s="16" t="n">
        <v>1950</v>
      </c>
      <c r="S1066" s="16" t="n">
        <v>5200</v>
      </c>
      <c r="T1066" s="16"/>
      <c r="U1066" s="1" t="str">
        <f aca="false">D1066&amp;"-"&amp;E1066&amp;"-"&amp;M1066&amp;"-"&amp;O1066&amp;"-"&amp;P1066&amp;"-"&amp;Q1066</f>
        <v>ELOMI-KELSEY UW BENDEU BRA-EL300524-BLACK-36-FF</v>
      </c>
    </row>
    <row r="1067" customFormat="false" ht="15" hidden="true" customHeight="false" outlineLevel="0" collapsed="false">
      <c r="B1067" s="25" t="s">
        <v>1507</v>
      </c>
      <c r="C1067" s="17" t="s">
        <v>37</v>
      </c>
      <c r="D1067" s="61" t="s">
        <v>1262</v>
      </c>
      <c r="E1067" s="61" t="s">
        <v>1501</v>
      </c>
      <c r="F1067" s="14" t="s">
        <v>1502</v>
      </c>
      <c r="G1067" s="108" t="s">
        <v>573</v>
      </c>
      <c r="H1067" s="3" t="s">
        <v>1503</v>
      </c>
      <c r="I1067" s="14" t="s">
        <v>43</v>
      </c>
      <c r="J1067" s="14"/>
      <c r="K1067" s="27"/>
      <c r="M1067" s="25" t="s">
        <v>1504</v>
      </c>
      <c r="N1067" s="25" t="s">
        <v>76</v>
      </c>
      <c r="O1067" s="1" t="s">
        <v>77</v>
      </c>
      <c r="P1067" s="25" t="s">
        <v>65</v>
      </c>
      <c r="Q1067" s="25" t="s">
        <v>105</v>
      </c>
      <c r="R1067" s="16" t="n">
        <v>1950</v>
      </c>
      <c r="S1067" s="16" t="n">
        <v>5200</v>
      </c>
      <c r="T1067" s="16"/>
      <c r="U1067" s="1" t="str">
        <f aca="false">D1067&amp;"-"&amp;E1067&amp;"-"&amp;M1067&amp;"-"&amp;O1067&amp;"-"&amp;P1067&amp;"-"&amp;Q1067</f>
        <v>ELOMI-KELSEY UW BENDEU BRA-EL300524-BLACK-36-G</v>
      </c>
    </row>
    <row r="1068" customFormat="false" ht="15" hidden="true" customHeight="false" outlineLevel="0" collapsed="false">
      <c r="B1068" s="61" t="s">
        <v>1508</v>
      </c>
      <c r="C1068" s="17" t="s">
        <v>37</v>
      </c>
      <c r="D1068" s="61" t="s">
        <v>1262</v>
      </c>
      <c r="E1068" s="61" t="s">
        <v>1501</v>
      </c>
      <c r="F1068" s="14" t="s">
        <v>1502</v>
      </c>
      <c r="G1068" s="108" t="s">
        <v>573</v>
      </c>
      <c r="H1068" s="3" t="s">
        <v>1503</v>
      </c>
      <c r="I1068" s="14" t="s">
        <v>43</v>
      </c>
      <c r="J1068" s="14"/>
      <c r="K1068" s="27"/>
      <c r="M1068" s="25" t="s">
        <v>1504</v>
      </c>
      <c r="N1068" s="61" t="s">
        <v>76</v>
      </c>
      <c r="O1068" s="1" t="s">
        <v>77</v>
      </c>
      <c r="P1068" s="61" t="s">
        <v>154</v>
      </c>
      <c r="Q1068" s="61" t="s">
        <v>66</v>
      </c>
      <c r="R1068" s="16" t="n">
        <v>1950</v>
      </c>
      <c r="S1068" s="16" t="n">
        <v>5200</v>
      </c>
      <c r="T1068" s="16"/>
      <c r="U1068" s="1" t="str">
        <f aca="false">D1068&amp;"-"&amp;E1068&amp;"-"&amp;M1068&amp;"-"&amp;O1068&amp;"-"&amp;P1068&amp;"-"&amp;Q1068</f>
        <v>ELOMI-KELSEY UW BENDEU BRA-EL300524-BLACK-38-E</v>
      </c>
    </row>
    <row r="1069" customFormat="false" ht="15" hidden="true" customHeight="false" outlineLevel="0" collapsed="false">
      <c r="B1069" s="25" t="s">
        <v>1509</v>
      </c>
      <c r="C1069" s="17" t="s">
        <v>37</v>
      </c>
      <c r="D1069" s="61" t="s">
        <v>1262</v>
      </c>
      <c r="E1069" s="61" t="s">
        <v>1501</v>
      </c>
      <c r="F1069" s="14" t="s">
        <v>1502</v>
      </c>
      <c r="G1069" s="108" t="s">
        <v>573</v>
      </c>
      <c r="H1069" s="3" t="s">
        <v>1503</v>
      </c>
      <c r="I1069" s="14" t="s">
        <v>43</v>
      </c>
      <c r="J1069" s="14"/>
      <c r="K1069" s="27"/>
      <c r="M1069" s="25" t="s">
        <v>1504</v>
      </c>
      <c r="N1069" s="25" t="s">
        <v>76</v>
      </c>
      <c r="O1069" s="1" t="s">
        <v>77</v>
      </c>
      <c r="P1069" s="25" t="s">
        <v>154</v>
      </c>
      <c r="Q1069" s="25" t="s">
        <v>50</v>
      </c>
      <c r="R1069" s="16" t="n">
        <v>1950</v>
      </c>
      <c r="S1069" s="16" t="n">
        <v>5200</v>
      </c>
      <c r="T1069" s="16" t="n">
        <v>1</v>
      </c>
      <c r="U1069" s="1" t="str">
        <f aca="false">D1069&amp;"-"&amp;E1069&amp;"-"&amp;M1069&amp;"-"&amp;O1069&amp;"-"&amp;P1069&amp;"-"&amp;Q1069</f>
        <v>ELOMI-KELSEY UW BENDEU BRA-EL300524-BLACK-38-F</v>
      </c>
    </row>
    <row r="1070" customFormat="false" ht="15" hidden="true" customHeight="false" outlineLevel="0" collapsed="false">
      <c r="B1070" s="61" t="s">
        <v>1510</v>
      </c>
      <c r="C1070" s="17" t="s">
        <v>37</v>
      </c>
      <c r="D1070" s="61" t="s">
        <v>1262</v>
      </c>
      <c r="E1070" s="61" t="s">
        <v>1501</v>
      </c>
      <c r="F1070" s="14" t="s">
        <v>1502</v>
      </c>
      <c r="G1070" s="108" t="s">
        <v>573</v>
      </c>
      <c r="H1070" s="3" t="s">
        <v>1503</v>
      </c>
      <c r="I1070" s="14" t="s">
        <v>43</v>
      </c>
      <c r="J1070" s="14"/>
      <c r="K1070" s="27"/>
      <c r="M1070" s="25" t="s">
        <v>1504</v>
      </c>
      <c r="N1070" s="61" t="s">
        <v>76</v>
      </c>
      <c r="O1070" s="1" t="s">
        <v>77</v>
      </c>
      <c r="P1070" s="61" t="s">
        <v>154</v>
      </c>
      <c r="Q1070" s="61" t="s">
        <v>62</v>
      </c>
      <c r="R1070" s="16" t="n">
        <v>1950</v>
      </c>
      <c r="S1070" s="16" t="n">
        <v>5200</v>
      </c>
      <c r="T1070" s="16" t="n">
        <v>1</v>
      </c>
      <c r="U1070" s="1" t="str">
        <f aca="false">D1070&amp;"-"&amp;E1070&amp;"-"&amp;M1070&amp;"-"&amp;O1070&amp;"-"&amp;P1070&amp;"-"&amp;Q1070</f>
        <v>ELOMI-KELSEY UW BENDEU BRA-EL300524-BLACK-38-FF</v>
      </c>
    </row>
    <row r="1071" customFormat="false" ht="15" hidden="true" customHeight="false" outlineLevel="0" collapsed="false">
      <c r="B1071" s="61" t="s">
        <v>1511</v>
      </c>
      <c r="C1071" s="17" t="s">
        <v>37</v>
      </c>
      <c r="D1071" s="61" t="s">
        <v>1262</v>
      </c>
      <c r="E1071" s="17" t="s">
        <v>1474</v>
      </c>
      <c r="F1071" s="14" t="s">
        <v>1466</v>
      </c>
      <c r="G1071" s="108" t="s">
        <v>573</v>
      </c>
      <c r="H1071" s="3" t="s">
        <v>1424</v>
      </c>
      <c r="I1071" s="14" t="s">
        <v>43</v>
      </c>
      <c r="J1071" s="14"/>
      <c r="K1071" s="27"/>
      <c r="M1071" s="17" t="s">
        <v>1467</v>
      </c>
      <c r="N1071" s="61" t="s">
        <v>76</v>
      </c>
      <c r="O1071" s="1" t="s">
        <v>77</v>
      </c>
      <c r="P1071" s="61" t="s">
        <v>134</v>
      </c>
      <c r="Q1071" s="61" t="s">
        <v>105</v>
      </c>
      <c r="R1071" s="16" t="n">
        <v>2772</v>
      </c>
      <c r="S1071" s="16" t="n">
        <v>5200</v>
      </c>
      <c r="T1071" s="1" t="n">
        <v>1</v>
      </c>
      <c r="U1071" s="1" t="str">
        <f aca="false">D1071&amp;"-"&amp;E1071&amp;"-"&amp;M1071&amp;"-"&amp;O1071&amp;"-"&amp;P1071&amp;"-"&amp;Q1071</f>
        <v>ELOMI-CHARLEY WIRED BRALETTE BRA-EL4381-BLACK-34-G</v>
      </c>
    </row>
    <row r="1072" customFormat="false" ht="15" hidden="true" customHeight="false" outlineLevel="0" collapsed="false">
      <c r="B1072" s="61" t="s">
        <v>1468</v>
      </c>
      <c r="C1072" s="17" t="s">
        <v>37</v>
      </c>
      <c r="D1072" s="61" t="s">
        <v>1262</v>
      </c>
      <c r="E1072" s="17" t="s">
        <v>1474</v>
      </c>
      <c r="F1072" s="14" t="s">
        <v>1466</v>
      </c>
      <c r="G1072" s="108" t="s">
        <v>573</v>
      </c>
      <c r="H1072" s="3" t="s">
        <v>1424</v>
      </c>
      <c r="I1072" s="14" t="s">
        <v>43</v>
      </c>
      <c r="J1072" s="14"/>
      <c r="K1072" s="27"/>
      <c r="M1072" s="17" t="s">
        <v>1467</v>
      </c>
      <c r="N1072" s="61" t="s">
        <v>76</v>
      </c>
      <c r="O1072" s="1" t="s">
        <v>77</v>
      </c>
      <c r="P1072" s="61" t="s">
        <v>134</v>
      </c>
      <c r="Q1072" s="61" t="s">
        <v>129</v>
      </c>
      <c r="R1072" s="16" t="n">
        <v>3199</v>
      </c>
      <c r="S1072" s="16" t="n">
        <v>5200</v>
      </c>
      <c r="T1072" s="1" t="n">
        <v>1</v>
      </c>
      <c r="U1072" s="1" t="str">
        <f aca="false">D1072&amp;"-"&amp;E1072&amp;"-"&amp;M1072&amp;"-"&amp;O1072&amp;"-"&amp;P1072&amp;"-"&amp;Q1072</f>
        <v>ELOMI-CHARLEY WIRED BRALETTE BRA-EL4381-BLACK-34-GG</v>
      </c>
    </row>
    <row r="1073" customFormat="false" ht="15" hidden="true" customHeight="false" outlineLevel="0" collapsed="false">
      <c r="B1073" s="25" t="s">
        <v>1477</v>
      </c>
      <c r="C1073" s="17" t="s">
        <v>37</v>
      </c>
      <c r="D1073" s="61" t="s">
        <v>1262</v>
      </c>
      <c r="E1073" s="17" t="s">
        <v>1474</v>
      </c>
      <c r="F1073" s="14" t="s">
        <v>1466</v>
      </c>
      <c r="G1073" s="108" t="s">
        <v>573</v>
      </c>
      <c r="H1073" s="3" t="s">
        <v>1424</v>
      </c>
      <c r="I1073" s="14" t="s">
        <v>43</v>
      </c>
      <c r="J1073" s="14"/>
      <c r="K1073" s="27"/>
      <c r="M1073" s="17" t="s">
        <v>1467</v>
      </c>
      <c r="N1073" s="25" t="s">
        <v>76</v>
      </c>
      <c r="O1073" s="1" t="s">
        <v>77</v>
      </c>
      <c r="P1073" s="25" t="s">
        <v>65</v>
      </c>
      <c r="Q1073" s="25" t="s">
        <v>143</v>
      </c>
      <c r="R1073" s="16" t="n">
        <v>2772</v>
      </c>
      <c r="S1073" s="16" t="n">
        <v>5200</v>
      </c>
      <c r="T1073" s="1" t="n">
        <v>0</v>
      </c>
      <c r="U1073" s="1" t="str">
        <f aca="false">D1073&amp;"-"&amp;E1073&amp;"-"&amp;M1073&amp;"-"&amp;O1073&amp;"-"&amp;P1073&amp;"-"&amp;Q1073</f>
        <v>ELOMI-CHARLEY WIRED BRALETTE BRA-EL4381-BLACK-36-H</v>
      </c>
    </row>
    <row r="1074" customFormat="false" ht="15" hidden="true" customHeight="false" outlineLevel="0" collapsed="false">
      <c r="B1074" s="25" t="s">
        <v>1478</v>
      </c>
      <c r="C1074" s="17" t="s">
        <v>37</v>
      </c>
      <c r="D1074" s="61" t="s">
        <v>1262</v>
      </c>
      <c r="E1074" s="17" t="s">
        <v>1474</v>
      </c>
      <c r="F1074" s="14" t="s">
        <v>1466</v>
      </c>
      <c r="G1074" s="108" t="s">
        <v>573</v>
      </c>
      <c r="H1074" s="3" t="s">
        <v>1424</v>
      </c>
      <c r="I1074" s="14" t="s">
        <v>43</v>
      </c>
      <c r="J1074" s="14"/>
      <c r="K1074" s="27"/>
      <c r="M1074" s="17" t="s">
        <v>1467</v>
      </c>
      <c r="N1074" s="25" t="s">
        <v>76</v>
      </c>
      <c r="O1074" s="1" t="s">
        <v>77</v>
      </c>
      <c r="P1074" s="25" t="s">
        <v>154</v>
      </c>
      <c r="Q1074" s="25" t="s">
        <v>66</v>
      </c>
      <c r="R1074" s="16" t="n">
        <v>2655.18</v>
      </c>
      <c r="S1074" s="16" t="n">
        <v>4700</v>
      </c>
      <c r="T1074" s="1" t="n">
        <v>0</v>
      </c>
      <c r="U1074" s="1" t="str">
        <f aca="false">D1074&amp;"-"&amp;E1074&amp;"-"&amp;M1074&amp;"-"&amp;O1074&amp;"-"&amp;P1074&amp;"-"&amp;Q1074</f>
        <v>ELOMI-CHARLEY WIRED BRALETTE BRA-EL4381-BLACK-38-E</v>
      </c>
    </row>
    <row r="1075" customFormat="false" ht="15" hidden="true" customHeight="false" outlineLevel="0" collapsed="false">
      <c r="B1075" s="25" t="s">
        <v>1479</v>
      </c>
      <c r="C1075" s="17" t="s">
        <v>37</v>
      </c>
      <c r="D1075" s="61" t="s">
        <v>1262</v>
      </c>
      <c r="E1075" s="17" t="s">
        <v>1474</v>
      </c>
      <c r="F1075" s="14" t="s">
        <v>1466</v>
      </c>
      <c r="G1075" s="108" t="s">
        <v>573</v>
      </c>
      <c r="H1075" s="3" t="s">
        <v>1424</v>
      </c>
      <c r="I1075" s="14" t="s">
        <v>43</v>
      </c>
      <c r="J1075" s="14"/>
      <c r="K1075" s="27"/>
      <c r="M1075" s="17" t="s">
        <v>1467</v>
      </c>
      <c r="N1075" s="25" t="s">
        <v>76</v>
      </c>
      <c r="O1075" s="1" t="s">
        <v>77</v>
      </c>
      <c r="P1075" s="25" t="s">
        <v>154</v>
      </c>
      <c r="Q1075" s="25" t="s">
        <v>50</v>
      </c>
      <c r="R1075" s="16" t="n">
        <v>3199</v>
      </c>
      <c r="S1075" s="16" t="n">
        <v>5200</v>
      </c>
      <c r="T1075" s="1" t="n">
        <v>2</v>
      </c>
      <c r="U1075" s="1" t="str">
        <f aca="false">D1075&amp;"-"&amp;E1075&amp;"-"&amp;M1075&amp;"-"&amp;O1075&amp;"-"&amp;P1075&amp;"-"&amp;Q1075</f>
        <v>ELOMI-CHARLEY WIRED BRALETTE BRA-EL4381-BLACK-38-F</v>
      </c>
    </row>
    <row r="1076" customFormat="false" ht="15" hidden="true" customHeight="false" outlineLevel="0" collapsed="false">
      <c r="B1076" s="61" t="s">
        <v>1480</v>
      </c>
      <c r="C1076" s="17" t="s">
        <v>37</v>
      </c>
      <c r="D1076" s="61" t="s">
        <v>1262</v>
      </c>
      <c r="E1076" s="17" t="s">
        <v>1474</v>
      </c>
      <c r="F1076" s="14" t="s">
        <v>1466</v>
      </c>
      <c r="G1076" s="108" t="s">
        <v>573</v>
      </c>
      <c r="H1076" s="3" t="s">
        <v>1424</v>
      </c>
      <c r="I1076" s="14" t="s">
        <v>43</v>
      </c>
      <c r="J1076" s="14"/>
      <c r="K1076" s="27"/>
      <c r="M1076" s="17" t="s">
        <v>1467</v>
      </c>
      <c r="N1076" s="61" t="s">
        <v>76</v>
      </c>
      <c r="O1076" s="1" t="s">
        <v>77</v>
      </c>
      <c r="P1076" s="61" t="s">
        <v>154</v>
      </c>
      <c r="Q1076" s="61" t="s">
        <v>62</v>
      </c>
      <c r="R1076" s="16" t="n">
        <v>3199</v>
      </c>
      <c r="S1076" s="16" t="n">
        <v>5200</v>
      </c>
      <c r="T1076" s="1" t="n">
        <v>1</v>
      </c>
      <c r="U1076" s="1" t="str">
        <f aca="false">D1076&amp;"-"&amp;E1076&amp;"-"&amp;M1076&amp;"-"&amp;O1076&amp;"-"&amp;P1076&amp;"-"&amp;Q1076</f>
        <v>ELOMI-CHARLEY WIRED BRALETTE BRA-EL4381-BLACK-38-FF</v>
      </c>
    </row>
    <row r="1077" customFormat="false" ht="15" hidden="true" customHeight="false" outlineLevel="0" collapsed="false">
      <c r="B1077" s="25" t="s">
        <v>1481</v>
      </c>
      <c r="C1077" s="17" t="s">
        <v>37</v>
      </c>
      <c r="D1077" s="61" t="s">
        <v>1262</v>
      </c>
      <c r="E1077" s="17" t="s">
        <v>1474</v>
      </c>
      <c r="F1077" s="14" t="s">
        <v>1466</v>
      </c>
      <c r="G1077" s="108" t="s">
        <v>573</v>
      </c>
      <c r="H1077" s="3" t="s">
        <v>1424</v>
      </c>
      <c r="I1077" s="14" t="s">
        <v>43</v>
      </c>
      <c r="J1077" s="14"/>
      <c r="K1077" s="27"/>
      <c r="M1077" s="17" t="s">
        <v>1467</v>
      </c>
      <c r="N1077" s="25" t="s">
        <v>76</v>
      </c>
      <c r="O1077" s="1" t="s">
        <v>77</v>
      </c>
      <c r="P1077" s="25" t="s">
        <v>154</v>
      </c>
      <c r="Q1077" s="25" t="s">
        <v>105</v>
      </c>
      <c r="R1077" s="16" t="n">
        <v>3199</v>
      </c>
      <c r="S1077" s="16" t="n">
        <v>5200</v>
      </c>
      <c r="T1077" s="1" t="n">
        <v>1</v>
      </c>
      <c r="U1077" s="1" t="str">
        <f aca="false">D1077&amp;"-"&amp;E1077&amp;"-"&amp;M1077&amp;"-"&amp;O1077&amp;"-"&amp;P1077&amp;"-"&amp;Q1077</f>
        <v>ELOMI-CHARLEY WIRED BRALETTE BRA-EL4381-BLACK-38-G</v>
      </c>
    </row>
    <row r="1078" customFormat="false" ht="15" hidden="true" customHeight="false" outlineLevel="0" collapsed="false">
      <c r="B1078" s="61" t="s">
        <v>1482</v>
      </c>
      <c r="C1078" s="17" t="s">
        <v>37</v>
      </c>
      <c r="D1078" s="61" t="s">
        <v>1262</v>
      </c>
      <c r="E1078" s="17" t="s">
        <v>1474</v>
      </c>
      <c r="F1078" s="14" t="s">
        <v>1466</v>
      </c>
      <c r="G1078" s="108" t="s">
        <v>573</v>
      </c>
      <c r="H1078" s="3" t="s">
        <v>1424</v>
      </c>
      <c r="I1078" s="14" t="s">
        <v>43</v>
      </c>
      <c r="J1078" s="14"/>
      <c r="K1078" s="27"/>
      <c r="M1078" s="17" t="s">
        <v>1467</v>
      </c>
      <c r="N1078" s="61" t="s">
        <v>76</v>
      </c>
      <c r="O1078" s="1" t="s">
        <v>77</v>
      </c>
      <c r="P1078" s="61" t="s">
        <v>154</v>
      </c>
      <c r="Q1078" s="61" t="s">
        <v>129</v>
      </c>
      <c r="R1078" s="16" t="n">
        <v>3199</v>
      </c>
      <c r="S1078" s="16" t="n">
        <v>5200</v>
      </c>
      <c r="T1078" s="1" t="n">
        <v>0</v>
      </c>
      <c r="U1078" s="1" t="str">
        <f aca="false">D1078&amp;"-"&amp;E1078&amp;"-"&amp;M1078&amp;"-"&amp;O1078&amp;"-"&amp;P1078&amp;"-"&amp;Q1078</f>
        <v>ELOMI-CHARLEY WIRED BRALETTE BRA-EL4381-BLACK-38-GG</v>
      </c>
    </row>
    <row r="1079" customFormat="false" ht="15" hidden="true" customHeight="false" outlineLevel="0" collapsed="false">
      <c r="B1079" s="61" t="s">
        <v>1483</v>
      </c>
      <c r="C1079" s="17" t="s">
        <v>37</v>
      </c>
      <c r="D1079" s="61" t="s">
        <v>1262</v>
      </c>
      <c r="E1079" s="17" t="s">
        <v>1474</v>
      </c>
      <c r="F1079" s="14" t="s">
        <v>1466</v>
      </c>
      <c r="G1079" s="108" t="s">
        <v>573</v>
      </c>
      <c r="H1079" s="3" t="s">
        <v>1424</v>
      </c>
      <c r="I1079" s="14" t="s">
        <v>43</v>
      </c>
      <c r="J1079" s="14"/>
      <c r="K1079" s="27"/>
      <c r="M1079" s="17" t="s">
        <v>1467</v>
      </c>
      <c r="N1079" s="61" t="s">
        <v>76</v>
      </c>
      <c r="O1079" s="1" t="s">
        <v>77</v>
      </c>
      <c r="P1079" s="61" t="s">
        <v>154</v>
      </c>
      <c r="Q1079" s="61" t="s">
        <v>143</v>
      </c>
      <c r="R1079" s="16" t="n">
        <v>2655.18</v>
      </c>
      <c r="S1079" s="16" t="n">
        <v>5200</v>
      </c>
      <c r="T1079" s="1" t="n">
        <v>0</v>
      </c>
      <c r="U1079" s="1" t="str">
        <f aca="false">D1079&amp;"-"&amp;E1079&amp;"-"&amp;M1079&amp;"-"&amp;O1079&amp;"-"&amp;P1079&amp;"-"&amp;Q1079</f>
        <v>ELOMI-CHARLEY WIRED BRALETTE BRA-EL4381-BLACK-38-H</v>
      </c>
    </row>
    <row r="1080" customFormat="false" ht="15" hidden="true" customHeight="false" outlineLevel="0" collapsed="false">
      <c r="B1080" s="25" t="s">
        <v>1484</v>
      </c>
      <c r="C1080" s="17" t="s">
        <v>37</v>
      </c>
      <c r="D1080" s="61" t="s">
        <v>1262</v>
      </c>
      <c r="E1080" s="17" t="s">
        <v>1474</v>
      </c>
      <c r="F1080" s="14" t="s">
        <v>1466</v>
      </c>
      <c r="G1080" s="108" t="s">
        <v>573</v>
      </c>
      <c r="H1080" s="3" t="s">
        <v>1424</v>
      </c>
      <c r="I1080" s="14" t="s">
        <v>43</v>
      </c>
      <c r="J1080" s="14"/>
      <c r="K1080" s="27"/>
      <c r="M1080" s="17" t="s">
        <v>1467</v>
      </c>
      <c r="N1080" s="25" t="s">
        <v>76</v>
      </c>
      <c r="O1080" s="1" t="s">
        <v>77</v>
      </c>
      <c r="P1080" s="25" t="s">
        <v>417</v>
      </c>
      <c r="Q1080" s="25" t="s">
        <v>66</v>
      </c>
      <c r="R1080" s="16" t="n">
        <v>2655.18</v>
      </c>
      <c r="S1080" s="16" t="n">
        <v>4700</v>
      </c>
      <c r="T1080" s="1" t="n">
        <v>0</v>
      </c>
      <c r="U1080" s="1" t="str">
        <f aca="false">D1080&amp;"-"&amp;E1080&amp;"-"&amp;M1080&amp;"-"&amp;O1080&amp;"-"&amp;P1080&amp;"-"&amp;Q1080</f>
        <v>ELOMI-CHARLEY WIRED BRALETTE BRA-EL4381-BLACK-40-E</v>
      </c>
    </row>
    <row r="1081" customFormat="false" ht="15" hidden="true" customHeight="false" outlineLevel="0" collapsed="false">
      <c r="B1081" s="61" t="s">
        <v>1485</v>
      </c>
      <c r="C1081" s="17" t="s">
        <v>37</v>
      </c>
      <c r="D1081" s="61" t="s">
        <v>1262</v>
      </c>
      <c r="E1081" s="17" t="s">
        <v>1474</v>
      </c>
      <c r="F1081" s="14" t="s">
        <v>1466</v>
      </c>
      <c r="G1081" s="108" t="s">
        <v>573</v>
      </c>
      <c r="H1081" s="3" t="s">
        <v>1424</v>
      </c>
      <c r="I1081" s="14" t="s">
        <v>43</v>
      </c>
      <c r="J1081" s="14"/>
      <c r="K1081" s="27"/>
      <c r="M1081" s="17" t="s">
        <v>1467</v>
      </c>
      <c r="N1081" s="61" t="s">
        <v>76</v>
      </c>
      <c r="O1081" s="1" t="s">
        <v>77</v>
      </c>
      <c r="P1081" s="61" t="s">
        <v>417</v>
      </c>
      <c r="Q1081" s="61" t="s">
        <v>50</v>
      </c>
      <c r="R1081" s="16" t="n">
        <v>3199</v>
      </c>
      <c r="S1081" s="16" t="n">
        <v>5200</v>
      </c>
      <c r="T1081" s="1" t="n">
        <v>0</v>
      </c>
      <c r="U1081" s="1" t="str">
        <f aca="false">D1081&amp;"-"&amp;E1081&amp;"-"&amp;M1081&amp;"-"&amp;O1081&amp;"-"&amp;P1081&amp;"-"&amp;Q1081</f>
        <v>ELOMI-CHARLEY WIRED BRALETTE BRA-EL4381-BLACK-40-F</v>
      </c>
    </row>
    <row r="1082" customFormat="false" ht="15" hidden="true" customHeight="false" outlineLevel="0" collapsed="false">
      <c r="B1082" s="25" t="s">
        <v>1486</v>
      </c>
      <c r="C1082" s="17" t="s">
        <v>37</v>
      </c>
      <c r="D1082" s="61" t="s">
        <v>1262</v>
      </c>
      <c r="E1082" s="17" t="s">
        <v>1474</v>
      </c>
      <c r="F1082" s="14" t="s">
        <v>1466</v>
      </c>
      <c r="G1082" s="108" t="s">
        <v>573</v>
      </c>
      <c r="H1082" s="3" t="s">
        <v>1424</v>
      </c>
      <c r="I1082" s="14" t="s">
        <v>43</v>
      </c>
      <c r="J1082" s="14"/>
      <c r="K1082" s="27"/>
      <c r="M1082" s="17" t="s">
        <v>1467</v>
      </c>
      <c r="N1082" s="25" t="s">
        <v>76</v>
      </c>
      <c r="O1082" s="1" t="s">
        <v>77</v>
      </c>
      <c r="P1082" s="25" t="s">
        <v>417</v>
      </c>
      <c r="Q1082" s="25" t="s">
        <v>62</v>
      </c>
      <c r="R1082" s="16" t="n">
        <v>2655.18</v>
      </c>
      <c r="S1082" s="16" t="n">
        <v>4700</v>
      </c>
      <c r="T1082" s="1" t="n">
        <v>0</v>
      </c>
      <c r="U1082" s="1" t="str">
        <f aca="false">D1082&amp;"-"&amp;E1082&amp;"-"&amp;M1082&amp;"-"&amp;O1082&amp;"-"&amp;P1082&amp;"-"&amp;Q1082</f>
        <v>ELOMI-CHARLEY WIRED BRALETTE BRA-EL4381-BLACK-40-FF</v>
      </c>
    </row>
    <row r="1083" customFormat="false" ht="15" hidden="true" customHeight="false" outlineLevel="0" collapsed="false">
      <c r="B1083" s="61" t="s">
        <v>1487</v>
      </c>
      <c r="C1083" s="17" t="s">
        <v>37</v>
      </c>
      <c r="D1083" s="61" t="s">
        <v>1262</v>
      </c>
      <c r="E1083" s="17" t="s">
        <v>1474</v>
      </c>
      <c r="F1083" s="14" t="s">
        <v>1466</v>
      </c>
      <c r="G1083" s="108" t="s">
        <v>573</v>
      </c>
      <c r="H1083" s="3" t="s">
        <v>1424</v>
      </c>
      <c r="I1083" s="14" t="s">
        <v>43</v>
      </c>
      <c r="J1083" s="14"/>
      <c r="K1083" s="27"/>
      <c r="M1083" s="17" t="s">
        <v>1467</v>
      </c>
      <c r="N1083" s="61" t="s">
        <v>1238</v>
      </c>
      <c r="O1083" s="1" t="s">
        <v>77</v>
      </c>
      <c r="P1083" s="61" t="s">
        <v>417</v>
      </c>
      <c r="Q1083" s="61" t="s">
        <v>105</v>
      </c>
      <c r="R1083" s="16" t="n">
        <v>2772</v>
      </c>
      <c r="S1083" s="16" t="n">
        <v>5200</v>
      </c>
      <c r="T1083" s="1" t="n">
        <v>0</v>
      </c>
      <c r="U1083" s="1" t="str">
        <f aca="false">D1083&amp;"-"&amp;E1083&amp;"-"&amp;M1083&amp;"-"&amp;O1083&amp;"-"&amp;P1083&amp;"-"&amp;Q1083</f>
        <v>ELOMI-CHARLEY WIRED BRALETTE BRA-EL4381-BLACK-40-G</v>
      </c>
    </row>
    <row r="1084" customFormat="false" ht="15" hidden="true" customHeight="false" outlineLevel="0" collapsed="false">
      <c r="B1084" s="25" t="s">
        <v>1488</v>
      </c>
      <c r="C1084" s="17" t="s">
        <v>37</v>
      </c>
      <c r="D1084" s="61" t="s">
        <v>1262</v>
      </c>
      <c r="E1084" s="17" t="s">
        <v>1474</v>
      </c>
      <c r="F1084" s="14" t="s">
        <v>1466</v>
      </c>
      <c r="G1084" s="108" t="s">
        <v>573</v>
      </c>
      <c r="H1084" s="3" t="s">
        <v>1424</v>
      </c>
      <c r="I1084" s="14" t="s">
        <v>43</v>
      </c>
      <c r="J1084" s="14"/>
      <c r="K1084" s="27"/>
      <c r="M1084" s="17" t="s">
        <v>1467</v>
      </c>
      <c r="N1084" s="25" t="s">
        <v>76</v>
      </c>
      <c r="O1084" s="1" t="s">
        <v>77</v>
      </c>
      <c r="P1084" s="25" t="s">
        <v>417</v>
      </c>
      <c r="Q1084" s="25" t="s">
        <v>129</v>
      </c>
      <c r="R1084" s="16" t="n">
        <v>2772</v>
      </c>
      <c r="S1084" s="16" t="n">
        <v>5200</v>
      </c>
      <c r="T1084" s="1" t="n">
        <v>0</v>
      </c>
      <c r="U1084" s="1" t="str">
        <f aca="false">D1084&amp;"-"&amp;E1084&amp;"-"&amp;M1084&amp;"-"&amp;O1084&amp;"-"&amp;P1084&amp;"-"&amp;Q1084</f>
        <v>ELOMI-CHARLEY WIRED BRALETTE BRA-EL4381-BLACK-40-GG</v>
      </c>
    </row>
    <row r="1085" customFormat="false" ht="15" hidden="true" customHeight="false" outlineLevel="0" collapsed="false">
      <c r="B1085" s="61" t="s">
        <v>1512</v>
      </c>
      <c r="C1085" s="17" t="s">
        <v>37</v>
      </c>
      <c r="D1085" s="61" t="s">
        <v>1262</v>
      </c>
      <c r="E1085" s="61" t="s">
        <v>1513</v>
      </c>
      <c r="F1085" s="26" t="s">
        <v>1089</v>
      </c>
      <c r="G1085" s="108" t="s">
        <v>573</v>
      </c>
      <c r="H1085" s="3" t="s">
        <v>1424</v>
      </c>
      <c r="I1085" s="26" t="s">
        <v>43</v>
      </c>
      <c r="J1085" s="26"/>
      <c r="K1085" s="27"/>
      <c r="L1085" s="27"/>
      <c r="N1085" s="61" t="s">
        <v>1514</v>
      </c>
      <c r="O1085" s="61" t="s">
        <v>1515</v>
      </c>
      <c r="P1085" s="61" t="s">
        <v>449</v>
      </c>
      <c r="Q1085" s="61" t="s">
        <v>50</v>
      </c>
      <c r="R1085" s="16" t="n">
        <v>2552</v>
      </c>
      <c r="S1085" s="16" t="n">
        <v>4500</v>
      </c>
      <c r="T1085" s="1" t="n">
        <v>1</v>
      </c>
      <c r="U1085" s="1" t="str">
        <f aca="false">D1085&amp;"-"&amp;E1085&amp;"-"&amp;M1085&amp;"-"&amp;O1085&amp;"-"&amp;P1085&amp;"-"&amp;Q1085</f>
        <v>ELOMI-MORGAN UW SIDE SUPPORT BRA--BLUE MULTI-44-F</v>
      </c>
    </row>
    <row r="1086" customFormat="false" ht="15" hidden="true" customHeight="false" outlineLevel="0" collapsed="false">
      <c r="B1086" s="61" t="s">
        <v>1516</v>
      </c>
      <c r="C1086" s="17" t="s">
        <v>37</v>
      </c>
      <c r="D1086" s="61" t="s">
        <v>1262</v>
      </c>
      <c r="E1086" s="61" t="s">
        <v>1517</v>
      </c>
      <c r="F1086" s="26" t="s">
        <v>1089</v>
      </c>
      <c r="G1086" s="108" t="s">
        <v>573</v>
      </c>
      <c r="H1086" s="26" t="s">
        <v>70</v>
      </c>
      <c r="I1086" s="26" t="s">
        <v>43</v>
      </c>
      <c r="J1086" s="26"/>
      <c r="K1086" s="27"/>
      <c r="L1086" s="27"/>
      <c r="N1086" s="61" t="s">
        <v>76</v>
      </c>
      <c r="O1086" s="61" t="s">
        <v>77</v>
      </c>
      <c r="P1086" s="61" t="s">
        <v>449</v>
      </c>
      <c r="Q1086" s="61" t="s">
        <v>66</v>
      </c>
      <c r="R1086" s="16" t="n">
        <v>1375</v>
      </c>
      <c r="S1086" s="16" t="n">
        <v>4500</v>
      </c>
      <c r="T1086" s="1" t="n">
        <v>1</v>
      </c>
      <c r="U1086" s="1" t="str">
        <f aca="false">D1086&amp;"-"&amp;E1086&amp;"-"&amp;M1086&amp;"-"&amp;O1086&amp;"-"&amp;P1086&amp;"-"&amp;Q1086</f>
        <v>ELOMI-Elomi eugenie plunge bra--BLACK-44-E</v>
      </c>
    </row>
    <row r="1087" customFormat="false" ht="15" hidden="true" customHeight="false" outlineLevel="0" collapsed="false">
      <c r="B1087" s="1" t="s">
        <v>1518</v>
      </c>
      <c r="C1087" s="17" t="s">
        <v>37</v>
      </c>
      <c r="D1087" s="61" t="s">
        <v>1262</v>
      </c>
      <c r="E1087" s="17" t="s">
        <v>1519</v>
      </c>
      <c r="F1087" s="26" t="s">
        <v>1089</v>
      </c>
      <c r="G1087" s="108" t="s">
        <v>573</v>
      </c>
      <c r="H1087" s="26" t="s">
        <v>70</v>
      </c>
      <c r="I1087" s="26" t="s">
        <v>43</v>
      </c>
      <c r="J1087" s="26"/>
      <c r="K1087" s="27"/>
      <c r="N1087" s="61" t="s">
        <v>76</v>
      </c>
      <c r="O1087" s="1" t="s">
        <v>77</v>
      </c>
      <c r="P1087" s="61" t="s">
        <v>449</v>
      </c>
      <c r="Q1087" s="61" t="s">
        <v>66</v>
      </c>
      <c r="R1087" s="16" t="n">
        <v>2800</v>
      </c>
      <c r="S1087" s="16" t="n">
        <v>6200</v>
      </c>
      <c r="T1087" s="1" t="n">
        <v>1</v>
      </c>
      <c r="U1087" s="1" t="str">
        <f aca="false">D1087&amp;"-"&amp;E1087&amp;"-"&amp;M1087&amp;"-"&amp;O1087&amp;"-"&amp;P1087&amp;"-"&amp;Q1087</f>
        <v>ELOMI-CATE ALLURE UNDER WIRE--BLACK-44-E</v>
      </c>
      <c r="W1087" s="1" t="s">
        <v>1222</v>
      </c>
    </row>
    <row r="1088" customFormat="false" ht="16.4" hidden="true" customHeight="false" outlineLevel="0" collapsed="false">
      <c r="B1088" s="121" t="n">
        <v>5052574924195</v>
      </c>
      <c r="C1088" s="61" t="s">
        <v>1520</v>
      </c>
      <c r="D1088" s="61" t="s">
        <v>1520</v>
      </c>
      <c r="E1088" s="2" t="s">
        <v>1521</v>
      </c>
      <c r="F1088" s="14" t="s">
        <v>40</v>
      </c>
      <c r="G1088" s="108" t="s">
        <v>573</v>
      </c>
      <c r="H1088" s="3" t="s">
        <v>1424</v>
      </c>
      <c r="I1088" s="26" t="s">
        <v>43</v>
      </c>
      <c r="J1088" s="26"/>
      <c r="K1088" s="4" t="s">
        <v>1522</v>
      </c>
      <c r="M1088" s="1" t="s">
        <v>1523</v>
      </c>
      <c r="N1088" s="61" t="s">
        <v>1524</v>
      </c>
      <c r="O1088" s="1" t="s">
        <v>465</v>
      </c>
      <c r="P1088" s="2" t="n">
        <v>30</v>
      </c>
      <c r="Q1088" s="61" t="s">
        <v>105</v>
      </c>
      <c r="R1088" s="1" t="n">
        <v>3942</v>
      </c>
      <c r="S1088" s="1" t="n">
        <v>5700</v>
      </c>
      <c r="T1088" s="122" t="n">
        <v>0</v>
      </c>
      <c r="U1088" s="1" t="str">
        <f aca="false">D1088&amp;"-"&amp;E1088&amp;"-"&amp;M1088&amp;"-"&amp;O1088&amp;"-"&amp;P1088&amp;"-"&amp;Q1088</f>
        <v>CURVY KATE-CURVY KATE SMOOTHIE SPACER MOULDED T-SHIRT PLUNGE BRA-CK072104-SKIN-30-G</v>
      </c>
      <c r="W1088" s="1" t="s">
        <v>1525</v>
      </c>
    </row>
    <row r="1089" customFormat="false" ht="16.4" hidden="true" customHeight="false" outlineLevel="0" collapsed="false">
      <c r="B1089" s="123" t="n">
        <v>5052574924188</v>
      </c>
      <c r="C1089" s="61" t="s">
        <v>1520</v>
      </c>
      <c r="D1089" s="61" t="s">
        <v>1520</v>
      </c>
      <c r="E1089" s="2" t="s">
        <v>1521</v>
      </c>
      <c r="F1089" s="14" t="s">
        <v>40</v>
      </c>
      <c r="G1089" s="108" t="s">
        <v>573</v>
      </c>
      <c r="H1089" s="3" t="s">
        <v>1424</v>
      </c>
      <c r="I1089" s="26" t="s">
        <v>43</v>
      </c>
      <c r="J1089" s="26"/>
      <c r="K1089" s="27" t="s">
        <v>1524</v>
      </c>
      <c r="M1089" s="1" t="s">
        <v>1523</v>
      </c>
      <c r="N1089" s="61" t="s">
        <v>1524</v>
      </c>
      <c r="O1089" s="1" t="s">
        <v>465</v>
      </c>
      <c r="P1089" s="2" t="n">
        <v>30</v>
      </c>
      <c r="Q1089" s="61" t="s">
        <v>62</v>
      </c>
      <c r="R1089" s="1" t="n">
        <v>3942</v>
      </c>
      <c r="S1089" s="1" t="n">
        <v>5700</v>
      </c>
      <c r="T1089" s="122" t="n">
        <v>1</v>
      </c>
      <c r="U1089" s="1" t="str">
        <f aca="false">D1089&amp;"-"&amp;E1089&amp;"-"&amp;M1089&amp;"-"&amp;O1089&amp;"-"&amp;P1089&amp;"-"&amp;Q1089</f>
        <v>CURVY KATE-CURVY KATE SMOOTHIE SPACER MOULDED T-SHIRT PLUNGE BRA-CK072104-SKIN-30-FF</v>
      </c>
      <c r="W1089" s="1" t="s">
        <v>1525</v>
      </c>
    </row>
    <row r="1090" customFormat="false" ht="15" hidden="true" customHeight="false" outlineLevel="0" collapsed="false">
      <c r="B1090" s="124" t="s">
        <v>1526</v>
      </c>
      <c r="C1090" s="61" t="s">
        <v>1520</v>
      </c>
      <c r="D1090" s="61" t="s">
        <v>1520</v>
      </c>
      <c r="E1090" s="2" t="s">
        <v>1521</v>
      </c>
      <c r="F1090" s="14" t="s">
        <v>40</v>
      </c>
      <c r="G1090" s="108" t="s">
        <v>573</v>
      </c>
      <c r="H1090" s="3" t="s">
        <v>1424</v>
      </c>
      <c r="I1090" s="26" t="s">
        <v>43</v>
      </c>
      <c r="J1090" s="26"/>
      <c r="K1090" s="4" t="s">
        <v>1527</v>
      </c>
      <c r="M1090" s="1" t="s">
        <v>1523</v>
      </c>
      <c r="N1090" s="17" t="s">
        <v>76</v>
      </c>
      <c r="O1090" s="17" t="s">
        <v>76</v>
      </c>
      <c r="P1090" s="17" t="s">
        <v>92</v>
      </c>
      <c r="Q1090" s="17" t="s">
        <v>50</v>
      </c>
      <c r="R1090" s="1" t="n">
        <v>3942</v>
      </c>
      <c r="S1090" s="1" t="n">
        <v>5700</v>
      </c>
      <c r="T1090" s="122" t="n">
        <v>1</v>
      </c>
      <c r="U1090" s="1" t="str">
        <f aca="false">D1090&amp;"-"&amp;E1090&amp;"-"&amp;M1090&amp;"-"&amp;O1090&amp;"-"&amp;P1090&amp;"-"&amp;Q1090</f>
        <v>CURVY KATE-CURVY KATE SMOOTHIE SPACER MOULDED T-SHIRT PLUNGE BRA-CK072104-BLK-32-F</v>
      </c>
      <c r="W1090" s="1" t="s">
        <v>1525</v>
      </c>
    </row>
    <row r="1091" customFormat="false" ht="15" hidden="true" customHeight="false" outlineLevel="0" collapsed="false">
      <c r="B1091" s="125" t="s">
        <v>1528</v>
      </c>
      <c r="C1091" s="61" t="s">
        <v>1520</v>
      </c>
      <c r="D1091" s="61" t="s">
        <v>1520</v>
      </c>
      <c r="E1091" s="2" t="s">
        <v>1521</v>
      </c>
      <c r="F1091" s="14" t="s">
        <v>40</v>
      </c>
      <c r="G1091" s="108" t="s">
        <v>573</v>
      </c>
      <c r="H1091" s="3" t="s">
        <v>1424</v>
      </c>
      <c r="I1091" s="26" t="s">
        <v>43</v>
      </c>
      <c r="J1091" s="26"/>
      <c r="K1091" s="4" t="s">
        <v>1529</v>
      </c>
      <c r="M1091" s="1" t="s">
        <v>1523</v>
      </c>
      <c r="N1091" s="17" t="s">
        <v>76</v>
      </c>
      <c r="O1091" s="29" t="s">
        <v>76</v>
      </c>
      <c r="P1091" s="29" t="s">
        <v>92</v>
      </c>
      <c r="Q1091" s="29" t="s">
        <v>62</v>
      </c>
      <c r="R1091" s="1" t="n">
        <v>3942</v>
      </c>
      <c r="S1091" s="1" t="n">
        <v>5700</v>
      </c>
      <c r="T1091" s="126" t="n">
        <v>2</v>
      </c>
      <c r="U1091" s="1" t="str">
        <f aca="false">D1091&amp;"-"&amp;E1091&amp;"-"&amp;M1091&amp;"-"&amp;O1091&amp;"-"&amp;P1091&amp;"-"&amp;Q1091</f>
        <v>CURVY KATE-CURVY KATE SMOOTHIE SPACER MOULDED T-SHIRT PLUNGE BRA-CK072104-BLK-32-FF</v>
      </c>
      <c r="W1091" s="1" t="s">
        <v>1525</v>
      </c>
    </row>
    <row r="1092" customFormat="false" ht="16.4" hidden="true" customHeight="false" outlineLevel="0" collapsed="false">
      <c r="B1092" s="121" t="n">
        <v>5052574924287</v>
      </c>
      <c r="C1092" s="61" t="s">
        <v>1520</v>
      </c>
      <c r="D1092" s="61" t="s">
        <v>1520</v>
      </c>
      <c r="E1092" s="2" t="s">
        <v>1521</v>
      </c>
      <c r="F1092" s="14" t="s">
        <v>40</v>
      </c>
      <c r="G1092" s="108" t="s">
        <v>573</v>
      </c>
      <c r="H1092" s="3" t="s">
        <v>1424</v>
      </c>
      <c r="I1092" s="26" t="s">
        <v>43</v>
      </c>
      <c r="J1092" s="26"/>
      <c r="K1092" s="4" t="s">
        <v>1530</v>
      </c>
      <c r="M1092" s="1" t="s">
        <v>1523</v>
      </c>
      <c r="N1092" s="17" t="s">
        <v>1524</v>
      </c>
      <c r="O1092" s="29" t="s">
        <v>465</v>
      </c>
      <c r="P1092" s="29" t="s">
        <v>92</v>
      </c>
      <c r="Q1092" s="29" t="s">
        <v>105</v>
      </c>
      <c r="R1092" s="1" t="n">
        <v>3942</v>
      </c>
      <c r="S1092" s="1" t="n">
        <v>5700</v>
      </c>
      <c r="T1092" s="126" t="n">
        <v>0</v>
      </c>
      <c r="U1092" s="1" t="str">
        <f aca="false">D1092&amp;"-"&amp;E1092&amp;"-"&amp;M1092&amp;"-"&amp;O1092&amp;"-"&amp;P1092&amp;"-"&amp;Q1092</f>
        <v>CURVY KATE-CURVY KATE SMOOTHIE SPACER MOULDED T-SHIRT PLUNGE BRA-CK072104-SKIN-32-G</v>
      </c>
      <c r="W1092" s="1" t="s">
        <v>1525</v>
      </c>
    </row>
    <row r="1093" customFormat="false" ht="15" hidden="true" customHeight="false" outlineLevel="0" collapsed="false">
      <c r="B1093" s="124" t="s">
        <v>1531</v>
      </c>
      <c r="C1093" s="61" t="s">
        <v>1520</v>
      </c>
      <c r="D1093" s="61" t="s">
        <v>1520</v>
      </c>
      <c r="E1093" s="2" t="s">
        <v>1521</v>
      </c>
      <c r="F1093" s="14" t="s">
        <v>40</v>
      </c>
      <c r="G1093" s="108" t="s">
        <v>573</v>
      </c>
      <c r="H1093" s="3" t="s">
        <v>1424</v>
      </c>
      <c r="I1093" s="26" t="s">
        <v>43</v>
      </c>
      <c r="J1093" s="26"/>
      <c r="K1093" s="4" t="s">
        <v>1532</v>
      </c>
      <c r="M1093" s="1" t="s">
        <v>1523</v>
      </c>
      <c r="N1093" s="17" t="s">
        <v>76</v>
      </c>
      <c r="O1093" s="17" t="s">
        <v>76</v>
      </c>
      <c r="P1093" s="17" t="s">
        <v>92</v>
      </c>
      <c r="Q1093" s="17" t="s">
        <v>105</v>
      </c>
      <c r="R1093" s="1" t="n">
        <v>3942</v>
      </c>
      <c r="S1093" s="1" t="n">
        <v>5700</v>
      </c>
      <c r="T1093" s="122" t="n">
        <v>1</v>
      </c>
      <c r="U1093" s="1" t="str">
        <f aca="false">D1093&amp;"-"&amp;E1093&amp;"-"&amp;M1093&amp;"-"&amp;O1093&amp;"-"&amp;P1093&amp;"-"&amp;Q1093</f>
        <v>CURVY KATE-CURVY KATE SMOOTHIE SPACER MOULDED T-SHIRT PLUNGE BRA-CK072104-BLK-32-G</v>
      </c>
      <c r="W1093" s="1" t="s">
        <v>1525</v>
      </c>
    </row>
    <row r="1094" customFormat="false" ht="16.4" hidden="true" customHeight="false" outlineLevel="0" collapsed="false">
      <c r="B1094" s="121" t="n">
        <v>5052574924294</v>
      </c>
      <c r="C1094" s="61" t="s">
        <v>1520</v>
      </c>
      <c r="D1094" s="61" t="s">
        <v>1520</v>
      </c>
      <c r="E1094" s="2" t="s">
        <v>1521</v>
      </c>
      <c r="F1094" s="14" t="s">
        <v>40</v>
      </c>
      <c r="G1094" s="108" t="s">
        <v>573</v>
      </c>
      <c r="H1094" s="3" t="s">
        <v>1424</v>
      </c>
      <c r="I1094" s="26" t="s">
        <v>43</v>
      </c>
      <c r="J1094" s="26"/>
      <c r="K1094" s="4" t="s">
        <v>1533</v>
      </c>
      <c r="M1094" s="1" t="s">
        <v>1523</v>
      </c>
      <c r="N1094" s="17" t="s">
        <v>1524</v>
      </c>
      <c r="O1094" s="17" t="s">
        <v>465</v>
      </c>
      <c r="P1094" s="17" t="s">
        <v>92</v>
      </c>
      <c r="Q1094" s="17" t="s">
        <v>129</v>
      </c>
      <c r="R1094" s="1" t="n">
        <v>3942</v>
      </c>
      <c r="S1094" s="1" t="n">
        <v>5700</v>
      </c>
      <c r="T1094" s="122" t="n">
        <v>1</v>
      </c>
      <c r="U1094" s="1" t="str">
        <f aca="false">D1094&amp;"-"&amp;E1094&amp;"-"&amp;M1094&amp;"-"&amp;O1094&amp;"-"&amp;P1094&amp;"-"&amp;Q1094</f>
        <v>CURVY KATE-CURVY KATE SMOOTHIE SPACER MOULDED T-SHIRT PLUNGE BRA-CK072104-SKIN-32-GG</v>
      </c>
      <c r="W1094" s="1" t="s">
        <v>1525</v>
      </c>
    </row>
    <row r="1095" customFormat="false" ht="15" hidden="true" customHeight="false" outlineLevel="0" collapsed="false">
      <c r="B1095" s="125" t="s">
        <v>1534</v>
      </c>
      <c r="C1095" s="61" t="s">
        <v>1520</v>
      </c>
      <c r="D1095" s="61" t="s">
        <v>1520</v>
      </c>
      <c r="E1095" s="2" t="s">
        <v>1521</v>
      </c>
      <c r="F1095" s="14" t="s">
        <v>40</v>
      </c>
      <c r="G1095" s="108" t="s">
        <v>573</v>
      </c>
      <c r="H1095" s="3" t="s">
        <v>1424</v>
      </c>
      <c r="I1095" s="26" t="s">
        <v>43</v>
      </c>
      <c r="J1095" s="26"/>
      <c r="K1095" s="4" t="s">
        <v>1535</v>
      </c>
      <c r="M1095" s="1" t="s">
        <v>1523</v>
      </c>
      <c r="N1095" s="17" t="s">
        <v>76</v>
      </c>
      <c r="O1095" s="29" t="s">
        <v>76</v>
      </c>
      <c r="P1095" s="29" t="s">
        <v>92</v>
      </c>
      <c r="Q1095" s="29" t="s">
        <v>129</v>
      </c>
      <c r="R1095" s="1" t="n">
        <v>3942</v>
      </c>
      <c r="S1095" s="1" t="n">
        <v>5700</v>
      </c>
      <c r="T1095" s="122" t="n">
        <v>0</v>
      </c>
      <c r="U1095" s="1" t="str">
        <f aca="false">D1095&amp;"-"&amp;E1095&amp;"-"&amp;M1095&amp;"-"&amp;O1095&amp;"-"&amp;P1095&amp;"-"&amp;Q1095</f>
        <v>CURVY KATE-CURVY KATE SMOOTHIE SPACER MOULDED T-SHIRT PLUNGE BRA-CK072104-BLK-32-GG</v>
      </c>
      <c r="W1095" s="1" t="s">
        <v>1525</v>
      </c>
    </row>
    <row r="1096" customFormat="false" ht="15" hidden="true" customHeight="false" outlineLevel="0" collapsed="false">
      <c r="B1096" s="125" t="s">
        <v>1536</v>
      </c>
      <c r="C1096" s="61" t="s">
        <v>1520</v>
      </c>
      <c r="D1096" s="61" t="s">
        <v>1520</v>
      </c>
      <c r="E1096" s="2" t="s">
        <v>1521</v>
      </c>
      <c r="F1096" s="14" t="s">
        <v>40</v>
      </c>
      <c r="G1096" s="108" t="s">
        <v>573</v>
      </c>
      <c r="H1096" s="3" t="s">
        <v>1424</v>
      </c>
      <c r="I1096" s="26" t="s">
        <v>43</v>
      </c>
      <c r="J1096" s="26"/>
      <c r="K1096" s="4" t="s">
        <v>1537</v>
      </c>
      <c r="M1096" s="1" t="s">
        <v>1523</v>
      </c>
      <c r="N1096" s="17" t="s">
        <v>1524</v>
      </c>
      <c r="O1096" s="29" t="s">
        <v>465</v>
      </c>
      <c r="P1096" s="29" t="s">
        <v>92</v>
      </c>
      <c r="Q1096" s="29" t="s">
        <v>143</v>
      </c>
      <c r="R1096" s="1" t="n">
        <v>3942</v>
      </c>
      <c r="S1096" s="1" t="n">
        <v>5700</v>
      </c>
      <c r="T1096" s="126" t="n">
        <v>1</v>
      </c>
      <c r="U1096" s="1" t="str">
        <f aca="false">D1096&amp;"-"&amp;E1096&amp;"-"&amp;M1096&amp;"-"&amp;O1096&amp;"-"&amp;P1096&amp;"-"&amp;Q1096</f>
        <v>CURVY KATE-CURVY KATE SMOOTHIE SPACER MOULDED T-SHIRT PLUNGE BRA-CK072104-SKIN-32-H</v>
      </c>
      <c r="W1096" s="1" t="s">
        <v>1525</v>
      </c>
    </row>
    <row r="1097" customFormat="false" ht="16.5" hidden="true" customHeight="true" outlineLevel="0" collapsed="false">
      <c r="B1097" s="124" t="s">
        <v>1538</v>
      </c>
      <c r="C1097" s="61" t="s">
        <v>1520</v>
      </c>
      <c r="D1097" s="61" t="s">
        <v>1520</v>
      </c>
      <c r="E1097" s="2" t="s">
        <v>1521</v>
      </c>
      <c r="F1097" s="14" t="s">
        <v>40</v>
      </c>
      <c r="G1097" s="108" t="s">
        <v>573</v>
      </c>
      <c r="H1097" s="3" t="s">
        <v>1424</v>
      </c>
      <c r="I1097" s="26" t="s">
        <v>43</v>
      </c>
      <c r="J1097" s="26"/>
      <c r="K1097" s="4" t="s">
        <v>1539</v>
      </c>
      <c r="M1097" s="1" t="s">
        <v>1523</v>
      </c>
      <c r="N1097" s="17" t="s">
        <v>76</v>
      </c>
      <c r="O1097" s="17" t="s">
        <v>76</v>
      </c>
      <c r="P1097" s="17" t="s">
        <v>92</v>
      </c>
      <c r="Q1097" s="17" t="s">
        <v>143</v>
      </c>
      <c r="R1097" s="1" t="n">
        <v>3942</v>
      </c>
      <c r="S1097" s="1" t="n">
        <v>5700</v>
      </c>
      <c r="T1097" s="122" t="n">
        <v>1</v>
      </c>
      <c r="U1097" s="1" t="str">
        <f aca="false">D1097&amp;"-"&amp;E1097&amp;"-"&amp;M1097&amp;"-"&amp;O1097&amp;"-"&amp;P1097&amp;"-"&amp;Q1097</f>
        <v>CURVY KATE-CURVY KATE SMOOTHIE SPACER MOULDED T-SHIRT PLUNGE BRA-CK072104-BLK-32-H</v>
      </c>
      <c r="W1097" s="1" t="s">
        <v>1525</v>
      </c>
    </row>
    <row r="1098" customFormat="false" ht="15" hidden="true" customHeight="false" outlineLevel="0" collapsed="false">
      <c r="B1098" s="124" t="s">
        <v>1540</v>
      </c>
      <c r="C1098" s="61" t="s">
        <v>1520</v>
      </c>
      <c r="D1098" s="61" t="s">
        <v>1520</v>
      </c>
      <c r="E1098" s="2" t="s">
        <v>1521</v>
      </c>
      <c r="F1098" s="14" t="s">
        <v>40</v>
      </c>
      <c r="G1098" s="108" t="s">
        <v>573</v>
      </c>
      <c r="H1098" s="3" t="s">
        <v>1424</v>
      </c>
      <c r="I1098" s="26" t="s">
        <v>43</v>
      </c>
      <c r="J1098" s="26"/>
      <c r="K1098" s="4" t="s">
        <v>1541</v>
      </c>
      <c r="M1098" s="1" t="s">
        <v>1523</v>
      </c>
      <c r="N1098" s="17" t="s">
        <v>1524</v>
      </c>
      <c r="O1098" s="17" t="s">
        <v>465</v>
      </c>
      <c r="P1098" s="29" t="s">
        <v>92</v>
      </c>
      <c r="Q1098" s="17" t="s">
        <v>131</v>
      </c>
      <c r="R1098" s="1" t="n">
        <v>3942</v>
      </c>
      <c r="S1098" s="1" t="n">
        <v>5700</v>
      </c>
      <c r="T1098" s="122" t="n">
        <v>1</v>
      </c>
      <c r="U1098" s="1" t="str">
        <f aca="false">D1098&amp;"-"&amp;E1098&amp;"-"&amp;M1098&amp;"-"&amp;O1098&amp;"-"&amp;P1098&amp;"-"&amp;Q1098</f>
        <v>CURVY KATE-CURVY KATE SMOOTHIE SPACER MOULDED T-SHIRT PLUNGE BRA-CK072104-SKIN-32-HH</v>
      </c>
      <c r="W1098" s="1" t="s">
        <v>1525</v>
      </c>
    </row>
    <row r="1099" customFormat="false" ht="15" hidden="true" customHeight="false" outlineLevel="0" collapsed="false">
      <c r="B1099" s="125" t="s">
        <v>1542</v>
      </c>
      <c r="C1099" s="61" t="s">
        <v>1520</v>
      </c>
      <c r="D1099" s="61" t="s">
        <v>1520</v>
      </c>
      <c r="E1099" s="2" t="s">
        <v>1521</v>
      </c>
      <c r="F1099" s="14" t="s">
        <v>40</v>
      </c>
      <c r="G1099" s="108" t="s">
        <v>573</v>
      </c>
      <c r="H1099" s="3" t="s">
        <v>1424</v>
      </c>
      <c r="I1099" s="26" t="s">
        <v>43</v>
      </c>
      <c r="J1099" s="26"/>
      <c r="K1099" s="4" t="s">
        <v>1543</v>
      </c>
      <c r="M1099" s="1" t="s">
        <v>1523</v>
      </c>
      <c r="N1099" s="17" t="s">
        <v>76</v>
      </c>
      <c r="O1099" s="29" t="s">
        <v>76</v>
      </c>
      <c r="P1099" s="29" t="s">
        <v>92</v>
      </c>
      <c r="Q1099" s="29" t="s">
        <v>131</v>
      </c>
      <c r="R1099" s="1" t="n">
        <v>3942</v>
      </c>
      <c r="S1099" s="1" t="n">
        <v>5700</v>
      </c>
      <c r="T1099" s="126" t="n">
        <v>1</v>
      </c>
      <c r="U1099" s="1" t="str">
        <f aca="false">D1099&amp;"-"&amp;E1099&amp;"-"&amp;M1099&amp;"-"&amp;O1099&amp;"-"&amp;P1099&amp;"-"&amp;Q1099</f>
        <v>CURVY KATE-CURVY KATE SMOOTHIE SPACER MOULDED T-SHIRT PLUNGE BRA-CK072104-BLK-32-HH</v>
      </c>
      <c r="W1099" s="1" t="s">
        <v>1525</v>
      </c>
    </row>
    <row r="1100" customFormat="false" ht="16.4" hidden="true" customHeight="false" outlineLevel="0" collapsed="false">
      <c r="B1100" s="121" t="n">
        <v>5052574924362</v>
      </c>
      <c r="C1100" s="61" t="s">
        <v>1520</v>
      </c>
      <c r="D1100" s="61" t="s">
        <v>1520</v>
      </c>
      <c r="E1100" s="2" t="s">
        <v>1521</v>
      </c>
      <c r="F1100" s="14" t="s">
        <v>40</v>
      </c>
      <c r="G1100" s="108" t="s">
        <v>573</v>
      </c>
      <c r="H1100" s="3" t="s">
        <v>1424</v>
      </c>
      <c r="I1100" s="26" t="s">
        <v>43</v>
      </c>
      <c r="J1100" s="26"/>
      <c r="K1100" s="4" t="s">
        <v>1544</v>
      </c>
      <c r="M1100" s="1" t="s">
        <v>1523</v>
      </c>
      <c r="N1100" s="17" t="s">
        <v>1524</v>
      </c>
      <c r="O1100" s="29" t="s">
        <v>465</v>
      </c>
      <c r="P1100" s="29" t="s">
        <v>134</v>
      </c>
      <c r="Q1100" s="29" t="s">
        <v>50</v>
      </c>
      <c r="R1100" s="1" t="n">
        <v>3942</v>
      </c>
      <c r="S1100" s="1" t="n">
        <v>5700</v>
      </c>
      <c r="T1100" s="126" t="n">
        <v>0</v>
      </c>
      <c r="U1100" s="1" t="str">
        <f aca="false">D1100&amp;"-"&amp;E1100&amp;"-"&amp;M1100&amp;"-"&amp;O1100&amp;"-"&amp;P1100&amp;"-"&amp;Q1100</f>
        <v>CURVY KATE-CURVY KATE SMOOTHIE SPACER MOULDED T-SHIRT PLUNGE BRA-CK072104-SKIN-34-F</v>
      </c>
      <c r="W1100" s="1" t="s">
        <v>1525</v>
      </c>
    </row>
    <row r="1101" customFormat="false" ht="15" hidden="true" customHeight="false" outlineLevel="0" collapsed="false">
      <c r="B1101" s="124" t="s">
        <v>1545</v>
      </c>
      <c r="C1101" s="61" t="s">
        <v>1520</v>
      </c>
      <c r="D1101" s="61" t="s">
        <v>1520</v>
      </c>
      <c r="E1101" s="2" t="s">
        <v>1521</v>
      </c>
      <c r="F1101" s="14" t="s">
        <v>40</v>
      </c>
      <c r="G1101" s="108" t="s">
        <v>573</v>
      </c>
      <c r="H1101" s="3" t="s">
        <v>1424</v>
      </c>
      <c r="I1101" s="26" t="s">
        <v>43</v>
      </c>
      <c r="J1101" s="26"/>
      <c r="K1101" s="4" t="s">
        <v>1546</v>
      </c>
      <c r="M1101" s="1" t="s">
        <v>1523</v>
      </c>
      <c r="N1101" s="17" t="s">
        <v>76</v>
      </c>
      <c r="O1101" s="17" t="s">
        <v>76</v>
      </c>
      <c r="P1101" s="17" t="s">
        <v>134</v>
      </c>
      <c r="Q1101" s="17" t="s">
        <v>50</v>
      </c>
      <c r="R1101" s="1" t="n">
        <v>3942</v>
      </c>
      <c r="S1101" s="1" t="n">
        <v>5700</v>
      </c>
      <c r="T1101" s="122" t="n">
        <v>1</v>
      </c>
      <c r="U1101" s="1" t="str">
        <f aca="false">D1101&amp;"-"&amp;E1101&amp;"-"&amp;M1101&amp;"-"&amp;O1101&amp;"-"&amp;P1101&amp;"-"&amp;Q1101</f>
        <v>CURVY KATE-CURVY KATE SMOOTHIE SPACER MOULDED T-SHIRT PLUNGE BRA-CK072104-BLK-34-F</v>
      </c>
      <c r="W1101" s="1" t="s">
        <v>1525</v>
      </c>
    </row>
    <row r="1102" customFormat="false" ht="15" hidden="true" customHeight="false" outlineLevel="0" collapsed="false">
      <c r="B1102" s="125" t="s">
        <v>1547</v>
      </c>
      <c r="C1102" s="61" t="s">
        <v>1520</v>
      </c>
      <c r="D1102" s="61" t="s">
        <v>1520</v>
      </c>
      <c r="E1102" s="2" t="s">
        <v>1521</v>
      </c>
      <c r="F1102" s="14" t="s">
        <v>40</v>
      </c>
      <c r="G1102" s="108" t="s">
        <v>573</v>
      </c>
      <c r="H1102" s="3" t="s">
        <v>1424</v>
      </c>
      <c r="I1102" s="26" t="s">
        <v>43</v>
      </c>
      <c r="J1102" s="26"/>
      <c r="K1102" s="4" t="s">
        <v>1548</v>
      </c>
      <c r="M1102" s="1" t="s">
        <v>1523</v>
      </c>
      <c r="N1102" s="17" t="s">
        <v>76</v>
      </c>
      <c r="O1102" s="29" t="s">
        <v>76</v>
      </c>
      <c r="P1102" s="29" t="s">
        <v>134</v>
      </c>
      <c r="Q1102" s="29" t="s">
        <v>62</v>
      </c>
      <c r="R1102" s="1" t="n">
        <v>3942</v>
      </c>
      <c r="S1102" s="1" t="n">
        <v>5700</v>
      </c>
      <c r="T1102" s="126" t="n">
        <v>1</v>
      </c>
      <c r="U1102" s="1" t="str">
        <f aca="false">D1102&amp;"-"&amp;E1102&amp;"-"&amp;M1102&amp;"-"&amp;O1102&amp;"-"&amp;P1102&amp;"-"&amp;Q1102</f>
        <v>CURVY KATE-CURVY KATE SMOOTHIE SPACER MOULDED T-SHIRT PLUNGE BRA-CK072104-BLK-34-FF</v>
      </c>
      <c r="W1102" s="1" t="s">
        <v>1525</v>
      </c>
    </row>
    <row r="1103" customFormat="false" ht="16.4" hidden="true" customHeight="false" outlineLevel="0" collapsed="false">
      <c r="B1103" s="121" t="n">
        <v>5052574924386</v>
      </c>
      <c r="C1103" s="61" t="s">
        <v>1520</v>
      </c>
      <c r="D1103" s="61" t="s">
        <v>1520</v>
      </c>
      <c r="E1103" s="2" t="s">
        <v>1521</v>
      </c>
      <c r="F1103" s="14" t="s">
        <v>40</v>
      </c>
      <c r="G1103" s="108" t="s">
        <v>573</v>
      </c>
      <c r="H1103" s="3" t="s">
        <v>1424</v>
      </c>
      <c r="I1103" s="26" t="s">
        <v>43</v>
      </c>
      <c r="J1103" s="26"/>
      <c r="K1103" s="4" t="s">
        <v>1549</v>
      </c>
      <c r="M1103" s="1" t="s">
        <v>1523</v>
      </c>
      <c r="N1103" s="17" t="s">
        <v>1524</v>
      </c>
      <c r="O1103" s="29" t="s">
        <v>465</v>
      </c>
      <c r="P1103" s="29" t="s">
        <v>134</v>
      </c>
      <c r="Q1103" s="29" t="s">
        <v>105</v>
      </c>
      <c r="R1103" s="1" t="n">
        <v>3942</v>
      </c>
      <c r="S1103" s="1" t="n">
        <v>5700</v>
      </c>
      <c r="T1103" s="126" t="n">
        <v>0</v>
      </c>
      <c r="U1103" s="1" t="str">
        <f aca="false">D1103&amp;"-"&amp;E1103&amp;"-"&amp;M1103&amp;"-"&amp;O1103&amp;"-"&amp;P1103&amp;"-"&amp;Q1103</f>
        <v>CURVY KATE-CURVY KATE SMOOTHIE SPACER MOULDED T-SHIRT PLUNGE BRA-CK072104-SKIN-34-G</v>
      </c>
      <c r="W1103" s="1" t="s">
        <v>1525</v>
      </c>
    </row>
    <row r="1104" customFormat="false" ht="15" hidden="true" customHeight="false" outlineLevel="0" collapsed="false">
      <c r="B1104" s="124" t="s">
        <v>1550</v>
      </c>
      <c r="C1104" s="61" t="s">
        <v>1520</v>
      </c>
      <c r="D1104" s="61" t="s">
        <v>1520</v>
      </c>
      <c r="E1104" s="2" t="s">
        <v>1521</v>
      </c>
      <c r="F1104" s="14" t="s">
        <v>40</v>
      </c>
      <c r="G1104" s="108" t="s">
        <v>573</v>
      </c>
      <c r="H1104" s="3" t="s">
        <v>1424</v>
      </c>
      <c r="I1104" s="26" t="s">
        <v>43</v>
      </c>
      <c r="J1104" s="26"/>
      <c r="K1104" s="4" t="s">
        <v>1551</v>
      </c>
      <c r="M1104" s="1" t="s">
        <v>1523</v>
      </c>
      <c r="N1104" s="17" t="s">
        <v>76</v>
      </c>
      <c r="O1104" s="17" t="s">
        <v>76</v>
      </c>
      <c r="P1104" s="17" t="s">
        <v>134</v>
      </c>
      <c r="Q1104" s="17" t="s">
        <v>105</v>
      </c>
      <c r="R1104" s="1" t="n">
        <v>3942</v>
      </c>
      <c r="S1104" s="1" t="n">
        <v>5700</v>
      </c>
      <c r="T1104" s="122" t="n">
        <v>1</v>
      </c>
      <c r="U1104" s="1" t="str">
        <f aca="false">D1104&amp;"-"&amp;E1104&amp;"-"&amp;M1104&amp;"-"&amp;O1104&amp;"-"&amp;P1104&amp;"-"&amp;Q1104</f>
        <v>CURVY KATE-CURVY KATE SMOOTHIE SPACER MOULDED T-SHIRT PLUNGE BRA-CK072104-BLK-34-G</v>
      </c>
      <c r="W1104" s="1" t="s">
        <v>1525</v>
      </c>
    </row>
    <row r="1105" customFormat="false" ht="15" hidden="true" customHeight="false" outlineLevel="0" collapsed="false">
      <c r="B1105" s="125" t="s">
        <v>1552</v>
      </c>
      <c r="C1105" s="61" t="s">
        <v>1520</v>
      </c>
      <c r="D1105" s="61" t="s">
        <v>1520</v>
      </c>
      <c r="E1105" s="2" t="s">
        <v>1521</v>
      </c>
      <c r="F1105" s="14" t="s">
        <v>40</v>
      </c>
      <c r="G1105" s="108" t="s">
        <v>573</v>
      </c>
      <c r="H1105" s="3" t="s">
        <v>1424</v>
      </c>
      <c r="I1105" s="26" t="s">
        <v>43</v>
      </c>
      <c r="J1105" s="26"/>
      <c r="K1105" s="4" t="s">
        <v>1553</v>
      </c>
      <c r="M1105" s="1" t="s">
        <v>1523</v>
      </c>
      <c r="N1105" s="17" t="s">
        <v>76</v>
      </c>
      <c r="O1105" s="29" t="s">
        <v>76</v>
      </c>
      <c r="P1105" s="29" t="s">
        <v>134</v>
      </c>
      <c r="Q1105" s="29" t="s">
        <v>129</v>
      </c>
      <c r="R1105" s="1" t="n">
        <v>3942</v>
      </c>
      <c r="S1105" s="1" t="n">
        <v>5700</v>
      </c>
      <c r="T1105" s="126" t="n">
        <v>0</v>
      </c>
      <c r="U1105" s="1" t="str">
        <f aca="false">D1105&amp;"-"&amp;E1105&amp;"-"&amp;M1105&amp;"-"&amp;O1105&amp;"-"&amp;P1105&amp;"-"&amp;Q1105</f>
        <v>CURVY KATE-CURVY KATE SMOOTHIE SPACER MOULDED T-SHIRT PLUNGE BRA-CK072104-BLK-34-GG</v>
      </c>
      <c r="W1105" s="1" t="s">
        <v>1525</v>
      </c>
    </row>
    <row r="1106" customFormat="false" ht="15" hidden="true" customHeight="false" outlineLevel="0" collapsed="false">
      <c r="B1106" s="124" t="s">
        <v>1554</v>
      </c>
      <c r="C1106" s="61" t="s">
        <v>1520</v>
      </c>
      <c r="D1106" s="61" t="s">
        <v>1520</v>
      </c>
      <c r="E1106" s="2" t="s">
        <v>1521</v>
      </c>
      <c r="F1106" s="14" t="s">
        <v>40</v>
      </c>
      <c r="G1106" s="108" t="s">
        <v>573</v>
      </c>
      <c r="H1106" s="3" t="s">
        <v>1424</v>
      </c>
      <c r="I1106" s="26" t="s">
        <v>43</v>
      </c>
      <c r="J1106" s="26"/>
      <c r="K1106" s="4" t="s">
        <v>1555</v>
      </c>
      <c r="M1106" s="1" t="s">
        <v>1523</v>
      </c>
      <c r="N1106" s="17" t="s">
        <v>76</v>
      </c>
      <c r="O1106" s="17" t="s">
        <v>76</v>
      </c>
      <c r="P1106" s="17" t="s">
        <v>134</v>
      </c>
      <c r="Q1106" s="17" t="s">
        <v>143</v>
      </c>
      <c r="R1106" s="1" t="n">
        <v>3942</v>
      </c>
      <c r="S1106" s="1" t="n">
        <v>5700</v>
      </c>
      <c r="T1106" s="122" t="n">
        <v>0</v>
      </c>
      <c r="U1106" s="1" t="str">
        <f aca="false">D1106&amp;"-"&amp;E1106&amp;"-"&amp;M1106&amp;"-"&amp;O1106&amp;"-"&amp;P1106&amp;"-"&amp;Q1106</f>
        <v>CURVY KATE-CURVY KATE SMOOTHIE SPACER MOULDED T-SHIRT PLUNGE BRA-CK072104-BLK-34-H</v>
      </c>
      <c r="W1106" s="1" t="s">
        <v>1525</v>
      </c>
    </row>
    <row r="1107" customFormat="false" ht="15" hidden="true" customHeight="false" outlineLevel="0" collapsed="false">
      <c r="B1107" s="125" t="s">
        <v>1556</v>
      </c>
      <c r="C1107" s="61" t="s">
        <v>1520</v>
      </c>
      <c r="D1107" s="61" t="s">
        <v>1520</v>
      </c>
      <c r="E1107" s="2" t="s">
        <v>1521</v>
      </c>
      <c r="F1107" s="14" t="s">
        <v>40</v>
      </c>
      <c r="G1107" s="108" t="s">
        <v>573</v>
      </c>
      <c r="H1107" s="3" t="s">
        <v>1424</v>
      </c>
      <c r="I1107" s="26" t="s">
        <v>43</v>
      </c>
      <c r="J1107" s="26"/>
      <c r="K1107" s="4" t="s">
        <v>1557</v>
      </c>
      <c r="M1107" s="1" t="s">
        <v>1523</v>
      </c>
      <c r="N1107" s="17" t="s">
        <v>76</v>
      </c>
      <c r="O1107" s="29" t="s">
        <v>76</v>
      </c>
      <c r="P1107" s="29" t="s">
        <v>134</v>
      </c>
      <c r="Q1107" s="29" t="s">
        <v>131</v>
      </c>
      <c r="R1107" s="1" t="n">
        <v>3942</v>
      </c>
      <c r="S1107" s="1" t="n">
        <v>5700</v>
      </c>
      <c r="T1107" s="126" t="n">
        <v>0</v>
      </c>
      <c r="U1107" s="1" t="str">
        <f aca="false">D1107&amp;"-"&amp;E1107&amp;"-"&amp;M1107&amp;"-"&amp;O1107&amp;"-"&amp;P1107&amp;"-"&amp;Q1107</f>
        <v>CURVY KATE-CURVY KATE SMOOTHIE SPACER MOULDED T-SHIRT PLUNGE BRA-CK072104-BLK-34-HH</v>
      </c>
      <c r="W1107" s="1" t="s">
        <v>1525</v>
      </c>
    </row>
    <row r="1108" customFormat="false" ht="15" hidden="true" customHeight="false" outlineLevel="0" collapsed="false">
      <c r="B1108" s="124" t="s">
        <v>1558</v>
      </c>
      <c r="C1108" s="61" t="s">
        <v>1520</v>
      </c>
      <c r="D1108" s="61" t="s">
        <v>1520</v>
      </c>
      <c r="E1108" s="2" t="s">
        <v>1521</v>
      </c>
      <c r="F1108" s="14" t="s">
        <v>40</v>
      </c>
      <c r="G1108" s="108" t="s">
        <v>573</v>
      </c>
      <c r="H1108" s="3" t="s">
        <v>1424</v>
      </c>
      <c r="I1108" s="26" t="s">
        <v>43</v>
      </c>
      <c r="J1108" s="26"/>
      <c r="K1108" s="4" t="s">
        <v>1559</v>
      </c>
      <c r="M1108" s="1" t="s">
        <v>1523</v>
      </c>
      <c r="N1108" s="17" t="s">
        <v>76</v>
      </c>
      <c r="O1108" s="17" t="s">
        <v>76</v>
      </c>
      <c r="P1108" s="17" t="s">
        <v>65</v>
      </c>
      <c r="Q1108" s="17" t="s">
        <v>50</v>
      </c>
      <c r="R1108" s="1" t="n">
        <v>3942</v>
      </c>
      <c r="S1108" s="1" t="n">
        <v>5700</v>
      </c>
      <c r="T1108" s="122" t="n">
        <v>0</v>
      </c>
      <c r="U1108" s="1" t="str">
        <f aca="false">D1108&amp;"-"&amp;E1108&amp;"-"&amp;M1108&amp;"-"&amp;O1108&amp;"-"&amp;P1108&amp;"-"&amp;Q1108</f>
        <v>CURVY KATE-CURVY KATE SMOOTHIE SPACER MOULDED T-SHIRT PLUNGE BRA-CK072104-BLK-36-F</v>
      </c>
      <c r="W1108" s="1" t="s">
        <v>1525</v>
      </c>
    </row>
    <row r="1109" customFormat="false" ht="15" hidden="true" customHeight="false" outlineLevel="0" collapsed="false">
      <c r="B1109" s="125" t="s">
        <v>1560</v>
      </c>
      <c r="C1109" s="61" t="s">
        <v>1520</v>
      </c>
      <c r="D1109" s="61" t="s">
        <v>1520</v>
      </c>
      <c r="E1109" s="2" t="s">
        <v>1521</v>
      </c>
      <c r="F1109" s="14" t="s">
        <v>40</v>
      </c>
      <c r="G1109" s="108" t="s">
        <v>573</v>
      </c>
      <c r="H1109" s="3" t="s">
        <v>1424</v>
      </c>
      <c r="I1109" s="26" t="s">
        <v>43</v>
      </c>
      <c r="J1109" s="26"/>
      <c r="K1109" s="4" t="s">
        <v>1561</v>
      </c>
      <c r="M1109" s="1" t="s">
        <v>1523</v>
      </c>
      <c r="N1109" s="17" t="s">
        <v>76</v>
      </c>
      <c r="O1109" s="29" t="s">
        <v>76</v>
      </c>
      <c r="P1109" s="29" t="s">
        <v>65</v>
      </c>
      <c r="Q1109" s="29" t="s">
        <v>62</v>
      </c>
      <c r="R1109" s="1" t="n">
        <v>3942</v>
      </c>
      <c r="S1109" s="1" t="n">
        <v>5700</v>
      </c>
      <c r="T1109" s="126" t="n">
        <v>2</v>
      </c>
      <c r="U1109" s="1" t="str">
        <f aca="false">D1109&amp;"-"&amp;E1109&amp;"-"&amp;M1109&amp;"-"&amp;O1109&amp;"-"&amp;P1109&amp;"-"&amp;Q1109</f>
        <v>CURVY KATE-CURVY KATE SMOOTHIE SPACER MOULDED T-SHIRT PLUNGE BRA-CK072104-BLK-36-FF</v>
      </c>
      <c r="W1109" s="1" t="s">
        <v>1525</v>
      </c>
    </row>
    <row r="1110" customFormat="false" ht="15" hidden="true" customHeight="false" outlineLevel="0" collapsed="false">
      <c r="B1110" s="124" t="s">
        <v>1562</v>
      </c>
      <c r="C1110" s="61" t="s">
        <v>1520</v>
      </c>
      <c r="D1110" s="61" t="s">
        <v>1520</v>
      </c>
      <c r="E1110" s="2" t="s">
        <v>1521</v>
      </c>
      <c r="F1110" s="14" t="s">
        <v>40</v>
      </c>
      <c r="G1110" s="108" t="s">
        <v>573</v>
      </c>
      <c r="H1110" s="3" t="s">
        <v>1424</v>
      </c>
      <c r="I1110" s="26" t="s">
        <v>43</v>
      </c>
      <c r="J1110" s="26"/>
      <c r="K1110" s="4" t="s">
        <v>1563</v>
      </c>
      <c r="M1110" s="1" t="s">
        <v>1523</v>
      </c>
      <c r="N1110" s="17" t="s">
        <v>76</v>
      </c>
      <c r="O1110" s="17" t="s">
        <v>76</v>
      </c>
      <c r="P1110" s="17" t="s">
        <v>65</v>
      </c>
      <c r="Q1110" s="17" t="s">
        <v>105</v>
      </c>
      <c r="R1110" s="1" t="n">
        <v>3942</v>
      </c>
      <c r="S1110" s="1" t="n">
        <v>5700</v>
      </c>
      <c r="T1110" s="122" t="n">
        <v>1</v>
      </c>
      <c r="U1110" s="1" t="str">
        <f aca="false">D1110&amp;"-"&amp;E1110&amp;"-"&amp;M1110&amp;"-"&amp;O1110&amp;"-"&amp;P1110&amp;"-"&amp;Q1110</f>
        <v>CURVY KATE-CURVY KATE SMOOTHIE SPACER MOULDED T-SHIRT PLUNGE BRA-CK072104-BLK-36-G</v>
      </c>
      <c r="W1110" s="1" t="s">
        <v>1525</v>
      </c>
    </row>
    <row r="1111" customFormat="false" ht="15" hidden="true" customHeight="false" outlineLevel="0" collapsed="false">
      <c r="B1111" s="125" t="s">
        <v>1564</v>
      </c>
      <c r="C1111" s="61" t="s">
        <v>1520</v>
      </c>
      <c r="D1111" s="61" t="s">
        <v>1520</v>
      </c>
      <c r="E1111" s="2" t="s">
        <v>1521</v>
      </c>
      <c r="F1111" s="14" t="s">
        <v>40</v>
      </c>
      <c r="G1111" s="108" t="s">
        <v>573</v>
      </c>
      <c r="H1111" s="3" t="s">
        <v>1424</v>
      </c>
      <c r="I1111" s="26" t="s">
        <v>43</v>
      </c>
      <c r="J1111" s="26"/>
      <c r="K1111" s="4" t="s">
        <v>1565</v>
      </c>
      <c r="M1111" s="1" t="s">
        <v>1523</v>
      </c>
      <c r="N1111" s="17" t="s">
        <v>76</v>
      </c>
      <c r="O1111" s="29" t="s">
        <v>76</v>
      </c>
      <c r="P1111" s="29" t="s">
        <v>65</v>
      </c>
      <c r="Q1111" s="29" t="s">
        <v>129</v>
      </c>
      <c r="R1111" s="1" t="n">
        <v>3942</v>
      </c>
      <c r="S1111" s="1" t="n">
        <v>5700</v>
      </c>
      <c r="T1111" s="126" t="n">
        <v>1</v>
      </c>
      <c r="U1111" s="1" t="str">
        <f aca="false">D1111&amp;"-"&amp;E1111&amp;"-"&amp;M1111&amp;"-"&amp;O1111&amp;"-"&amp;P1111&amp;"-"&amp;Q1111</f>
        <v>CURVY KATE-CURVY KATE SMOOTHIE SPACER MOULDED T-SHIRT PLUNGE BRA-CK072104-BLK-36-GG</v>
      </c>
      <c r="W1111" s="1" t="s">
        <v>1525</v>
      </c>
    </row>
    <row r="1112" customFormat="false" ht="16.4" hidden="true" customHeight="false" outlineLevel="0" collapsed="false">
      <c r="B1112" s="121" t="n">
        <v>5052574924508</v>
      </c>
      <c r="C1112" s="61" t="s">
        <v>1520</v>
      </c>
      <c r="D1112" s="61" t="s">
        <v>1520</v>
      </c>
      <c r="E1112" s="2" t="s">
        <v>1521</v>
      </c>
      <c r="F1112" s="14" t="s">
        <v>40</v>
      </c>
      <c r="G1112" s="108" t="s">
        <v>573</v>
      </c>
      <c r="H1112" s="3" t="s">
        <v>1424</v>
      </c>
      <c r="I1112" s="26" t="s">
        <v>43</v>
      </c>
      <c r="J1112" s="26"/>
      <c r="K1112" s="4" t="s">
        <v>1566</v>
      </c>
      <c r="M1112" s="1" t="s">
        <v>1523</v>
      </c>
      <c r="N1112" s="17" t="s">
        <v>1524</v>
      </c>
      <c r="O1112" s="29" t="s">
        <v>465</v>
      </c>
      <c r="P1112" s="29" t="s">
        <v>65</v>
      </c>
      <c r="Q1112" s="29" t="s">
        <v>143</v>
      </c>
      <c r="R1112" s="1" t="n">
        <v>3942</v>
      </c>
      <c r="S1112" s="1" t="n">
        <v>5700</v>
      </c>
      <c r="T1112" s="126" t="n">
        <v>0</v>
      </c>
      <c r="U1112" s="1" t="str">
        <f aca="false">D1112&amp;"-"&amp;E1112&amp;"-"&amp;M1112&amp;"-"&amp;O1112&amp;"-"&amp;P1112&amp;"-"&amp;Q1112</f>
        <v>CURVY KATE-CURVY KATE SMOOTHIE SPACER MOULDED T-SHIRT PLUNGE BRA-CK072104-SKIN-36-H</v>
      </c>
      <c r="W1112" s="1" t="s">
        <v>1525</v>
      </c>
    </row>
    <row r="1113" customFormat="false" ht="15" hidden="true" customHeight="false" outlineLevel="0" collapsed="false">
      <c r="B1113" s="124" t="s">
        <v>1567</v>
      </c>
      <c r="C1113" s="61" t="s">
        <v>1520</v>
      </c>
      <c r="D1113" s="61" t="s">
        <v>1520</v>
      </c>
      <c r="E1113" s="2" t="s">
        <v>1521</v>
      </c>
      <c r="F1113" s="14" t="s">
        <v>40</v>
      </c>
      <c r="G1113" s="108" t="s">
        <v>573</v>
      </c>
      <c r="H1113" s="3" t="s">
        <v>1424</v>
      </c>
      <c r="I1113" s="26" t="s">
        <v>43</v>
      </c>
      <c r="J1113" s="26"/>
      <c r="K1113" s="4" t="s">
        <v>1568</v>
      </c>
      <c r="M1113" s="1" t="s">
        <v>1523</v>
      </c>
      <c r="N1113" s="17" t="s">
        <v>76</v>
      </c>
      <c r="O1113" s="17" t="s">
        <v>76</v>
      </c>
      <c r="P1113" s="17" t="s">
        <v>65</v>
      </c>
      <c r="Q1113" s="17" t="s">
        <v>143</v>
      </c>
      <c r="R1113" s="1" t="n">
        <v>3942</v>
      </c>
      <c r="S1113" s="1" t="n">
        <v>5700</v>
      </c>
      <c r="T1113" s="122" t="n">
        <v>0</v>
      </c>
      <c r="U1113" s="1" t="str">
        <f aca="false">D1113&amp;"-"&amp;E1113&amp;"-"&amp;M1113&amp;"-"&amp;O1113&amp;"-"&amp;P1113&amp;"-"&amp;Q1113</f>
        <v>CURVY KATE-CURVY KATE SMOOTHIE SPACER MOULDED T-SHIRT PLUNGE BRA-CK072104-BLK-36-H</v>
      </c>
      <c r="W1113" s="1" t="s">
        <v>1525</v>
      </c>
    </row>
    <row r="1114" customFormat="false" ht="15" hidden="true" customHeight="false" outlineLevel="0" collapsed="false">
      <c r="B1114" s="125" t="s">
        <v>1569</v>
      </c>
      <c r="C1114" s="61" t="s">
        <v>1520</v>
      </c>
      <c r="D1114" s="61" t="s">
        <v>1520</v>
      </c>
      <c r="E1114" s="2" t="s">
        <v>1521</v>
      </c>
      <c r="F1114" s="14" t="s">
        <v>40</v>
      </c>
      <c r="G1114" s="108" t="s">
        <v>573</v>
      </c>
      <c r="H1114" s="3" t="s">
        <v>1424</v>
      </c>
      <c r="I1114" s="26" t="s">
        <v>43</v>
      </c>
      <c r="J1114" s="26"/>
      <c r="K1114" s="4" t="s">
        <v>1570</v>
      </c>
      <c r="M1114" s="1" t="s">
        <v>1523</v>
      </c>
      <c r="N1114" s="17" t="s">
        <v>76</v>
      </c>
      <c r="O1114" s="29" t="s">
        <v>76</v>
      </c>
      <c r="P1114" s="29" t="s">
        <v>65</v>
      </c>
      <c r="Q1114" s="29" t="s">
        <v>131</v>
      </c>
      <c r="R1114" s="1" t="n">
        <v>3942</v>
      </c>
      <c r="S1114" s="1" t="n">
        <v>5700</v>
      </c>
      <c r="T1114" s="126" t="n">
        <v>0</v>
      </c>
      <c r="U1114" s="1" t="str">
        <f aca="false">D1114&amp;"-"&amp;E1114&amp;"-"&amp;M1114&amp;"-"&amp;O1114&amp;"-"&amp;P1114&amp;"-"&amp;Q1114</f>
        <v>CURVY KATE-CURVY KATE SMOOTHIE SPACER MOULDED T-SHIRT PLUNGE BRA-CK072104-BLK-36-HH</v>
      </c>
      <c r="W1114" s="1" t="s">
        <v>1525</v>
      </c>
    </row>
    <row r="1115" customFormat="false" ht="15" hidden="true" customHeight="false" outlineLevel="0" collapsed="false">
      <c r="B1115" s="125" t="s">
        <v>1571</v>
      </c>
      <c r="C1115" s="61" t="s">
        <v>1520</v>
      </c>
      <c r="D1115" s="61" t="s">
        <v>1520</v>
      </c>
      <c r="E1115" s="2" t="s">
        <v>1521</v>
      </c>
      <c r="F1115" s="14" t="s">
        <v>40</v>
      </c>
      <c r="G1115" s="108" t="s">
        <v>573</v>
      </c>
      <c r="H1115" s="3" t="s">
        <v>1424</v>
      </c>
      <c r="I1115" s="26" t="s">
        <v>43</v>
      </c>
      <c r="J1115" s="26"/>
      <c r="K1115" s="4" t="s">
        <v>1572</v>
      </c>
      <c r="M1115" s="1" t="s">
        <v>1523</v>
      </c>
      <c r="N1115" s="17" t="s">
        <v>465</v>
      </c>
      <c r="O1115" s="29" t="s">
        <v>1524</v>
      </c>
      <c r="P1115" s="17" t="s">
        <v>154</v>
      </c>
      <c r="Q1115" s="29" t="s">
        <v>50</v>
      </c>
      <c r="R1115" s="1" t="n">
        <v>3942</v>
      </c>
      <c r="S1115" s="1" t="n">
        <v>5700</v>
      </c>
      <c r="T1115" s="126" t="n">
        <v>1</v>
      </c>
      <c r="U1115" s="1" t="str">
        <f aca="false">D1115&amp;"-"&amp;E1115&amp;"-"&amp;M1115&amp;"-"&amp;O1115&amp;"-"&amp;P1115&amp;"-"&amp;Q1115</f>
        <v>CURVY KATE-CURVY KATE SMOOTHIE SPACER MOULDED T-SHIRT PLUNGE BRA-CK072104-LAT-38-F</v>
      </c>
      <c r="W1115" s="1" t="s">
        <v>1525</v>
      </c>
    </row>
    <row r="1116" customFormat="false" ht="15" hidden="true" customHeight="false" outlineLevel="0" collapsed="false">
      <c r="B1116" s="124" t="s">
        <v>1573</v>
      </c>
      <c r="C1116" s="61" t="s">
        <v>1520</v>
      </c>
      <c r="D1116" s="61" t="s">
        <v>1520</v>
      </c>
      <c r="E1116" s="2" t="s">
        <v>1521</v>
      </c>
      <c r="F1116" s="14" t="s">
        <v>40</v>
      </c>
      <c r="G1116" s="108" t="s">
        <v>573</v>
      </c>
      <c r="H1116" s="3" t="s">
        <v>1424</v>
      </c>
      <c r="I1116" s="26" t="s">
        <v>43</v>
      </c>
      <c r="J1116" s="26"/>
      <c r="K1116" s="4" t="s">
        <v>1574</v>
      </c>
      <c r="M1116" s="1" t="s">
        <v>1523</v>
      </c>
      <c r="N1116" s="17" t="s">
        <v>76</v>
      </c>
      <c r="O1116" s="17" t="s">
        <v>76</v>
      </c>
      <c r="P1116" s="17" t="s">
        <v>154</v>
      </c>
      <c r="Q1116" s="17" t="s">
        <v>50</v>
      </c>
      <c r="R1116" s="1" t="n">
        <v>3942</v>
      </c>
      <c r="S1116" s="1" t="n">
        <v>5700</v>
      </c>
      <c r="T1116" s="122" t="n">
        <v>1</v>
      </c>
      <c r="U1116" s="1" t="str">
        <f aca="false">D1116&amp;"-"&amp;E1116&amp;"-"&amp;M1116&amp;"-"&amp;O1116&amp;"-"&amp;P1116&amp;"-"&amp;Q1116</f>
        <v>CURVY KATE-CURVY KATE SMOOTHIE SPACER MOULDED T-SHIRT PLUNGE BRA-CK072104-BLK-38-F</v>
      </c>
      <c r="W1116" s="1" t="s">
        <v>1525</v>
      </c>
    </row>
    <row r="1117" customFormat="false" ht="15" hidden="true" customHeight="false" outlineLevel="0" collapsed="false">
      <c r="B1117" s="124" t="s">
        <v>1575</v>
      </c>
      <c r="C1117" s="61" t="s">
        <v>1520</v>
      </c>
      <c r="D1117" s="61" t="s">
        <v>1520</v>
      </c>
      <c r="E1117" s="2" t="s">
        <v>1521</v>
      </c>
      <c r="F1117" s="14" t="s">
        <v>40</v>
      </c>
      <c r="G1117" s="108" t="s">
        <v>573</v>
      </c>
      <c r="H1117" s="3" t="s">
        <v>1424</v>
      </c>
      <c r="I1117" s="26" t="s">
        <v>43</v>
      </c>
      <c r="J1117" s="26"/>
      <c r="K1117" s="4" t="s">
        <v>1576</v>
      </c>
      <c r="M1117" s="1" t="s">
        <v>1523</v>
      </c>
      <c r="N1117" s="17" t="s">
        <v>1524</v>
      </c>
      <c r="O1117" s="17" t="s">
        <v>465</v>
      </c>
      <c r="P1117" s="17" t="s">
        <v>154</v>
      </c>
      <c r="Q1117" s="17" t="s">
        <v>62</v>
      </c>
      <c r="R1117" s="1" t="n">
        <v>3942</v>
      </c>
      <c r="S1117" s="1" t="n">
        <v>5700</v>
      </c>
      <c r="T1117" s="122" t="n">
        <v>1</v>
      </c>
      <c r="U1117" s="1" t="str">
        <f aca="false">D1117&amp;"-"&amp;E1117&amp;"-"&amp;M1117&amp;"-"&amp;O1117&amp;"-"&amp;P1117&amp;"-"&amp;Q1117</f>
        <v>CURVY KATE-CURVY KATE SMOOTHIE SPACER MOULDED T-SHIRT PLUNGE BRA-CK072104-SKIN-38-FF</v>
      </c>
      <c r="W1117" s="1" t="s">
        <v>1525</v>
      </c>
    </row>
    <row r="1118" customFormat="false" ht="15" hidden="true" customHeight="false" outlineLevel="0" collapsed="false">
      <c r="B1118" s="125" t="s">
        <v>1577</v>
      </c>
      <c r="C1118" s="61" t="s">
        <v>1520</v>
      </c>
      <c r="D1118" s="61" t="s">
        <v>1520</v>
      </c>
      <c r="E1118" s="2" t="s">
        <v>1521</v>
      </c>
      <c r="F1118" s="14" t="s">
        <v>40</v>
      </c>
      <c r="G1118" s="108" t="s">
        <v>573</v>
      </c>
      <c r="H1118" s="3" t="s">
        <v>1424</v>
      </c>
      <c r="I1118" s="26" t="s">
        <v>43</v>
      </c>
      <c r="J1118" s="26"/>
      <c r="K1118" s="4" t="s">
        <v>1578</v>
      </c>
      <c r="M1118" s="1" t="s">
        <v>1523</v>
      </c>
      <c r="N1118" s="17" t="s">
        <v>76</v>
      </c>
      <c r="O1118" s="29" t="s">
        <v>76</v>
      </c>
      <c r="P1118" s="29" t="s">
        <v>154</v>
      </c>
      <c r="Q1118" s="29" t="s">
        <v>62</v>
      </c>
      <c r="R1118" s="1" t="n">
        <v>3942</v>
      </c>
      <c r="S1118" s="1" t="n">
        <v>5700</v>
      </c>
      <c r="T1118" s="126" t="n">
        <v>0</v>
      </c>
      <c r="U1118" s="1" t="str">
        <f aca="false">D1118&amp;"-"&amp;E1118&amp;"-"&amp;M1118&amp;"-"&amp;O1118&amp;"-"&amp;P1118&amp;"-"&amp;Q1118</f>
        <v>CURVY KATE-CURVY KATE SMOOTHIE SPACER MOULDED T-SHIRT PLUNGE BRA-CK072104-BLK-38-FF</v>
      </c>
      <c r="W1118" s="1" t="s">
        <v>1525</v>
      </c>
    </row>
    <row r="1119" customFormat="false" ht="15" hidden="true" customHeight="false" outlineLevel="0" collapsed="false">
      <c r="B1119" s="125" t="s">
        <v>1579</v>
      </c>
      <c r="C1119" s="61" t="s">
        <v>1520</v>
      </c>
      <c r="D1119" s="61" t="s">
        <v>1520</v>
      </c>
      <c r="E1119" s="2" t="s">
        <v>1521</v>
      </c>
      <c r="F1119" s="14" t="s">
        <v>40</v>
      </c>
      <c r="G1119" s="108" t="s">
        <v>573</v>
      </c>
      <c r="H1119" s="3" t="s">
        <v>1424</v>
      </c>
      <c r="I1119" s="26" t="s">
        <v>43</v>
      </c>
      <c r="J1119" s="26"/>
      <c r="K1119" s="4" t="s">
        <v>1580</v>
      </c>
      <c r="M1119" s="1" t="s">
        <v>1523</v>
      </c>
      <c r="N1119" s="17" t="s">
        <v>465</v>
      </c>
      <c r="O1119" s="29" t="s">
        <v>1524</v>
      </c>
      <c r="P1119" s="29" t="s">
        <v>154</v>
      </c>
      <c r="Q1119" s="29" t="s">
        <v>105</v>
      </c>
      <c r="R1119" s="1" t="n">
        <v>3942</v>
      </c>
      <c r="S1119" s="1" t="n">
        <v>5700</v>
      </c>
      <c r="T1119" s="126" t="n">
        <v>1</v>
      </c>
      <c r="U1119" s="1" t="str">
        <f aca="false">D1119&amp;"-"&amp;E1119&amp;"-"&amp;M1119&amp;"-"&amp;O1119&amp;"-"&amp;P1119&amp;"-"&amp;Q1119</f>
        <v>CURVY KATE-CURVY KATE SMOOTHIE SPACER MOULDED T-SHIRT PLUNGE BRA-CK072104-LAT-38-G</v>
      </c>
      <c r="W1119" s="1" t="s">
        <v>1525</v>
      </c>
    </row>
    <row r="1120" customFormat="false" ht="15" hidden="true" customHeight="false" outlineLevel="0" collapsed="false">
      <c r="B1120" s="124" t="s">
        <v>1581</v>
      </c>
      <c r="C1120" s="61" t="s">
        <v>1520</v>
      </c>
      <c r="D1120" s="61" t="s">
        <v>1520</v>
      </c>
      <c r="E1120" s="2" t="s">
        <v>1521</v>
      </c>
      <c r="F1120" s="14" t="s">
        <v>40</v>
      </c>
      <c r="G1120" s="108" t="s">
        <v>573</v>
      </c>
      <c r="H1120" s="3" t="s">
        <v>1424</v>
      </c>
      <c r="I1120" s="26" t="s">
        <v>43</v>
      </c>
      <c r="J1120" s="26"/>
      <c r="K1120" s="4" t="s">
        <v>1582</v>
      </c>
      <c r="M1120" s="1" t="s">
        <v>1523</v>
      </c>
      <c r="N1120" s="17" t="s">
        <v>76</v>
      </c>
      <c r="O1120" s="17" t="s">
        <v>76</v>
      </c>
      <c r="P1120" s="17" t="s">
        <v>154</v>
      </c>
      <c r="Q1120" s="17" t="s">
        <v>105</v>
      </c>
      <c r="R1120" s="1" t="n">
        <v>3942</v>
      </c>
      <c r="S1120" s="1" t="n">
        <v>5700</v>
      </c>
      <c r="T1120" s="122" t="n">
        <v>1</v>
      </c>
      <c r="U1120" s="1" t="str">
        <f aca="false">D1120&amp;"-"&amp;E1120&amp;"-"&amp;M1120&amp;"-"&amp;O1120&amp;"-"&amp;P1120&amp;"-"&amp;Q1120</f>
        <v>CURVY KATE-CURVY KATE SMOOTHIE SPACER MOULDED T-SHIRT PLUNGE BRA-CK072104-BLK-38-G</v>
      </c>
      <c r="W1120" s="1" t="s">
        <v>1525</v>
      </c>
    </row>
    <row r="1121" customFormat="false" ht="15" hidden="true" customHeight="false" outlineLevel="0" collapsed="false">
      <c r="B1121" s="124" t="s">
        <v>1583</v>
      </c>
      <c r="C1121" s="61" t="s">
        <v>1520</v>
      </c>
      <c r="D1121" s="61" t="s">
        <v>1520</v>
      </c>
      <c r="E1121" s="2" t="s">
        <v>1521</v>
      </c>
      <c r="F1121" s="14" t="s">
        <v>40</v>
      </c>
      <c r="G1121" s="108" t="s">
        <v>573</v>
      </c>
      <c r="H1121" s="3" t="s">
        <v>1424</v>
      </c>
      <c r="I1121" s="26" t="s">
        <v>43</v>
      </c>
      <c r="J1121" s="26"/>
      <c r="K1121" s="4" t="s">
        <v>1584</v>
      </c>
      <c r="M1121" s="1" t="s">
        <v>1523</v>
      </c>
      <c r="N1121" s="17" t="s">
        <v>465</v>
      </c>
      <c r="O1121" s="17" t="s">
        <v>1524</v>
      </c>
      <c r="P1121" s="17" t="s">
        <v>154</v>
      </c>
      <c r="Q1121" s="17" t="s">
        <v>129</v>
      </c>
      <c r="R1121" s="1" t="n">
        <v>3942</v>
      </c>
      <c r="S1121" s="1" t="n">
        <v>5700</v>
      </c>
      <c r="T1121" s="122" t="n">
        <v>1</v>
      </c>
      <c r="U1121" s="1" t="str">
        <f aca="false">D1121&amp;"-"&amp;E1121&amp;"-"&amp;M1121&amp;"-"&amp;O1121&amp;"-"&amp;P1121&amp;"-"&amp;Q1121</f>
        <v>CURVY KATE-CURVY KATE SMOOTHIE SPACER MOULDED T-SHIRT PLUNGE BRA-CK072104-LAT-38-GG</v>
      </c>
      <c r="W1121" s="1" t="s">
        <v>1525</v>
      </c>
    </row>
    <row r="1122" customFormat="false" ht="15" hidden="true" customHeight="false" outlineLevel="0" collapsed="false">
      <c r="B1122" s="125" t="s">
        <v>1585</v>
      </c>
      <c r="C1122" s="61" t="s">
        <v>1520</v>
      </c>
      <c r="D1122" s="61" t="s">
        <v>1520</v>
      </c>
      <c r="E1122" s="2" t="s">
        <v>1521</v>
      </c>
      <c r="F1122" s="14" t="s">
        <v>40</v>
      </c>
      <c r="G1122" s="108" t="s">
        <v>573</v>
      </c>
      <c r="H1122" s="3" t="s">
        <v>1424</v>
      </c>
      <c r="I1122" s="26" t="s">
        <v>43</v>
      </c>
      <c r="J1122" s="26"/>
      <c r="K1122" s="4" t="s">
        <v>1586</v>
      </c>
      <c r="M1122" s="1" t="s">
        <v>1523</v>
      </c>
      <c r="N1122" s="17" t="s">
        <v>76</v>
      </c>
      <c r="O1122" s="29" t="s">
        <v>76</v>
      </c>
      <c r="P1122" s="29" t="s">
        <v>154</v>
      </c>
      <c r="Q1122" s="29" t="s">
        <v>129</v>
      </c>
      <c r="R1122" s="1" t="n">
        <v>3942</v>
      </c>
      <c r="S1122" s="1" t="n">
        <v>5700</v>
      </c>
      <c r="T1122" s="126" t="n">
        <v>1</v>
      </c>
      <c r="U1122" s="1" t="str">
        <f aca="false">D1122&amp;"-"&amp;E1122&amp;"-"&amp;M1122&amp;"-"&amp;O1122&amp;"-"&amp;P1122&amp;"-"&amp;Q1122</f>
        <v>CURVY KATE-CURVY KATE SMOOTHIE SPACER MOULDED T-SHIRT PLUNGE BRA-CK072104-BLK-38-GG</v>
      </c>
      <c r="W1122" s="1" t="s">
        <v>1525</v>
      </c>
    </row>
    <row r="1123" customFormat="false" ht="15" hidden="true" customHeight="false" outlineLevel="0" collapsed="false">
      <c r="B1123" s="124" t="s">
        <v>1587</v>
      </c>
      <c r="C1123" s="61" t="s">
        <v>1520</v>
      </c>
      <c r="D1123" s="61" t="s">
        <v>1520</v>
      </c>
      <c r="E1123" s="2" t="s">
        <v>1521</v>
      </c>
      <c r="F1123" s="14" t="s">
        <v>40</v>
      </c>
      <c r="G1123" s="108" t="s">
        <v>573</v>
      </c>
      <c r="H1123" s="3" t="s">
        <v>1424</v>
      </c>
      <c r="I1123" s="26" t="s">
        <v>43</v>
      </c>
      <c r="J1123" s="26"/>
      <c r="K1123" s="4" t="s">
        <v>1588</v>
      </c>
      <c r="M1123" s="1" t="s">
        <v>1523</v>
      </c>
      <c r="N1123" s="17" t="s">
        <v>76</v>
      </c>
      <c r="O1123" s="17" t="s">
        <v>76</v>
      </c>
      <c r="P1123" s="17" t="s">
        <v>154</v>
      </c>
      <c r="Q1123" s="17" t="s">
        <v>143</v>
      </c>
      <c r="R1123" s="1" t="n">
        <v>3942</v>
      </c>
      <c r="S1123" s="1" t="n">
        <v>5700</v>
      </c>
      <c r="T1123" s="122" t="n">
        <v>1</v>
      </c>
      <c r="U1123" s="1" t="str">
        <f aca="false">D1123&amp;"-"&amp;E1123&amp;"-"&amp;M1123&amp;"-"&amp;O1123&amp;"-"&amp;P1123&amp;"-"&amp;Q1123</f>
        <v>CURVY KATE-CURVY KATE SMOOTHIE SPACER MOULDED T-SHIRT PLUNGE BRA-CK072104-BLK-38-H</v>
      </c>
      <c r="W1123" s="1" t="s">
        <v>1525</v>
      </c>
    </row>
    <row r="1124" customFormat="false" ht="15" hidden="true" customHeight="false" outlineLevel="0" collapsed="false">
      <c r="B1124" s="124" t="s">
        <v>1589</v>
      </c>
      <c r="C1124" s="61" t="s">
        <v>1520</v>
      </c>
      <c r="D1124" s="61" t="s">
        <v>1520</v>
      </c>
      <c r="E1124" s="2" t="s">
        <v>1521</v>
      </c>
      <c r="F1124" s="14" t="s">
        <v>40</v>
      </c>
      <c r="G1124" s="108" t="s">
        <v>573</v>
      </c>
      <c r="H1124" s="3" t="s">
        <v>1424</v>
      </c>
      <c r="I1124" s="26" t="s">
        <v>43</v>
      </c>
      <c r="J1124" s="26"/>
      <c r="K1124" s="4" t="s">
        <v>1590</v>
      </c>
      <c r="M1124" s="1" t="s">
        <v>1523</v>
      </c>
      <c r="N1124" s="17" t="s">
        <v>465</v>
      </c>
      <c r="O1124" s="17" t="s">
        <v>1524</v>
      </c>
      <c r="P1124" s="29" t="s">
        <v>417</v>
      </c>
      <c r="Q1124" s="29" t="s">
        <v>50</v>
      </c>
      <c r="R1124" s="1" t="n">
        <v>3942</v>
      </c>
      <c r="S1124" s="1" t="n">
        <v>5700</v>
      </c>
      <c r="T1124" s="122" t="n">
        <v>1</v>
      </c>
      <c r="U1124" s="1" t="str">
        <f aca="false">D1124&amp;"-"&amp;E1124&amp;"-"&amp;M1124&amp;"-"&amp;O1124&amp;"-"&amp;P1124&amp;"-"&amp;Q1124</f>
        <v>CURVY KATE-CURVY KATE SMOOTHIE SPACER MOULDED T-SHIRT PLUNGE BRA-CK072104-LAT-40-F</v>
      </c>
      <c r="W1124" s="1" t="s">
        <v>1525</v>
      </c>
    </row>
    <row r="1125" customFormat="false" ht="15" hidden="true" customHeight="false" outlineLevel="0" collapsed="false">
      <c r="B1125" s="125" t="s">
        <v>1591</v>
      </c>
      <c r="C1125" s="61" t="s">
        <v>1520</v>
      </c>
      <c r="D1125" s="61" t="s">
        <v>1520</v>
      </c>
      <c r="E1125" s="2" t="s">
        <v>1521</v>
      </c>
      <c r="F1125" s="14" t="s">
        <v>40</v>
      </c>
      <c r="G1125" s="108" t="s">
        <v>573</v>
      </c>
      <c r="H1125" s="3" t="s">
        <v>1424</v>
      </c>
      <c r="I1125" s="26" t="s">
        <v>43</v>
      </c>
      <c r="J1125" s="26"/>
      <c r="K1125" s="4" t="s">
        <v>1592</v>
      </c>
      <c r="M1125" s="1" t="s">
        <v>1523</v>
      </c>
      <c r="N1125" s="17" t="s">
        <v>76</v>
      </c>
      <c r="O1125" s="29" t="s">
        <v>76</v>
      </c>
      <c r="P1125" s="29" t="s">
        <v>417</v>
      </c>
      <c r="Q1125" s="29" t="s">
        <v>50</v>
      </c>
      <c r="R1125" s="1" t="n">
        <v>3942</v>
      </c>
      <c r="S1125" s="1" t="n">
        <v>5700</v>
      </c>
      <c r="T1125" s="126" t="n">
        <v>2</v>
      </c>
      <c r="U1125" s="1" t="str">
        <f aca="false">D1125&amp;"-"&amp;E1125&amp;"-"&amp;M1125&amp;"-"&amp;O1125&amp;"-"&amp;P1125&amp;"-"&amp;Q1125</f>
        <v>CURVY KATE-CURVY KATE SMOOTHIE SPACER MOULDED T-SHIRT PLUNGE BRA-CK072104-BLK-40-F</v>
      </c>
      <c r="W1125" s="1" t="s">
        <v>1525</v>
      </c>
    </row>
    <row r="1126" customFormat="false" ht="15" hidden="true" customHeight="false" outlineLevel="0" collapsed="false">
      <c r="B1126" s="125" t="s">
        <v>1593</v>
      </c>
      <c r="C1126" s="61" t="s">
        <v>1520</v>
      </c>
      <c r="D1126" s="61" t="s">
        <v>1520</v>
      </c>
      <c r="E1126" s="2" t="s">
        <v>1521</v>
      </c>
      <c r="F1126" s="14" t="s">
        <v>40</v>
      </c>
      <c r="G1126" s="108" t="s">
        <v>573</v>
      </c>
      <c r="H1126" s="3" t="s">
        <v>1424</v>
      </c>
      <c r="I1126" s="26" t="s">
        <v>43</v>
      </c>
      <c r="J1126" s="26"/>
      <c r="K1126" s="4" t="s">
        <v>1594</v>
      </c>
      <c r="M1126" s="1" t="s">
        <v>1523</v>
      </c>
      <c r="N1126" s="17" t="s">
        <v>465</v>
      </c>
      <c r="O1126" s="29" t="s">
        <v>1524</v>
      </c>
      <c r="P1126" s="17" t="s">
        <v>417</v>
      </c>
      <c r="Q1126" s="17" t="s">
        <v>62</v>
      </c>
      <c r="R1126" s="1" t="n">
        <v>3942</v>
      </c>
      <c r="S1126" s="1" t="n">
        <v>5700</v>
      </c>
      <c r="T1126" s="126" t="n">
        <v>1</v>
      </c>
      <c r="U1126" s="1" t="str">
        <f aca="false">D1126&amp;"-"&amp;E1126&amp;"-"&amp;M1126&amp;"-"&amp;O1126&amp;"-"&amp;P1126&amp;"-"&amp;Q1126</f>
        <v>CURVY KATE-CURVY KATE SMOOTHIE SPACER MOULDED T-SHIRT PLUNGE BRA-CK072104-LAT-40-FF</v>
      </c>
      <c r="W1126" s="1" t="s">
        <v>1525</v>
      </c>
    </row>
    <row r="1127" customFormat="false" ht="15" hidden="true" customHeight="false" outlineLevel="0" collapsed="false">
      <c r="B1127" s="124" t="s">
        <v>1595</v>
      </c>
      <c r="C1127" s="61" t="s">
        <v>1520</v>
      </c>
      <c r="D1127" s="61" t="s">
        <v>1520</v>
      </c>
      <c r="E1127" s="2" t="s">
        <v>1521</v>
      </c>
      <c r="F1127" s="14" t="s">
        <v>40</v>
      </c>
      <c r="G1127" s="108" t="s">
        <v>573</v>
      </c>
      <c r="H1127" s="3" t="s">
        <v>1424</v>
      </c>
      <c r="I1127" s="26" t="s">
        <v>43</v>
      </c>
      <c r="J1127" s="26"/>
      <c r="K1127" s="4" t="s">
        <v>1596</v>
      </c>
      <c r="M1127" s="1" t="s">
        <v>1523</v>
      </c>
      <c r="N1127" s="17" t="s">
        <v>76</v>
      </c>
      <c r="O1127" s="17" t="s">
        <v>76</v>
      </c>
      <c r="P1127" s="17" t="s">
        <v>417</v>
      </c>
      <c r="Q1127" s="17" t="s">
        <v>62</v>
      </c>
      <c r="R1127" s="1" t="n">
        <v>3942</v>
      </c>
      <c r="S1127" s="1" t="n">
        <v>5700</v>
      </c>
      <c r="T1127" s="122" t="n">
        <v>1</v>
      </c>
      <c r="U1127" s="1" t="str">
        <f aca="false">D1127&amp;"-"&amp;E1127&amp;"-"&amp;M1127&amp;"-"&amp;O1127&amp;"-"&amp;P1127&amp;"-"&amp;Q1127</f>
        <v>CURVY KATE-CURVY KATE SMOOTHIE SPACER MOULDED T-SHIRT PLUNGE BRA-CK072104-BLK-40-FF</v>
      </c>
      <c r="W1127" s="1" t="s">
        <v>1525</v>
      </c>
    </row>
    <row r="1128" customFormat="false" ht="15" hidden="true" customHeight="false" outlineLevel="0" collapsed="false">
      <c r="B1128" s="124" t="s">
        <v>1597</v>
      </c>
      <c r="C1128" s="61" t="s">
        <v>1520</v>
      </c>
      <c r="D1128" s="61" t="s">
        <v>1520</v>
      </c>
      <c r="E1128" s="2" t="s">
        <v>1521</v>
      </c>
      <c r="F1128" s="14" t="s">
        <v>40</v>
      </c>
      <c r="G1128" s="108" t="s">
        <v>573</v>
      </c>
      <c r="H1128" s="3" t="s">
        <v>1424</v>
      </c>
      <c r="I1128" s="26" t="s">
        <v>43</v>
      </c>
      <c r="J1128" s="26"/>
      <c r="K1128" s="4" t="s">
        <v>1598</v>
      </c>
      <c r="M1128" s="1" t="s">
        <v>1523</v>
      </c>
      <c r="N1128" s="17" t="s">
        <v>465</v>
      </c>
      <c r="O1128" s="17" t="s">
        <v>1524</v>
      </c>
      <c r="P1128" s="29" t="s">
        <v>417</v>
      </c>
      <c r="Q1128" s="29" t="s">
        <v>105</v>
      </c>
      <c r="R1128" s="1" t="n">
        <v>3942</v>
      </c>
      <c r="S1128" s="1" t="n">
        <v>5700</v>
      </c>
      <c r="T1128" s="122" t="n">
        <v>1</v>
      </c>
      <c r="U1128" s="1" t="str">
        <f aca="false">D1128&amp;"-"&amp;E1128&amp;"-"&amp;M1128&amp;"-"&amp;O1128&amp;"-"&amp;P1128&amp;"-"&amp;Q1128</f>
        <v>CURVY KATE-CURVY KATE SMOOTHIE SPACER MOULDED T-SHIRT PLUNGE BRA-CK072104-LAT-40-G</v>
      </c>
      <c r="W1128" s="1" t="s">
        <v>1525</v>
      </c>
    </row>
    <row r="1129" customFormat="false" ht="15" hidden="true" customHeight="false" outlineLevel="0" collapsed="false">
      <c r="B1129" s="125" t="s">
        <v>1599</v>
      </c>
      <c r="C1129" s="61" t="s">
        <v>1520</v>
      </c>
      <c r="D1129" s="61" t="s">
        <v>1520</v>
      </c>
      <c r="E1129" s="2" t="s">
        <v>1521</v>
      </c>
      <c r="F1129" s="14" t="s">
        <v>40</v>
      </c>
      <c r="G1129" s="108" t="s">
        <v>573</v>
      </c>
      <c r="H1129" s="3" t="s">
        <v>1424</v>
      </c>
      <c r="I1129" s="26" t="s">
        <v>43</v>
      </c>
      <c r="J1129" s="26"/>
      <c r="K1129" s="4" t="s">
        <v>1600</v>
      </c>
      <c r="M1129" s="1" t="s">
        <v>1523</v>
      </c>
      <c r="N1129" s="17" t="s">
        <v>76</v>
      </c>
      <c r="O1129" s="29" t="s">
        <v>76</v>
      </c>
      <c r="P1129" s="29" t="s">
        <v>417</v>
      </c>
      <c r="Q1129" s="29" t="s">
        <v>105</v>
      </c>
      <c r="R1129" s="1" t="n">
        <v>3942</v>
      </c>
      <c r="S1129" s="1" t="n">
        <v>5700</v>
      </c>
      <c r="T1129" s="126" t="n">
        <v>1</v>
      </c>
      <c r="U1129" s="1" t="str">
        <f aca="false">D1129&amp;"-"&amp;E1129&amp;"-"&amp;M1129&amp;"-"&amp;O1129&amp;"-"&amp;P1129&amp;"-"&amp;Q1129</f>
        <v>CURVY KATE-CURVY KATE SMOOTHIE SPACER MOULDED T-SHIRT PLUNGE BRA-CK072104-BLK-40-G</v>
      </c>
      <c r="W1129" s="1" t="s">
        <v>1525</v>
      </c>
    </row>
    <row r="1130" customFormat="false" ht="15" hidden="true" customHeight="false" outlineLevel="0" collapsed="false">
      <c r="B1130" s="125" t="s">
        <v>1601</v>
      </c>
      <c r="C1130" s="61" t="s">
        <v>1520</v>
      </c>
      <c r="D1130" s="61" t="s">
        <v>1520</v>
      </c>
      <c r="E1130" s="2" t="s">
        <v>1521</v>
      </c>
      <c r="F1130" s="14" t="s">
        <v>40</v>
      </c>
      <c r="G1130" s="108" t="s">
        <v>573</v>
      </c>
      <c r="H1130" s="3" t="s">
        <v>1424</v>
      </c>
      <c r="I1130" s="26" t="s">
        <v>43</v>
      </c>
      <c r="J1130" s="26"/>
      <c r="K1130" s="4" t="s">
        <v>1602</v>
      </c>
      <c r="M1130" s="1" t="s">
        <v>1523</v>
      </c>
      <c r="N1130" s="17" t="s">
        <v>465</v>
      </c>
      <c r="O1130" s="29" t="s">
        <v>1524</v>
      </c>
      <c r="P1130" s="29" t="s">
        <v>440</v>
      </c>
      <c r="Q1130" s="29" t="s">
        <v>50</v>
      </c>
      <c r="R1130" s="1" t="n">
        <v>3942</v>
      </c>
      <c r="S1130" s="1" t="n">
        <v>5700</v>
      </c>
      <c r="T1130" s="126" t="n">
        <v>2</v>
      </c>
      <c r="U1130" s="1" t="str">
        <f aca="false">D1130&amp;"-"&amp;E1130&amp;"-"&amp;M1130&amp;"-"&amp;O1130&amp;"-"&amp;P1130&amp;"-"&amp;Q1130</f>
        <v>CURVY KATE-CURVY KATE SMOOTHIE SPACER MOULDED T-SHIRT PLUNGE BRA-CK072104-LAT-42-F</v>
      </c>
      <c r="W1130" s="1" t="s">
        <v>1525</v>
      </c>
    </row>
    <row r="1131" customFormat="false" ht="15" hidden="true" customHeight="false" outlineLevel="0" collapsed="false">
      <c r="B1131" s="124" t="s">
        <v>1603</v>
      </c>
      <c r="C1131" s="61" t="s">
        <v>1520</v>
      </c>
      <c r="D1131" s="61" t="s">
        <v>1520</v>
      </c>
      <c r="E1131" s="2" t="s">
        <v>1521</v>
      </c>
      <c r="F1131" s="14" t="s">
        <v>40</v>
      </c>
      <c r="G1131" s="108" t="s">
        <v>573</v>
      </c>
      <c r="H1131" s="3" t="s">
        <v>1424</v>
      </c>
      <c r="I1131" s="26" t="s">
        <v>43</v>
      </c>
      <c r="J1131" s="26"/>
      <c r="K1131" s="4" t="s">
        <v>1604</v>
      </c>
      <c r="M1131" s="1" t="s">
        <v>1523</v>
      </c>
      <c r="N1131" s="17" t="s">
        <v>76</v>
      </c>
      <c r="O1131" s="17" t="s">
        <v>76</v>
      </c>
      <c r="P1131" s="17" t="s">
        <v>440</v>
      </c>
      <c r="Q1131" s="17" t="s">
        <v>62</v>
      </c>
      <c r="R1131" s="1" t="n">
        <v>3942</v>
      </c>
      <c r="S1131" s="1" t="n">
        <v>5700</v>
      </c>
      <c r="T1131" s="122" t="n">
        <v>0</v>
      </c>
      <c r="U1131" s="1" t="str">
        <f aca="false">D1131&amp;"-"&amp;E1131&amp;"-"&amp;M1131&amp;"-"&amp;O1131&amp;"-"&amp;P1131&amp;"-"&amp;Q1131</f>
        <v>CURVY KATE-CURVY KATE SMOOTHIE SPACER MOULDED T-SHIRT PLUNGE BRA-CK072104-BLK-42-FF</v>
      </c>
      <c r="W1131" s="1" t="s">
        <v>1525</v>
      </c>
    </row>
    <row r="1132" customFormat="false" ht="16.4" hidden="true" customHeight="false" outlineLevel="0" collapsed="false">
      <c r="B1132" s="123" t="n">
        <v>5052574924768</v>
      </c>
      <c r="C1132" s="61" t="s">
        <v>1520</v>
      </c>
      <c r="D1132" s="61" t="s">
        <v>1520</v>
      </c>
      <c r="E1132" s="2" t="s">
        <v>1521</v>
      </c>
      <c r="F1132" s="14" t="s">
        <v>40</v>
      </c>
      <c r="G1132" s="108" t="s">
        <v>573</v>
      </c>
      <c r="H1132" s="3" t="s">
        <v>1424</v>
      </c>
      <c r="I1132" s="26" t="s">
        <v>43</v>
      </c>
      <c r="J1132" s="26"/>
      <c r="K1132" s="4" t="s">
        <v>1605</v>
      </c>
      <c r="M1132" s="1" t="s">
        <v>1523</v>
      </c>
      <c r="N1132" s="17" t="s">
        <v>465</v>
      </c>
      <c r="O1132" s="17" t="s">
        <v>1524</v>
      </c>
      <c r="P1132" s="2" t="n">
        <v>44</v>
      </c>
      <c r="Q1132" s="29" t="s">
        <v>50</v>
      </c>
      <c r="R1132" s="1" t="n">
        <v>3942</v>
      </c>
      <c r="S1132" s="1" t="n">
        <v>5700</v>
      </c>
      <c r="T1132" s="122" t="n">
        <v>1</v>
      </c>
      <c r="U1132" s="1" t="str">
        <f aca="false">D1132&amp;"-"&amp;E1132&amp;"-"&amp;M1132&amp;"-"&amp;O1132&amp;"-"&amp;P1132&amp;"-"&amp;Q1132</f>
        <v>CURVY KATE-CURVY KATE SMOOTHIE SPACER MOULDED T-SHIRT PLUNGE BRA-CK072104-LAT-44-F</v>
      </c>
      <c r="W1132" s="1" t="s">
        <v>1525</v>
      </c>
    </row>
    <row r="1133" customFormat="false" ht="16.5" hidden="true" customHeight="true" outlineLevel="0" collapsed="false">
      <c r="B1133" s="123" t="n">
        <v>5052574924775</v>
      </c>
      <c r="C1133" s="61" t="s">
        <v>1520</v>
      </c>
      <c r="D1133" s="61" t="s">
        <v>1520</v>
      </c>
      <c r="E1133" s="2" t="s">
        <v>1521</v>
      </c>
      <c r="F1133" s="14" t="s">
        <v>40</v>
      </c>
      <c r="G1133" s="108" t="s">
        <v>573</v>
      </c>
      <c r="H1133" s="3" t="s">
        <v>1424</v>
      </c>
      <c r="I1133" s="26" t="s">
        <v>43</v>
      </c>
      <c r="J1133" s="26"/>
      <c r="K1133" s="4" t="s">
        <v>1606</v>
      </c>
      <c r="M1133" s="1" t="s">
        <v>1523</v>
      </c>
      <c r="N1133" s="17" t="s">
        <v>465</v>
      </c>
      <c r="O1133" s="17" t="s">
        <v>1524</v>
      </c>
      <c r="P1133" s="2" t="n">
        <v>44</v>
      </c>
      <c r="Q1133" s="29" t="s">
        <v>62</v>
      </c>
      <c r="R1133" s="1" t="n">
        <v>3942</v>
      </c>
      <c r="S1133" s="1" t="n">
        <v>5700</v>
      </c>
      <c r="T1133" s="122" t="n">
        <v>1</v>
      </c>
      <c r="U1133" s="1" t="str">
        <f aca="false">D1133&amp;"-"&amp;E1133&amp;"-"&amp;M1133&amp;"-"&amp;O1133&amp;"-"&amp;P1133&amp;"-"&amp;Q1133</f>
        <v>CURVY KATE-CURVY KATE SMOOTHIE SPACER MOULDED T-SHIRT PLUNGE BRA-CK072104-LAT-44-FF</v>
      </c>
      <c r="W1133" s="1" t="s">
        <v>1525</v>
      </c>
    </row>
    <row r="1134" customFormat="false" ht="16.4" hidden="true" customHeight="false" outlineLevel="0" collapsed="false">
      <c r="B1134" s="127" t="s">
        <v>1607</v>
      </c>
      <c r="C1134" s="61" t="s">
        <v>1520</v>
      </c>
      <c r="D1134" s="61" t="s">
        <v>1520</v>
      </c>
      <c r="E1134" s="2" t="s">
        <v>1608</v>
      </c>
      <c r="F1134" s="3" t="s">
        <v>1609</v>
      </c>
      <c r="G1134" s="108" t="s">
        <v>573</v>
      </c>
      <c r="H1134" s="3" t="s">
        <v>1424</v>
      </c>
      <c r="K1134" s="4" t="s">
        <v>1610</v>
      </c>
      <c r="M1134" s="25" t="s">
        <v>1611</v>
      </c>
      <c r="N1134" s="17" t="s">
        <v>1612</v>
      </c>
      <c r="O1134" s="25" t="s">
        <v>76</v>
      </c>
      <c r="P1134" s="25" t="s">
        <v>134</v>
      </c>
      <c r="Q1134" s="25" t="s">
        <v>105</v>
      </c>
      <c r="R1134" s="128" t="n">
        <v>2394.72</v>
      </c>
      <c r="S1134" s="128" t="n">
        <v>7399</v>
      </c>
      <c r="T1134" s="122" t="n">
        <v>1</v>
      </c>
      <c r="U1134" s="1" t="str">
        <f aca="false">D1134&amp;"-"&amp;E1134&amp;"-"&amp;M1134&amp;"-"&amp;O1134&amp;"-"&amp;P1134&amp;"-"&amp;Q1134</f>
        <v>CURVY KATE-WRAPSODYBANDEAU SWIMSUIT-CS005600-BLK-34-G</v>
      </c>
    </row>
    <row r="1135" customFormat="false" ht="16.4" hidden="true" customHeight="false" outlineLevel="0" collapsed="false">
      <c r="B1135" s="129" t="s">
        <v>1613</v>
      </c>
      <c r="C1135" s="61" t="s">
        <v>1520</v>
      </c>
      <c r="D1135" s="61" t="s">
        <v>1520</v>
      </c>
      <c r="E1135" s="2" t="s">
        <v>1608</v>
      </c>
      <c r="F1135" s="3" t="s">
        <v>1609</v>
      </c>
      <c r="G1135" s="108" t="s">
        <v>573</v>
      </c>
      <c r="H1135" s="3" t="s">
        <v>1424</v>
      </c>
      <c r="K1135" s="4" t="s">
        <v>1614</v>
      </c>
      <c r="M1135" s="25" t="s">
        <v>1611</v>
      </c>
      <c r="N1135" s="17" t="s">
        <v>76</v>
      </c>
      <c r="O1135" s="61" t="s">
        <v>76</v>
      </c>
      <c r="P1135" s="61" t="s">
        <v>65</v>
      </c>
      <c r="Q1135" s="61" t="s">
        <v>66</v>
      </c>
      <c r="R1135" s="128" t="n">
        <v>2394.72</v>
      </c>
      <c r="S1135" s="128" t="n">
        <v>7399</v>
      </c>
      <c r="T1135" s="122" t="n">
        <v>1</v>
      </c>
      <c r="U1135" s="1" t="str">
        <f aca="false">D1135&amp;"-"&amp;E1135&amp;"-"&amp;M1135&amp;"-"&amp;O1135&amp;"-"&amp;P1135&amp;"-"&amp;Q1135</f>
        <v>CURVY KATE-WRAPSODYBANDEAU SWIMSUIT-CS005600-BLK-36-E</v>
      </c>
    </row>
    <row r="1136" customFormat="false" ht="16.4" hidden="true" customHeight="false" outlineLevel="0" collapsed="false">
      <c r="B1136" s="127" t="s">
        <v>1615</v>
      </c>
      <c r="C1136" s="61" t="s">
        <v>1520</v>
      </c>
      <c r="D1136" s="61" t="s">
        <v>1520</v>
      </c>
      <c r="E1136" s="2" t="s">
        <v>1608</v>
      </c>
      <c r="F1136" s="3" t="s">
        <v>1609</v>
      </c>
      <c r="G1136" s="108" t="s">
        <v>573</v>
      </c>
      <c r="H1136" s="3" t="s">
        <v>1424</v>
      </c>
      <c r="K1136" s="4" t="s">
        <v>1616</v>
      </c>
      <c r="M1136" s="25" t="s">
        <v>1611</v>
      </c>
      <c r="N1136" s="20" t="s">
        <v>1617</v>
      </c>
      <c r="O1136" s="25" t="s">
        <v>1618</v>
      </c>
      <c r="P1136" s="25" t="s">
        <v>134</v>
      </c>
      <c r="Q1136" s="25" t="s">
        <v>50</v>
      </c>
      <c r="R1136" s="128" t="n">
        <v>2394.72</v>
      </c>
      <c r="S1136" s="128" t="n">
        <v>7399</v>
      </c>
      <c r="T1136" s="122" t="n">
        <v>1</v>
      </c>
      <c r="U1136" s="1" t="str">
        <f aca="false">D1136&amp;"-"&amp;E1136&amp;"-"&amp;M1136&amp;"-"&amp;O1136&amp;"-"&amp;P1136&amp;"-"&amp;Q1136</f>
        <v>CURVY KATE-WRAPSODYBANDEAU SWIMSUIT-CS005600-OYS-34-F</v>
      </c>
    </row>
    <row r="1137" customFormat="false" ht="16.4" hidden="true" customHeight="false" outlineLevel="0" collapsed="false">
      <c r="B1137" s="129" t="s">
        <v>1619</v>
      </c>
      <c r="C1137" s="61" t="s">
        <v>1520</v>
      </c>
      <c r="D1137" s="61" t="s">
        <v>1520</v>
      </c>
      <c r="E1137" s="2" t="s">
        <v>1608</v>
      </c>
      <c r="F1137" s="3" t="s">
        <v>1609</v>
      </c>
      <c r="G1137" s="108" t="s">
        <v>573</v>
      </c>
      <c r="H1137" s="3" t="s">
        <v>1424</v>
      </c>
      <c r="K1137" s="4" t="s">
        <v>1620</v>
      </c>
      <c r="M1137" s="25" t="s">
        <v>1611</v>
      </c>
      <c r="N1137" s="20" t="s">
        <v>1617</v>
      </c>
      <c r="O1137" s="61" t="s">
        <v>1618</v>
      </c>
      <c r="P1137" s="61" t="s">
        <v>134</v>
      </c>
      <c r="Q1137" s="61" t="s">
        <v>62</v>
      </c>
      <c r="R1137" s="128" t="n">
        <v>2394.72</v>
      </c>
      <c r="S1137" s="128" t="n">
        <v>7399</v>
      </c>
      <c r="T1137" s="122" t="n">
        <v>1</v>
      </c>
      <c r="U1137" s="1" t="str">
        <f aca="false">D1137&amp;"-"&amp;E1137&amp;"-"&amp;M1137&amp;"-"&amp;O1137&amp;"-"&amp;P1137&amp;"-"&amp;Q1137</f>
        <v>CURVY KATE-WRAPSODYBANDEAU SWIMSUIT-CS005600-OYS-34-FF</v>
      </c>
    </row>
    <row r="1138" customFormat="false" ht="16.4" hidden="true" customHeight="false" outlineLevel="0" collapsed="false">
      <c r="B1138" s="127" t="s">
        <v>1621</v>
      </c>
      <c r="C1138" s="61" t="s">
        <v>1520</v>
      </c>
      <c r="D1138" s="61" t="s">
        <v>1520</v>
      </c>
      <c r="E1138" s="2" t="s">
        <v>1608</v>
      </c>
      <c r="F1138" s="3" t="s">
        <v>1609</v>
      </c>
      <c r="G1138" s="108" t="s">
        <v>573</v>
      </c>
      <c r="H1138" s="3" t="s">
        <v>1424</v>
      </c>
      <c r="K1138" s="4" t="s">
        <v>1622</v>
      </c>
      <c r="M1138" s="25" t="s">
        <v>1611</v>
      </c>
      <c r="N1138" s="20" t="s">
        <v>1617</v>
      </c>
      <c r="O1138" s="25" t="s">
        <v>1618</v>
      </c>
      <c r="P1138" s="25" t="s">
        <v>134</v>
      </c>
      <c r="Q1138" s="25" t="s">
        <v>105</v>
      </c>
      <c r="R1138" s="128" t="n">
        <v>2394.72</v>
      </c>
      <c r="S1138" s="128" t="n">
        <v>7399</v>
      </c>
      <c r="T1138" s="122" t="n">
        <v>1</v>
      </c>
      <c r="U1138" s="1" t="str">
        <f aca="false">D1138&amp;"-"&amp;E1138&amp;"-"&amp;M1138&amp;"-"&amp;O1138&amp;"-"&amp;P1138&amp;"-"&amp;Q1138</f>
        <v>CURVY KATE-WRAPSODYBANDEAU SWIMSUIT-CS005600-OYS-34-G</v>
      </c>
    </row>
    <row r="1139" customFormat="false" ht="16.4" hidden="true" customHeight="false" outlineLevel="0" collapsed="false">
      <c r="B1139" s="129" t="s">
        <v>1623</v>
      </c>
      <c r="C1139" s="61" t="s">
        <v>1520</v>
      </c>
      <c r="D1139" s="61" t="s">
        <v>1520</v>
      </c>
      <c r="E1139" s="2" t="s">
        <v>1608</v>
      </c>
      <c r="F1139" s="3" t="s">
        <v>1609</v>
      </c>
      <c r="G1139" s="108" t="s">
        <v>573</v>
      </c>
      <c r="H1139" s="3" t="s">
        <v>1424</v>
      </c>
      <c r="K1139" s="4" t="s">
        <v>1624</v>
      </c>
      <c r="M1139" s="25" t="s">
        <v>1611</v>
      </c>
      <c r="N1139" s="20" t="s">
        <v>1617</v>
      </c>
      <c r="O1139" s="61" t="s">
        <v>1618</v>
      </c>
      <c r="P1139" s="61" t="s">
        <v>65</v>
      </c>
      <c r="Q1139" s="61" t="s">
        <v>66</v>
      </c>
      <c r="R1139" s="128" t="n">
        <v>2394.72</v>
      </c>
      <c r="S1139" s="128" t="n">
        <v>7399</v>
      </c>
      <c r="T1139" s="122" t="n">
        <v>1</v>
      </c>
      <c r="U1139" s="1" t="str">
        <f aca="false">D1139&amp;"-"&amp;E1139&amp;"-"&amp;M1139&amp;"-"&amp;O1139&amp;"-"&amp;P1139&amp;"-"&amp;Q1139</f>
        <v>CURVY KATE-WRAPSODYBANDEAU SWIMSUIT-CS005600-OYS-36-E</v>
      </c>
    </row>
    <row r="1140" customFormat="false" ht="16.4" hidden="true" customHeight="false" outlineLevel="0" collapsed="false">
      <c r="B1140" s="127" t="s">
        <v>1625</v>
      </c>
      <c r="C1140" s="61" t="s">
        <v>1520</v>
      </c>
      <c r="D1140" s="61" t="s">
        <v>1520</v>
      </c>
      <c r="E1140" s="2" t="s">
        <v>1608</v>
      </c>
      <c r="F1140" s="3" t="s">
        <v>1609</v>
      </c>
      <c r="G1140" s="108" t="s">
        <v>573</v>
      </c>
      <c r="H1140" s="3" t="s">
        <v>1424</v>
      </c>
      <c r="K1140" s="4" t="s">
        <v>1626</v>
      </c>
      <c r="M1140" s="25" t="s">
        <v>1611</v>
      </c>
      <c r="N1140" s="20" t="s">
        <v>1617</v>
      </c>
      <c r="O1140" s="25" t="s">
        <v>1618</v>
      </c>
      <c r="P1140" s="25" t="s">
        <v>65</v>
      </c>
      <c r="Q1140" s="25" t="s">
        <v>50</v>
      </c>
      <c r="R1140" s="128" t="n">
        <v>2394.72</v>
      </c>
      <c r="S1140" s="128" t="n">
        <v>7399</v>
      </c>
      <c r="T1140" s="122" t="n">
        <v>1</v>
      </c>
      <c r="U1140" s="1" t="str">
        <f aca="false">D1140&amp;"-"&amp;E1140&amp;"-"&amp;M1140&amp;"-"&amp;O1140&amp;"-"&amp;P1140&amp;"-"&amp;Q1140</f>
        <v>CURVY KATE-WRAPSODYBANDEAU SWIMSUIT-CS005600-OYS-36-F</v>
      </c>
    </row>
    <row r="1141" customFormat="false" ht="16.4" hidden="true" customHeight="false" outlineLevel="0" collapsed="false">
      <c r="B1141" s="129" t="s">
        <v>1627</v>
      </c>
      <c r="C1141" s="61" t="s">
        <v>1520</v>
      </c>
      <c r="D1141" s="61" t="s">
        <v>1520</v>
      </c>
      <c r="E1141" s="2" t="s">
        <v>1608</v>
      </c>
      <c r="F1141" s="3" t="s">
        <v>1609</v>
      </c>
      <c r="G1141" s="108" t="s">
        <v>573</v>
      </c>
      <c r="H1141" s="3" t="s">
        <v>1424</v>
      </c>
      <c r="K1141" s="4" t="s">
        <v>1628</v>
      </c>
      <c r="M1141" s="25" t="s">
        <v>1611</v>
      </c>
      <c r="N1141" s="20" t="s">
        <v>1617</v>
      </c>
      <c r="O1141" s="61" t="s">
        <v>1618</v>
      </c>
      <c r="P1141" s="61" t="s">
        <v>65</v>
      </c>
      <c r="Q1141" s="61" t="s">
        <v>62</v>
      </c>
      <c r="R1141" s="128" t="n">
        <v>2394.72</v>
      </c>
      <c r="S1141" s="128" t="n">
        <v>7399</v>
      </c>
      <c r="T1141" s="122" t="n">
        <v>1</v>
      </c>
      <c r="U1141" s="1" t="str">
        <f aca="false">D1141&amp;"-"&amp;E1141&amp;"-"&amp;M1141&amp;"-"&amp;O1141&amp;"-"&amp;P1141&amp;"-"&amp;Q1141</f>
        <v>CURVY KATE-WRAPSODYBANDEAU SWIMSUIT-CS005600-OYS-36-FF</v>
      </c>
    </row>
    <row r="1142" customFormat="false" ht="16.4" hidden="true" customHeight="false" outlineLevel="0" collapsed="false">
      <c r="B1142" s="127" t="s">
        <v>1629</v>
      </c>
      <c r="C1142" s="61" t="s">
        <v>1520</v>
      </c>
      <c r="D1142" s="61" t="s">
        <v>1520</v>
      </c>
      <c r="E1142" s="2" t="s">
        <v>1608</v>
      </c>
      <c r="F1142" s="3" t="s">
        <v>1609</v>
      </c>
      <c r="G1142" s="108" t="s">
        <v>573</v>
      </c>
      <c r="H1142" s="3" t="s">
        <v>1424</v>
      </c>
      <c r="K1142" s="4" t="s">
        <v>1630</v>
      </c>
      <c r="M1142" s="25" t="s">
        <v>1611</v>
      </c>
      <c r="N1142" s="20" t="s">
        <v>1617</v>
      </c>
      <c r="O1142" s="25" t="s">
        <v>1618</v>
      </c>
      <c r="P1142" s="25" t="s">
        <v>65</v>
      </c>
      <c r="Q1142" s="25" t="s">
        <v>105</v>
      </c>
      <c r="R1142" s="128" t="n">
        <v>2394.72</v>
      </c>
      <c r="S1142" s="128" t="n">
        <v>7399</v>
      </c>
      <c r="T1142" s="122" t="n">
        <v>1</v>
      </c>
      <c r="U1142" s="1" t="str">
        <f aca="false">D1142&amp;"-"&amp;E1142&amp;"-"&amp;M1142&amp;"-"&amp;O1142&amp;"-"&amp;P1142&amp;"-"&amp;Q1142</f>
        <v>CURVY KATE-WRAPSODYBANDEAU SWIMSUIT-CS005600-OYS-36-G</v>
      </c>
    </row>
    <row r="1143" customFormat="false" ht="16.4" hidden="true" customHeight="false" outlineLevel="0" collapsed="false">
      <c r="B1143" s="129" t="s">
        <v>1631</v>
      </c>
      <c r="C1143" s="61" t="s">
        <v>1520</v>
      </c>
      <c r="D1143" s="61" t="s">
        <v>1520</v>
      </c>
      <c r="E1143" s="2" t="s">
        <v>1608</v>
      </c>
      <c r="F1143" s="3" t="s">
        <v>1609</v>
      </c>
      <c r="G1143" s="108" t="s">
        <v>573</v>
      </c>
      <c r="H1143" s="3" t="s">
        <v>1424</v>
      </c>
      <c r="K1143" s="4" t="s">
        <v>1632</v>
      </c>
      <c r="M1143" s="25" t="s">
        <v>1611</v>
      </c>
      <c r="N1143" s="20" t="s">
        <v>1617</v>
      </c>
      <c r="O1143" s="61" t="s">
        <v>1618</v>
      </c>
      <c r="P1143" s="61" t="s">
        <v>154</v>
      </c>
      <c r="Q1143" s="61" t="s">
        <v>66</v>
      </c>
      <c r="R1143" s="128" t="n">
        <v>2394.72</v>
      </c>
      <c r="S1143" s="128" t="n">
        <v>7399</v>
      </c>
      <c r="T1143" s="122" t="n">
        <v>1</v>
      </c>
      <c r="U1143" s="1" t="str">
        <f aca="false">D1143&amp;"-"&amp;E1143&amp;"-"&amp;M1143&amp;"-"&amp;O1143&amp;"-"&amp;P1143&amp;"-"&amp;Q1143</f>
        <v>CURVY KATE-WRAPSODYBANDEAU SWIMSUIT-CS005600-OYS-38-E</v>
      </c>
    </row>
    <row r="1144" customFormat="false" ht="16.4" hidden="true" customHeight="false" outlineLevel="0" collapsed="false">
      <c r="B1144" s="127" t="s">
        <v>1633</v>
      </c>
      <c r="C1144" s="61" t="s">
        <v>1520</v>
      </c>
      <c r="D1144" s="61" t="s">
        <v>1520</v>
      </c>
      <c r="E1144" s="2" t="s">
        <v>1608</v>
      </c>
      <c r="F1144" s="3" t="s">
        <v>1609</v>
      </c>
      <c r="G1144" s="108" t="s">
        <v>573</v>
      </c>
      <c r="H1144" s="3" t="s">
        <v>1424</v>
      </c>
      <c r="K1144" s="4" t="s">
        <v>1634</v>
      </c>
      <c r="M1144" s="25" t="s">
        <v>1611</v>
      </c>
      <c r="N1144" s="20" t="s">
        <v>1617</v>
      </c>
      <c r="O1144" s="25" t="s">
        <v>1618</v>
      </c>
      <c r="P1144" s="25" t="s">
        <v>154</v>
      </c>
      <c r="Q1144" s="25" t="s">
        <v>50</v>
      </c>
      <c r="R1144" s="128" t="n">
        <v>2394.72</v>
      </c>
      <c r="S1144" s="128" t="n">
        <v>7399</v>
      </c>
      <c r="T1144" s="122" t="n">
        <v>1</v>
      </c>
      <c r="U1144" s="1" t="str">
        <f aca="false">D1144&amp;"-"&amp;E1144&amp;"-"&amp;M1144&amp;"-"&amp;O1144&amp;"-"&amp;P1144&amp;"-"&amp;Q1144</f>
        <v>CURVY KATE-WRAPSODYBANDEAU SWIMSUIT-CS005600-OYS-38-F</v>
      </c>
    </row>
    <row r="1145" customFormat="false" ht="16.4" hidden="true" customHeight="false" outlineLevel="0" collapsed="false">
      <c r="B1145" s="129" t="s">
        <v>1635</v>
      </c>
      <c r="C1145" s="61" t="s">
        <v>1520</v>
      </c>
      <c r="D1145" s="61" t="s">
        <v>1520</v>
      </c>
      <c r="E1145" s="2" t="s">
        <v>1608</v>
      </c>
      <c r="F1145" s="3" t="s">
        <v>1609</v>
      </c>
      <c r="G1145" s="108" t="s">
        <v>573</v>
      </c>
      <c r="H1145" s="3" t="s">
        <v>1424</v>
      </c>
      <c r="K1145" s="4" t="s">
        <v>1636</v>
      </c>
      <c r="M1145" s="25" t="s">
        <v>1611</v>
      </c>
      <c r="N1145" s="20" t="s">
        <v>1617</v>
      </c>
      <c r="O1145" s="61" t="s">
        <v>1618</v>
      </c>
      <c r="P1145" s="61" t="s">
        <v>154</v>
      </c>
      <c r="Q1145" s="61" t="s">
        <v>62</v>
      </c>
      <c r="R1145" s="128" t="n">
        <v>2394.72</v>
      </c>
      <c r="S1145" s="128" t="n">
        <v>7399</v>
      </c>
      <c r="T1145" s="122" t="n">
        <v>1</v>
      </c>
      <c r="U1145" s="1" t="str">
        <f aca="false">D1145&amp;"-"&amp;E1145&amp;"-"&amp;M1145&amp;"-"&amp;O1145&amp;"-"&amp;P1145&amp;"-"&amp;Q1145</f>
        <v>CURVY KATE-WRAPSODYBANDEAU SWIMSUIT-CS005600-OYS-38-FF</v>
      </c>
    </row>
    <row r="1146" customFormat="false" ht="16.4" hidden="true" customHeight="false" outlineLevel="0" collapsed="false">
      <c r="B1146" s="127" t="s">
        <v>1637</v>
      </c>
      <c r="C1146" s="61" t="s">
        <v>1520</v>
      </c>
      <c r="D1146" s="61" t="s">
        <v>1520</v>
      </c>
      <c r="E1146" s="2" t="s">
        <v>1608</v>
      </c>
      <c r="F1146" s="3" t="s">
        <v>1609</v>
      </c>
      <c r="G1146" s="108" t="s">
        <v>573</v>
      </c>
      <c r="H1146" s="3" t="s">
        <v>1424</v>
      </c>
      <c r="K1146" s="4" t="s">
        <v>1638</v>
      </c>
      <c r="M1146" s="25" t="s">
        <v>1611</v>
      </c>
      <c r="N1146" s="20" t="s">
        <v>1617</v>
      </c>
      <c r="O1146" s="25" t="s">
        <v>1618</v>
      </c>
      <c r="P1146" s="25" t="s">
        <v>154</v>
      </c>
      <c r="Q1146" s="25" t="s">
        <v>105</v>
      </c>
      <c r="R1146" s="128" t="n">
        <v>2394.72</v>
      </c>
      <c r="S1146" s="128" t="n">
        <v>7399</v>
      </c>
      <c r="T1146" s="122" t="n">
        <v>1</v>
      </c>
      <c r="U1146" s="1" t="str">
        <f aca="false">D1146&amp;"-"&amp;E1146&amp;"-"&amp;M1146&amp;"-"&amp;O1146&amp;"-"&amp;P1146&amp;"-"&amp;Q1146</f>
        <v>CURVY KATE-WRAPSODYBANDEAU SWIMSUIT-CS005600-OYS-38-G</v>
      </c>
    </row>
    <row r="1147" customFormat="false" ht="16.4" hidden="true" customHeight="false" outlineLevel="0" collapsed="false">
      <c r="B1147" s="129" t="s">
        <v>1639</v>
      </c>
      <c r="C1147" s="61" t="s">
        <v>1520</v>
      </c>
      <c r="D1147" s="61" t="s">
        <v>1520</v>
      </c>
      <c r="E1147" s="2" t="s">
        <v>1608</v>
      </c>
      <c r="F1147" s="3" t="s">
        <v>1609</v>
      </c>
      <c r="G1147" s="108" t="s">
        <v>573</v>
      </c>
      <c r="H1147" s="3" t="s">
        <v>1424</v>
      </c>
      <c r="K1147" s="4" t="s">
        <v>1640</v>
      </c>
      <c r="M1147" s="25" t="s">
        <v>1611</v>
      </c>
      <c r="N1147" s="20" t="s">
        <v>1617</v>
      </c>
      <c r="O1147" s="61" t="s">
        <v>1618</v>
      </c>
      <c r="P1147" s="61" t="s">
        <v>417</v>
      </c>
      <c r="Q1147" s="61" t="s">
        <v>66</v>
      </c>
      <c r="R1147" s="128" t="n">
        <v>2394.72</v>
      </c>
      <c r="S1147" s="128" t="n">
        <v>7399</v>
      </c>
      <c r="T1147" s="122" t="n">
        <v>1</v>
      </c>
      <c r="U1147" s="1" t="str">
        <f aca="false">D1147&amp;"-"&amp;E1147&amp;"-"&amp;M1147&amp;"-"&amp;O1147&amp;"-"&amp;P1147&amp;"-"&amp;Q1147</f>
        <v>CURVY KATE-WRAPSODYBANDEAU SWIMSUIT-CS005600-OYS-40-E</v>
      </c>
    </row>
    <row r="1148" customFormat="false" ht="16.4" hidden="true" customHeight="false" outlineLevel="0" collapsed="false">
      <c r="B1148" s="127" t="s">
        <v>1641</v>
      </c>
      <c r="C1148" s="61" t="s">
        <v>1520</v>
      </c>
      <c r="D1148" s="61" t="s">
        <v>1520</v>
      </c>
      <c r="E1148" s="2" t="s">
        <v>1608</v>
      </c>
      <c r="F1148" s="3" t="s">
        <v>1609</v>
      </c>
      <c r="G1148" s="108" t="s">
        <v>573</v>
      </c>
      <c r="H1148" s="3" t="s">
        <v>1424</v>
      </c>
      <c r="K1148" s="4" t="s">
        <v>1642</v>
      </c>
      <c r="M1148" s="25" t="s">
        <v>1611</v>
      </c>
      <c r="N1148" s="20" t="s">
        <v>1617</v>
      </c>
      <c r="O1148" s="25" t="s">
        <v>1618</v>
      </c>
      <c r="P1148" s="25" t="s">
        <v>417</v>
      </c>
      <c r="Q1148" s="25" t="s">
        <v>50</v>
      </c>
      <c r="R1148" s="128" t="n">
        <v>2394.72</v>
      </c>
      <c r="S1148" s="128" t="n">
        <v>7399</v>
      </c>
      <c r="T1148" s="122" t="n">
        <v>1</v>
      </c>
      <c r="U1148" s="1" t="str">
        <f aca="false">D1148&amp;"-"&amp;E1148&amp;"-"&amp;M1148&amp;"-"&amp;O1148&amp;"-"&amp;P1148&amp;"-"&amp;Q1148</f>
        <v>CURVY KATE-WRAPSODYBANDEAU SWIMSUIT-CS005600-OYS-40-F</v>
      </c>
    </row>
    <row r="1149" customFormat="false" ht="16.4" hidden="true" customHeight="false" outlineLevel="0" collapsed="false">
      <c r="B1149" s="129" t="s">
        <v>1643</v>
      </c>
      <c r="C1149" s="61" t="s">
        <v>1520</v>
      </c>
      <c r="D1149" s="61" t="s">
        <v>1520</v>
      </c>
      <c r="E1149" s="2" t="s">
        <v>1608</v>
      </c>
      <c r="F1149" s="3" t="s">
        <v>1609</v>
      </c>
      <c r="G1149" s="108" t="s">
        <v>573</v>
      </c>
      <c r="H1149" s="3" t="s">
        <v>1424</v>
      </c>
      <c r="K1149" s="4" t="s">
        <v>1644</v>
      </c>
      <c r="M1149" s="25" t="s">
        <v>1611</v>
      </c>
      <c r="N1149" s="20" t="s">
        <v>1617</v>
      </c>
      <c r="O1149" s="61" t="s">
        <v>1618</v>
      </c>
      <c r="P1149" s="61" t="s">
        <v>417</v>
      </c>
      <c r="Q1149" s="61" t="s">
        <v>62</v>
      </c>
      <c r="R1149" s="128" t="n">
        <v>2394.72</v>
      </c>
      <c r="S1149" s="128" t="n">
        <v>7399</v>
      </c>
      <c r="T1149" s="122" t="n">
        <v>1</v>
      </c>
      <c r="U1149" s="1" t="str">
        <f aca="false">D1149&amp;"-"&amp;E1149&amp;"-"&amp;M1149&amp;"-"&amp;O1149&amp;"-"&amp;P1149&amp;"-"&amp;Q1149</f>
        <v>CURVY KATE-WRAPSODYBANDEAU SWIMSUIT-CS005600-OYS-40-FF</v>
      </c>
    </row>
    <row r="1150" customFormat="false" ht="16.4" hidden="true" customHeight="false" outlineLevel="0" collapsed="false">
      <c r="B1150" s="127" t="s">
        <v>1645</v>
      </c>
      <c r="C1150" s="61" t="s">
        <v>1520</v>
      </c>
      <c r="D1150" s="61" t="s">
        <v>1520</v>
      </c>
      <c r="E1150" s="2" t="s">
        <v>1608</v>
      </c>
      <c r="F1150" s="3" t="s">
        <v>1609</v>
      </c>
      <c r="G1150" s="108" t="s">
        <v>573</v>
      </c>
      <c r="H1150" s="3" t="s">
        <v>1424</v>
      </c>
      <c r="K1150" s="4" t="s">
        <v>1646</v>
      </c>
      <c r="M1150" s="25" t="s">
        <v>1611</v>
      </c>
      <c r="N1150" s="20" t="s">
        <v>1617</v>
      </c>
      <c r="O1150" s="25" t="s">
        <v>1618</v>
      </c>
      <c r="P1150" s="25" t="s">
        <v>417</v>
      </c>
      <c r="Q1150" s="25" t="s">
        <v>105</v>
      </c>
      <c r="R1150" s="128" t="n">
        <v>2394.72</v>
      </c>
      <c r="S1150" s="128" t="n">
        <v>7399</v>
      </c>
      <c r="T1150" s="122" t="n">
        <v>1</v>
      </c>
      <c r="U1150" s="1" t="str">
        <f aca="false">D1150&amp;"-"&amp;E1150&amp;"-"&amp;M1150&amp;"-"&amp;O1150&amp;"-"&amp;P1150&amp;"-"&amp;Q1150</f>
        <v>CURVY KATE-WRAPSODYBANDEAU SWIMSUIT-CS005600-OYS-40-G</v>
      </c>
    </row>
    <row r="1151" customFormat="false" ht="16.4" hidden="true" customHeight="false" outlineLevel="0" collapsed="false">
      <c r="B1151" s="123" t="n">
        <v>5052574166618</v>
      </c>
      <c r="C1151" s="61" t="s">
        <v>1520</v>
      </c>
      <c r="D1151" s="61" t="s">
        <v>1520</v>
      </c>
      <c r="E1151" s="2" t="s">
        <v>1647</v>
      </c>
      <c r="F1151" s="3" t="s">
        <v>997</v>
      </c>
      <c r="G1151" s="108" t="s">
        <v>573</v>
      </c>
      <c r="H1151" s="3" t="s">
        <v>1424</v>
      </c>
      <c r="I1151" s="26" t="s">
        <v>43</v>
      </c>
      <c r="J1151" s="26"/>
      <c r="K1151" s="4" t="s">
        <v>1648</v>
      </c>
      <c r="M1151" s="1" t="s">
        <v>1649</v>
      </c>
      <c r="N1151" s="1" t="s">
        <v>76</v>
      </c>
      <c r="O1151" s="1" t="s">
        <v>77</v>
      </c>
      <c r="P1151" s="1" t="n">
        <v>32</v>
      </c>
      <c r="Q1151" s="1" t="s">
        <v>129</v>
      </c>
      <c r="R1151" s="1" t="n">
        <v>1415.14</v>
      </c>
      <c r="S1151" s="1" t="n">
        <v>4700</v>
      </c>
      <c r="T1151" s="122" t="n">
        <v>1</v>
      </c>
      <c r="U1151" s="1" t="str">
        <f aca="false">D1151&amp;"-"&amp;E1151&amp;"-"&amp;M1151&amp;"-"&amp;O1151&amp;"-"&amp;P1151&amp;"-"&amp;Q1151</f>
        <v>CURVY KATE-CURVY KATE FIRST BANDEAU MULTIWAY STRAPLESS-CS020307-BLACK-32-GG</v>
      </c>
    </row>
    <row r="1152" customFormat="false" ht="16.4" hidden="true" customHeight="false" outlineLevel="0" collapsed="false">
      <c r="B1152" s="123" t="n">
        <v>5052574166687</v>
      </c>
      <c r="C1152" s="61" t="s">
        <v>1520</v>
      </c>
      <c r="D1152" s="61" t="s">
        <v>1520</v>
      </c>
      <c r="E1152" s="2" t="s">
        <v>1647</v>
      </c>
      <c r="F1152" s="3" t="s">
        <v>997</v>
      </c>
      <c r="G1152" s="108" t="s">
        <v>573</v>
      </c>
      <c r="H1152" s="3" t="s">
        <v>1424</v>
      </c>
      <c r="I1152" s="26" t="s">
        <v>43</v>
      </c>
      <c r="J1152" s="26"/>
      <c r="K1152" s="4" t="s">
        <v>1650</v>
      </c>
      <c r="M1152" s="1" t="s">
        <v>1649</v>
      </c>
      <c r="N1152" s="1" t="s">
        <v>76</v>
      </c>
      <c r="O1152" s="1" t="s">
        <v>77</v>
      </c>
      <c r="P1152" s="1" t="n">
        <v>34</v>
      </c>
      <c r="Q1152" s="1" t="s">
        <v>50</v>
      </c>
      <c r="R1152" s="1" t="n">
        <v>1415.14</v>
      </c>
      <c r="S1152" s="1" t="n">
        <v>4700</v>
      </c>
      <c r="T1152" s="122" t="n">
        <v>1</v>
      </c>
      <c r="U1152" s="1" t="str">
        <f aca="false">D1152&amp;"-"&amp;E1152&amp;"-"&amp;M1152&amp;"-"&amp;O1152&amp;"-"&amp;P1152&amp;"-"&amp;Q1152</f>
        <v>CURVY KATE-CURVY KATE FIRST BANDEAU MULTIWAY STRAPLESS-CS020307-BLACK-34-F</v>
      </c>
    </row>
    <row r="1153" customFormat="false" ht="16.4" hidden="true" customHeight="false" outlineLevel="0" collapsed="false">
      <c r="B1153" s="123" t="n">
        <v>5052574166892</v>
      </c>
      <c r="C1153" s="61" t="s">
        <v>1520</v>
      </c>
      <c r="D1153" s="61" t="s">
        <v>1520</v>
      </c>
      <c r="E1153" s="2" t="s">
        <v>1647</v>
      </c>
      <c r="F1153" s="3" t="s">
        <v>997</v>
      </c>
      <c r="G1153" s="108" t="s">
        <v>573</v>
      </c>
      <c r="H1153" s="3" t="s">
        <v>1424</v>
      </c>
      <c r="I1153" s="26" t="s">
        <v>43</v>
      </c>
      <c r="J1153" s="26"/>
      <c r="K1153" s="4" t="s">
        <v>1651</v>
      </c>
      <c r="M1153" s="1" t="s">
        <v>1649</v>
      </c>
      <c r="N1153" s="1" t="s">
        <v>76</v>
      </c>
      <c r="O1153" s="1" t="s">
        <v>77</v>
      </c>
      <c r="P1153" s="1" t="n">
        <v>38</v>
      </c>
      <c r="Q1153" s="1" t="s">
        <v>62</v>
      </c>
      <c r="R1153" s="1" t="n">
        <v>1415.14</v>
      </c>
      <c r="S1153" s="1" t="n">
        <v>4700</v>
      </c>
      <c r="T1153" s="122" t="n">
        <v>1</v>
      </c>
      <c r="U1153" s="1" t="str">
        <f aca="false">D1153&amp;"-"&amp;E1153&amp;"-"&amp;M1153&amp;"-"&amp;O1153&amp;"-"&amp;P1153&amp;"-"&amp;Q1153</f>
        <v>CURVY KATE-CURVY KATE FIRST BANDEAU MULTIWAY STRAPLESS-CS020307-BLACK-38-FF</v>
      </c>
    </row>
    <row r="1154" customFormat="false" ht="16.4" hidden="true" customHeight="false" outlineLevel="0" collapsed="false">
      <c r="B1154" s="123" t="n">
        <v>5052574166809</v>
      </c>
      <c r="C1154" s="61" t="s">
        <v>1520</v>
      </c>
      <c r="D1154" s="61" t="s">
        <v>1520</v>
      </c>
      <c r="E1154" s="2" t="s">
        <v>1647</v>
      </c>
      <c r="F1154" s="3" t="s">
        <v>997</v>
      </c>
      <c r="G1154" s="108" t="s">
        <v>573</v>
      </c>
      <c r="H1154" s="3" t="s">
        <v>1424</v>
      </c>
      <c r="I1154" s="26" t="s">
        <v>43</v>
      </c>
      <c r="J1154" s="26"/>
      <c r="K1154" s="4" t="s">
        <v>1652</v>
      </c>
      <c r="M1154" s="1" t="s">
        <v>1649</v>
      </c>
      <c r="N1154" s="1" t="s">
        <v>76</v>
      </c>
      <c r="O1154" s="1" t="s">
        <v>77</v>
      </c>
      <c r="P1154" s="1" t="n">
        <v>36</v>
      </c>
      <c r="Q1154" s="1" t="s">
        <v>105</v>
      </c>
      <c r="R1154" s="1" t="n">
        <v>1415.14</v>
      </c>
      <c r="S1154" s="1" t="n">
        <v>4700</v>
      </c>
      <c r="T1154" s="122" t="n">
        <v>1</v>
      </c>
      <c r="U1154" s="1" t="str">
        <f aca="false">D1154&amp;"-"&amp;E1154&amp;"-"&amp;M1154&amp;"-"&amp;O1154&amp;"-"&amp;P1154&amp;"-"&amp;Q1154</f>
        <v>CURVY KATE-CURVY KATE FIRST BANDEAU MULTIWAY STRAPLESS-CS020307-BLACK-36-G</v>
      </c>
    </row>
    <row r="1155" customFormat="false" ht="16.4" hidden="true" customHeight="false" outlineLevel="0" collapsed="false">
      <c r="B1155" s="123" t="n">
        <v>5052574166694</v>
      </c>
      <c r="C1155" s="61" t="s">
        <v>1520</v>
      </c>
      <c r="D1155" s="61" t="s">
        <v>1520</v>
      </c>
      <c r="E1155" s="2" t="s">
        <v>1647</v>
      </c>
      <c r="F1155" s="3" t="s">
        <v>997</v>
      </c>
      <c r="G1155" s="108" t="s">
        <v>573</v>
      </c>
      <c r="H1155" s="3" t="s">
        <v>1424</v>
      </c>
      <c r="I1155" s="26" t="s">
        <v>43</v>
      </c>
      <c r="J1155" s="26"/>
      <c r="K1155" s="4" t="s">
        <v>1653</v>
      </c>
      <c r="M1155" s="1" t="s">
        <v>1649</v>
      </c>
      <c r="N1155" s="1" t="s">
        <v>76</v>
      </c>
      <c r="O1155" s="1" t="s">
        <v>77</v>
      </c>
      <c r="P1155" s="1" t="n">
        <v>34</v>
      </c>
      <c r="Q1155" s="1" t="s">
        <v>62</v>
      </c>
      <c r="R1155" s="1" t="n">
        <v>1415.14</v>
      </c>
      <c r="S1155" s="1" t="n">
        <v>4700</v>
      </c>
      <c r="T1155" s="122" t="n">
        <v>1</v>
      </c>
      <c r="U1155" s="1" t="str">
        <f aca="false">D1155&amp;"-"&amp;E1155&amp;"-"&amp;M1155&amp;"-"&amp;O1155&amp;"-"&amp;P1155&amp;"-"&amp;Q1155</f>
        <v>CURVY KATE-CURVY KATE FIRST BANDEAU MULTIWAY STRAPLESS-CS020307-BLACK-34-FF</v>
      </c>
    </row>
    <row r="1156" customFormat="false" ht="16.4" hidden="true" customHeight="false" outlineLevel="0" collapsed="false">
      <c r="B1156" s="123" t="n">
        <v>5052574166700</v>
      </c>
      <c r="C1156" s="61" t="s">
        <v>1520</v>
      </c>
      <c r="D1156" s="61" t="s">
        <v>1520</v>
      </c>
      <c r="E1156" s="2" t="s">
        <v>1647</v>
      </c>
      <c r="F1156" s="3" t="s">
        <v>997</v>
      </c>
      <c r="G1156" s="108" t="s">
        <v>573</v>
      </c>
      <c r="H1156" s="3" t="s">
        <v>1424</v>
      </c>
      <c r="I1156" s="26" t="s">
        <v>43</v>
      </c>
      <c r="J1156" s="26"/>
      <c r="K1156" s="4" t="s">
        <v>1654</v>
      </c>
      <c r="M1156" s="1" t="s">
        <v>1649</v>
      </c>
      <c r="N1156" s="1" t="s">
        <v>76</v>
      </c>
      <c r="O1156" s="1" t="s">
        <v>77</v>
      </c>
      <c r="P1156" s="1" t="n">
        <v>34</v>
      </c>
      <c r="Q1156" s="1" t="s">
        <v>105</v>
      </c>
      <c r="R1156" s="1" t="n">
        <v>1415.14</v>
      </c>
      <c r="S1156" s="1" t="n">
        <v>4700</v>
      </c>
      <c r="T1156" s="122" t="n">
        <v>1</v>
      </c>
      <c r="U1156" s="1" t="str">
        <f aca="false">D1156&amp;"-"&amp;E1156&amp;"-"&amp;M1156&amp;"-"&amp;O1156&amp;"-"&amp;P1156&amp;"-"&amp;Q1156</f>
        <v>CURVY KATE-CURVY KATE FIRST BANDEAU MULTIWAY STRAPLESS-CS020307-BLACK-34-G</v>
      </c>
    </row>
    <row r="1157" customFormat="false" ht="16.4" hidden="true" customHeight="false" outlineLevel="0" collapsed="false">
      <c r="B1157" s="123" t="n">
        <v>5052574166779</v>
      </c>
      <c r="C1157" s="61" t="s">
        <v>1520</v>
      </c>
      <c r="D1157" s="61" t="s">
        <v>1520</v>
      </c>
      <c r="E1157" s="2" t="s">
        <v>1647</v>
      </c>
      <c r="F1157" s="3" t="s">
        <v>997</v>
      </c>
      <c r="G1157" s="108" t="s">
        <v>573</v>
      </c>
      <c r="H1157" s="3" t="s">
        <v>1424</v>
      </c>
      <c r="I1157" s="26" t="s">
        <v>43</v>
      </c>
      <c r="J1157" s="26"/>
      <c r="K1157" s="4" t="s">
        <v>1655</v>
      </c>
      <c r="M1157" s="1" t="s">
        <v>1649</v>
      </c>
      <c r="N1157" s="1" t="s">
        <v>76</v>
      </c>
      <c r="O1157" s="1" t="s">
        <v>77</v>
      </c>
      <c r="P1157" s="1" t="n">
        <v>36</v>
      </c>
      <c r="Q1157" s="1" t="s">
        <v>66</v>
      </c>
      <c r="R1157" s="1" t="n">
        <v>1415.14</v>
      </c>
      <c r="S1157" s="1" t="n">
        <v>4700</v>
      </c>
      <c r="T1157" s="122" t="n">
        <v>1</v>
      </c>
      <c r="U1157" s="1" t="str">
        <f aca="false">D1157&amp;"-"&amp;E1157&amp;"-"&amp;M1157&amp;"-"&amp;O1157&amp;"-"&amp;P1157&amp;"-"&amp;Q1157</f>
        <v>CURVY KATE-CURVY KATE FIRST BANDEAU MULTIWAY STRAPLESS-CS020307-BLACK-36-E</v>
      </c>
    </row>
    <row r="1158" customFormat="false" ht="16.4" hidden="true" customHeight="false" outlineLevel="0" collapsed="false">
      <c r="B1158" s="121" t="n">
        <v>5052574166601</v>
      </c>
      <c r="C1158" s="61" t="s">
        <v>1520</v>
      </c>
      <c r="D1158" s="61" t="s">
        <v>1520</v>
      </c>
      <c r="E1158" s="2" t="s">
        <v>1647</v>
      </c>
      <c r="F1158" s="3" t="s">
        <v>997</v>
      </c>
      <c r="G1158" s="108" t="s">
        <v>573</v>
      </c>
      <c r="H1158" s="3" t="s">
        <v>1424</v>
      </c>
      <c r="I1158" s="26" t="s">
        <v>43</v>
      </c>
      <c r="J1158" s="26"/>
      <c r="K1158" s="4" t="s">
        <v>1656</v>
      </c>
      <c r="M1158" s="1" t="s">
        <v>1649</v>
      </c>
      <c r="N1158" s="1" t="s">
        <v>76</v>
      </c>
      <c r="O1158" s="1" t="s">
        <v>77</v>
      </c>
      <c r="P1158" s="1" t="n">
        <v>32</v>
      </c>
      <c r="Q1158" s="1" t="s">
        <v>105</v>
      </c>
      <c r="R1158" s="1" t="n">
        <v>1415.14</v>
      </c>
      <c r="S1158" s="1" t="n">
        <v>4700</v>
      </c>
      <c r="T1158" s="122" t="n">
        <v>0</v>
      </c>
      <c r="U1158" s="1" t="str">
        <f aca="false">D1158&amp;"-"&amp;E1158&amp;"-"&amp;M1158&amp;"-"&amp;O1158&amp;"-"&amp;P1158&amp;"-"&amp;Q1158</f>
        <v>CURVY KATE-CURVY KATE FIRST BANDEAU MULTIWAY STRAPLESS-CS020307-BLACK-32-G</v>
      </c>
    </row>
    <row r="1159" customFormat="false" ht="16.4" hidden="true" customHeight="false" outlineLevel="0" collapsed="false">
      <c r="B1159" s="121" t="n">
        <v>5052574166793</v>
      </c>
      <c r="C1159" s="61" t="s">
        <v>1520</v>
      </c>
      <c r="D1159" s="61" t="s">
        <v>1520</v>
      </c>
      <c r="E1159" s="2" t="s">
        <v>1647</v>
      </c>
      <c r="F1159" s="3" t="s">
        <v>997</v>
      </c>
      <c r="G1159" s="108" t="s">
        <v>573</v>
      </c>
      <c r="H1159" s="3" t="s">
        <v>1424</v>
      </c>
      <c r="I1159" s="26" t="s">
        <v>43</v>
      </c>
      <c r="J1159" s="26"/>
      <c r="K1159" s="4" t="s">
        <v>1657</v>
      </c>
      <c r="M1159" s="1" t="s">
        <v>1649</v>
      </c>
      <c r="N1159" s="1" t="s">
        <v>76</v>
      </c>
      <c r="O1159" s="1" t="s">
        <v>77</v>
      </c>
      <c r="P1159" s="1" t="n">
        <v>36</v>
      </c>
      <c r="Q1159" s="1" t="s">
        <v>62</v>
      </c>
      <c r="R1159" s="1" t="n">
        <v>1415.14</v>
      </c>
      <c r="S1159" s="1" t="n">
        <v>4700</v>
      </c>
      <c r="T1159" s="122" t="n">
        <v>0</v>
      </c>
      <c r="U1159" s="1" t="str">
        <f aca="false">D1159&amp;"-"&amp;E1159&amp;"-"&amp;M1159&amp;"-"&amp;O1159&amp;"-"&amp;P1159&amp;"-"&amp;Q1159</f>
        <v>CURVY KATE-CURVY KATE FIRST BANDEAU MULTIWAY STRAPLESS-CS020307-BLACK-36-FF</v>
      </c>
    </row>
    <row r="1160" customFormat="false" ht="16.4" hidden="true" customHeight="false" outlineLevel="0" collapsed="false">
      <c r="B1160" s="121" t="n">
        <v>5052574166878</v>
      </c>
      <c r="C1160" s="61" t="s">
        <v>1520</v>
      </c>
      <c r="D1160" s="61" t="s">
        <v>1520</v>
      </c>
      <c r="E1160" s="2" t="s">
        <v>1647</v>
      </c>
      <c r="F1160" s="3" t="s">
        <v>997</v>
      </c>
      <c r="G1160" s="108" t="s">
        <v>573</v>
      </c>
      <c r="H1160" s="3" t="s">
        <v>1424</v>
      </c>
      <c r="I1160" s="26" t="s">
        <v>43</v>
      </c>
      <c r="J1160" s="26"/>
      <c r="K1160" s="4" t="s">
        <v>1658</v>
      </c>
      <c r="M1160" s="1" t="s">
        <v>1649</v>
      </c>
      <c r="N1160" s="1" t="s">
        <v>76</v>
      </c>
      <c r="O1160" s="1" t="s">
        <v>77</v>
      </c>
      <c r="P1160" s="1" t="n">
        <v>38</v>
      </c>
      <c r="Q1160" s="1" t="s">
        <v>66</v>
      </c>
      <c r="R1160" s="1" t="n">
        <v>1415.14</v>
      </c>
      <c r="S1160" s="1" t="n">
        <v>4700</v>
      </c>
      <c r="T1160" s="122" t="n">
        <v>0</v>
      </c>
      <c r="U1160" s="1" t="str">
        <f aca="false">D1160&amp;"-"&amp;E1160&amp;"-"&amp;M1160&amp;"-"&amp;O1160&amp;"-"&amp;P1160&amp;"-"&amp;Q1160</f>
        <v>CURVY KATE-CURVY KATE FIRST BANDEAU MULTIWAY STRAPLESS-CS020307-BLACK-38-E</v>
      </c>
    </row>
    <row r="1161" customFormat="false" ht="16.4" hidden="true" customHeight="false" outlineLevel="0" collapsed="false">
      <c r="B1161" s="121" t="n">
        <v>5052574902650</v>
      </c>
      <c r="C1161" s="61" t="s">
        <v>1520</v>
      </c>
      <c r="D1161" s="61" t="s">
        <v>1520</v>
      </c>
      <c r="E1161" s="2" t="s">
        <v>1647</v>
      </c>
      <c r="F1161" s="3" t="s">
        <v>997</v>
      </c>
      <c r="G1161" s="108" t="s">
        <v>573</v>
      </c>
      <c r="H1161" s="3" t="s">
        <v>1424</v>
      </c>
      <c r="I1161" s="26" t="s">
        <v>43</v>
      </c>
      <c r="J1161" s="26"/>
      <c r="K1161" s="4" t="s">
        <v>1659</v>
      </c>
      <c r="M1161" s="1" t="s">
        <v>1660</v>
      </c>
      <c r="N1161" s="1" t="s">
        <v>89</v>
      </c>
      <c r="O1161" s="1" t="s">
        <v>1661</v>
      </c>
      <c r="P1161" s="1" t="n">
        <v>34</v>
      </c>
      <c r="Q1161" s="1" t="s">
        <v>62</v>
      </c>
      <c r="R1161" s="128" t="n">
        <v>1056.35</v>
      </c>
      <c r="S1161" s="1" t="n">
        <v>4500</v>
      </c>
      <c r="T1161" s="122" t="n">
        <v>1</v>
      </c>
      <c r="U1161" s="1" t="str">
        <f aca="false">D1161&amp;"-"&amp;E1161&amp;"-"&amp;M1161&amp;"-"&amp;O1161&amp;"-"&amp;P1161&amp;"-"&amp;Q1161</f>
        <v>CURVY KATE-CURVY KATE FIRST BANDEAU MULTIWAY STRAPLESS-CK5711-CPB-34-FF</v>
      </c>
    </row>
    <row r="1162" customFormat="false" ht="16.4" hidden="true" customHeight="false" outlineLevel="0" collapsed="false">
      <c r="B1162" s="121" t="n">
        <v>5052574898830</v>
      </c>
      <c r="C1162" s="61" t="s">
        <v>1520</v>
      </c>
      <c r="D1162" s="61" t="s">
        <v>1520</v>
      </c>
      <c r="E1162" s="2" t="s">
        <v>1662</v>
      </c>
      <c r="F1162" s="3" t="s">
        <v>80</v>
      </c>
      <c r="G1162" s="108" t="s">
        <v>573</v>
      </c>
      <c r="H1162" s="3" t="s">
        <v>1424</v>
      </c>
      <c r="I1162" s="26" t="s">
        <v>43</v>
      </c>
      <c r="J1162" s="26"/>
      <c r="K1162" s="4" t="s">
        <v>1663</v>
      </c>
      <c r="M1162" s="1" t="s">
        <v>1664</v>
      </c>
      <c r="N1162" s="1" t="s">
        <v>588</v>
      </c>
      <c r="O1162" s="1" t="s">
        <v>1665</v>
      </c>
      <c r="P1162" s="1" t="n">
        <v>34</v>
      </c>
      <c r="Q1162" s="1" t="s">
        <v>62</v>
      </c>
      <c r="R1162" s="128" t="n">
        <v>1880.74</v>
      </c>
      <c r="S1162" s="1" t="n">
        <v>4500</v>
      </c>
      <c r="T1162" s="122" t="n">
        <v>0</v>
      </c>
      <c r="U1162" s="1" t="str">
        <f aca="false">D1162&amp;"-"&amp;E1162&amp;"-"&amp;M1162&amp;"-"&amp;O1162&amp;"-"&amp;P1162&amp;"-"&amp;Q1162</f>
        <v>CURVY KATE-CURVY KATE WILD ONE BALCONY BRA-CK070100-LEP-34-FF</v>
      </c>
    </row>
    <row r="1163" customFormat="false" ht="16.4" hidden="true" customHeight="false" outlineLevel="0" collapsed="false">
      <c r="B1163" s="121" t="n">
        <v>5052574898847</v>
      </c>
      <c r="C1163" s="61" t="s">
        <v>1520</v>
      </c>
      <c r="D1163" s="61" t="s">
        <v>1520</v>
      </c>
      <c r="E1163" s="2" t="s">
        <v>1662</v>
      </c>
      <c r="F1163" s="3" t="s">
        <v>80</v>
      </c>
      <c r="G1163" s="108" t="s">
        <v>573</v>
      </c>
      <c r="H1163" s="3" t="s">
        <v>1424</v>
      </c>
      <c r="I1163" s="26" t="s">
        <v>43</v>
      </c>
      <c r="J1163" s="26"/>
      <c r="K1163" s="4" t="s">
        <v>1666</v>
      </c>
      <c r="M1163" s="1" t="s">
        <v>1664</v>
      </c>
      <c r="N1163" s="1" t="s">
        <v>588</v>
      </c>
      <c r="O1163" s="1" t="s">
        <v>1665</v>
      </c>
      <c r="P1163" s="1" t="n">
        <v>34</v>
      </c>
      <c r="Q1163" s="1" t="s">
        <v>105</v>
      </c>
      <c r="R1163" s="128" t="n">
        <v>1880.74</v>
      </c>
      <c r="S1163" s="1" t="n">
        <v>4500</v>
      </c>
      <c r="T1163" s="122" t="n">
        <v>1</v>
      </c>
      <c r="U1163" s="1" t="str">
        <f aca="false">D1163&amp;"-"&amp;E1163&amp;"-"&amp;M1163&amp;"-"&amp;O1163&amp;"-"&amp;P1163&amp;"-"&amp;Q1163</f>
        <v>CURVY KATE-CURVY KATE WILD ONE BALCONY BRA-CK070100-LEP-34-G</v>
      </c>
    </row>
    <row r="1164" customFormat="false" ht="16.4" hidden="true" customHeight="false" outlineLevel="0" collapsed="false">
      <c r="B1164" s="121" t="n">
        <v>5052574774646</v>
      </c>
      <c r="C1164" s="61" t="s">
        <v>1520</v>
      </c>
      <c r="D1164" s="61" t="s">
        <v>1520</v>
      </c>
      <c r="E1164" s="2" t="s">
        <v>1667</v>
      </c>
      <c r="F1164" s="3" t="s">
        <v>80</v>
      </c>
      <c r="G1164" s="108" t="s">
        <v>573</v>
      </c>
      <c r="H1164" s="3" t="s">
        <v>1424</v>
      </c>
      <c r="I1164" s="26" t="s">
        <v>43</v>
      </c>
      <c r="J1164" s="26"/>
      <c r="K1164" s="4" t="s">
        <v>1668</v>
      </c>
      <c r="M1164" s="1" t="s">
        <v>1669</v>
      </c>
      <c r="N1164" s="1" t="s">
        <v>76</v>
      </c>
      <c r="O1164" s="1" t="s">
        <v>77</v>
      </c>
      <c r="P1164" s="1" t="n">
        <v>32</v>
      </c>
      <c r="Q1164" s="1" t="s">
        <v>50</v>
      </c>
      <c r="R1164" s="128" t="n">
        <v>1880.74</v>
      </c>
      <c r="S1164" s="1" t="n">
        <v>4500</v>
      </c>
      <c r="T1164" s="122" t="n">
        <v>1</v>
      </c>
      <c r="U1164" s="1" t="str">
        <f aca="false">D1164&amp;"-"&amp;E1164&amp;"-"&amp;M1164&amp;"-"&amp;O1164&amp;"-"&amp;P1164&amp;"-"&amp;Q1164</f>
        <v>CURVY KATE-SMOOTHIE T-SHIRT PLUNGE MOULDED BRA-CK029104-BLACK-32-F</v>
      </c>
      <c r="W1164" s="1" t="s">
        <v>1525</v>
      </c>
    </row>
    <row r="1165" customFormat="false" ht="16.4" hidden="true" customHeight="false" outlineLevel="0" collapsed="false">
      <c r="B1165" s="121" t="n">
        <v>5052574775254</v>
      </c>
      <c r="C1165" s="61" t="s">
        <v>1520</v>
      </c>
      <c r="D1165" s="61" t="s">
        <v>1520</v>
      </c>
      <c r="E1165" s="2" t="s">
        <v>1667</v>
      </c>
      <c r="F1165" s="3" t="s">
        <v>80</v>
      </c>
      <c r="G1165" s="108" t="s">
        <v>573</v>
      </c>
      <c r="H1165" s="3" t="s">
        <v>1424</v>
      </c>
      <c r="I1165" s="26" t="s">
        <v>43</v>
      </c>
      <c r="J1165" s="26"/>
      <c r="K1165" s="4" t="s">
        <v>1670</v>
      </c>
      <c r="M1165" s="1" t="s">
        <v>1669</v>
      </c>
      <c r="N1165" s="1" t="s">
        <v>76</v>
      </c>
      <c r="O1165" s="1" t="s">
        <v>77</v>
      </c>
      <c r="P1165" s="1" t="n">
        <v>38</v>
      </c>
      <c r="Q1165" s="1" t="s">
        <v>97</v>
      </c>
      <c r="R1165" s="128" t="n">
        <v>1880.74</v>
      </c>
      <c r="S1165" s="1" t="n">
        <v>4500</v>
      </c>
      <c r="T1165" s="122" t="n">
        <v>0</v>
      </c>
      <c r="U1165" s="1" t="str">
        <f aca="false">D1165&amp;"-"&amp;E1165&amp;"-"&amp;M1165&amp;"-"&amp;O1165&amp;"-"&amp;P1165&amp;"-"&amp;Q1165</f>
        <v>CURVY KATE-SMOOTHIE T-SHIRT PLUNGE MOULDED BRA-CK029104-BLACK-38-D</v>
      </c>
      <c r="W1165" s="1" t="s">
        <v>1525</v>
      </c>
    </row>
    <row r="1166" customFormat="false" ht="16.4" hidden="true" customHeight="false" outlineLevel="0" collapsed="false">
      <c r="B1166" s="121" t="n">
        <v>7613138484524</v>
      </c>
      <c r="C1166" s="2" t="s">
        <v>580</v>
      </c>
      <c r="D1166" s="61" t="s">
        <v>581</v>
      </c>
      <c r="E1166" s="2" t="s">
        <v>1671</v>
      </c>
      <c r="F1166" s="3" t="s">
        <v>1672</v>
      </c>
      <c r="G1166" s="3" t="s">
        <v>689</v>
      </c>
      <c r="H1166" s="3" t="s">
        <v>1424</v>
      </c>
      <c r="I1166" s="26" t="s">
        <v>43</v>
      </c>
      <c r="J1166" s="26"/>
      <c r="M1166" s="128" t="s">
        <v>1673</v>
      </c>
      <c r="N1166" s="1" t="s">
        <v>89</v>
      </c>
      <c r="O1166" s="1" t="s">
        <v>1674</v>
      </c>
      <c r="P1166" s="1" t="n">
        <v>32</v>
      </c>
      <c r="Q1166" s="1" t="s">
        <v>592</v>
      </c>
      <c r="R1166" s="1" t="n">
        <v>2056.96</v>
      </c>
      <c r="S1166" s="1" t="n">
        <v>3199</v>
      </c>
      <c r="T1166" s="1" t="n">
        <v>1</v>
      </c>
      <c r="U1166" s="1" t="str">
        <f aca="false">D1166&amp;"-"&amp;E1166&amp;"-"&amp;M1166&amp;"-"&amp;O1166&amp;"-"&amp;P1166&amp;"-"&amp;Q1166</f>
        <v>TRIUMPH-TRIACTION HIIT LITE P EX-110-508-B5-32-B</v>
      </c>
      <c r="W1166" s="1" t="s">
        <v>586</v>
      </c>
    </row>
    <row r="1167" customFormat="false" ht="16.4" hidden="true" customHeight="false" outlineLevel="0" collapsed="false">
      <c r="B1167" s="121" t="n">
        <v>7613108297673</v>
      </c>
      <c r="C1167" s="2" t="s">
        <v>580</v>
      </c>
      <c r="D1167" s="61" t="s">
        <v>581</v>
      </c>
      <c r="E1167" s="2" t="s">
        <v>1671</v>
      </c>
      <c r="F1167" s="3" t="s">
        <v>1672</v>
      </c>
      <c r="G1167" s="3" t="s">
        <v>689</v>
      </c>
      <c r="H1167" s="3" t="s">
        <v>1424</v>
      </c>
      <c r="I1167" s="26" t="s">
        <v>43</v>
      </c>
      <c r="J1167" s="26"/>
      <c r="M1167" s="128" t="s">
        <v>1673</v>
      </c>
      <c r="N1167" s="1" t="s">
        <v>76</v>
      </c>
      <c r="O1167" s="1" t="s">
        <v>77</v>
      </c>
      <c r="P1167" s="1" t="n">
        <v>32</v>
      </c>
      <c r="Q1167" s="1" t="s">
        <v>592</v>
      </c>
      <c r="R1167" s="1" t="n">
        <v>2056.96</v>
      </c>
      <c r="S1167" s="1" t="n">
        <v>3199</v>
      </c>
      <c r="T1167" s="1" t="n">
        <v>1</v>
      </c>
      <c r="U1167" s="1" t="str">
        <f aca="false">D1167&amp;"-"&amp;E1167&amp;"-"&amp;M1167&amp;"-"&amp;O1167&amp;"-"&amp;P1167&amp;"-"&amp;Q1167</f>
        <v>TRIUMPH-TRIACTION HIIT LITE P EX-110-508-BLACK-32-B</v>
      </c>
      <c r="W1167" s="1" t="s">
        <v>586</v>
      </c>
    </row>
    <row r="1168" customFormat="false" ht="16.4" hidden="true" customHeight="false" outlineLevel="0" collapsed="false">
      <c r="B1168" s="121" t="n">
        <v>7613108297727</v>
      </c>
      <c r="C1168" s="2" t="s">
        <v>580</v>
      </c>
      <c r="D1168" s="61" t="s">
        <v>581</v>
      </c>
      <c r="E1168" s="2" t="s">
        <v>1671</v>
      </c>
      <c r="F1168" s="3" t="s">
        <v>1672</v>
      </c>
      <c r="G1168" s="3" t="s">
        <v>689</v>
      </c>
      <c r="H1168" s="3" t="s">
        <v>1424</v>
      </c>
      <c r="I1168" s="26" t="s">
        <v>43</v>
      </c>
      <c r="J1168" s="26"/>
      <c r="M1168" s="128" t="s">
        <v>1673</v>
      </c>
      <c r="N1168" s="1" t="s">
        <v>619</v>
      </c>
      <c r="O1168" s="1" t="s">
        <v>1675</v>
      </c>
      <c r="P1168" s="1" t="n">
        <v>32</v>
      </c>
      <c r="Q1168" s="1" t="s">
        <v>595</v>
      </c>
      <c r="R1168" s="1" t="n">
        <v>2056.96</v>
      </c>
      <c r="S1168" s="1" t="n">
        <v>3199</v>
      </c>
      <c r="T1168" s="1" t="n">
        <v>1</v>
      </c>
      <c r="U1168" s="1" t="str">
        <f aca="false">D1168&amp;"-"&amp;E1168&amp;"-"&amp;M1168&amp;"-"&amp;O1168&amp;"-"&amp;P1168&amp;"-"&amp;Q1168</f>
        <v>TRIUMPH-TRIACTION HIIT LITE P EX-110-508-U8-32-C</v>
      </c>
      <c r="W1168" s="1" t="s">
        <v>586</v>
      </c>
    </row>
    <row r="1169" customFormat="false" ht="16.4" hidden="true" customHeight="false" outlineLevel="0" collapsed="false">
      <c r="B1169" s="130" t="n">
        <v>7613141317284</v>
      </c>
      <c r="C1169" s="2" t="s">
        <v>580</v>
      </c>
      <c r="D1169" s="61" t="s">
        <v>581</v>
      </c>
      <c r="E1169" s="2" t="s">
        <v>1671</v>
      </c>
      <c r="F1169" s="3" t="s">
        <v>1672</v>
      </c>
      <c r="G1169" s="3" t="s">
        <v>689</v>
      </c>
      <c r="H1169" s="3" t="s">
        <v>1424</v>
      </c>
      <c r="I1169" s="26" t="s">
        <v>43</v>
      </c>
      <c r="J1169" s="131"/>
      <c r="K1169" s="132"/>
      <c r="L1169" s="132"/>
      <c r="M1169" s="128" t="s">
        <v>1673</v>
      </c>
      <c r="N1169" s="133" t="s">
        <v>76</v>
      </c>
      <c r="O1169" s="1" t="s">
        <v>77</v>
      </c>
      <c r="P1169" s="133" t="n">
        <v>32</v>
      </c>
      <c r="Q1169" s="133" t="s">
        <v>595</v>
      </c>
      <c r="R1169" s="1" t="n">
        <v>2056.96</v>
      </c>
      <c r="S1169" s="133" t="n">
        <v>3199</v>
      </c>
      <c r="T1169" s="133" t="n">
        <v>1</v>
      </c>
      <c r="U1169" s="1" t="str">
        <f aca="false">D1169&amp;"-"&amp;E1169&amp;"-"&amp;M1169&amp;"-"&amp;O1169&amp;"-"&amp;P1169&amp;"-"&amp;Q1169</f>
        <v>TRIUMPH-TRIACTION HIIT LITE P EX-110-508-BLACK-32-C</v>
      </c>
      <c r="V1169" s="133"/>
      <c r="W1169" s="1" t="s">
        <v>586</v>
      </c>
      <c r="X1169" s="133"/>
    </row>
    <row r="1170" customFormat="false" ht="16.4" hidden="true" customHeight="false" outlineLevel="0" collapsed="false">
      <c r="B1170" s="134" t="n">
        <v>7613138484531</v>
      </c>
      <c r="C1170" s="2" t="s">
        <v>580</v>
      </c>
      <c r="D1170" s="61" t="s">
        <v>581</v>
      </c>
      <c r="E1170" s="2" t="s">
        <v>1671</v>
      </c>
      <c r="F1170" s="3" t="s">
        <v>1672</v>
      </c>
      <c r="G1170" s="3" t="s">
        <v>689</v>
      </c>
      <c r="H1170" s="3" t="s">
        <v>1424</v>
      </c>
      <c r="I1170" s="26" t="s">
        <v>43</v>
      </c>
      <c r="J1170" s="131"/>
      <c r="K1170" s="132"/>
      <c r="L1170" s="132"/>
      <c r="M1170" s="128" t="s">
        <v>1673</v>
      </c>
      <c r="N1170" s="133" t="s">
        <v>89</v>
      </c>
      <c r="O1170" s="133" t="s">
        <v>1674</v>
      </c>
      <c r="P1170" s="133" t="n">
        <v>34</v>
      </c>
      <c r="Q1170" s="133" t="s">
        <v>592</v>
      </c>
      <c r="R1170" s="1" t="n">
        <v>2056.96</v>
      </c>
      <c r="S1170" s="133" t="n">
        <v>3199</v>
      </c>
      <c r="T1170" s="133" t="n">
        <v>1</v>
      </c>
      <c r="U1170" s="1" t="str">
        <f aca="false">D1170&amp;"-"&amp;E1170&amp;"-"&amp;M1170&amp;"-"&amp;O1170&amp;"-"&amp;P1170&amp;"-"&amp;Q1170</f>
        <v>TRIUMPH-TRIACTION HIIT LITE P EX-110-508-B5-34-B</v>
      </c>
      <c r="V1170" s="133"/>
      <c r="W1170" s="1" t="s">
        <v>586</v>
      </c>
      <c r="X1170" s="133"/>
    </row>
    <row r="1171" customFormat="false" ht="16.4" hidden="true" customHeight="false" outlineLevel="0" collapsed="false">
      <c r="B1171" s="134" t="n">
        <v>7613138484661</v>
      </c>
      <c r="C1171" s="2" t="s">
        <v>580</v>
      </c>
      <c r="D1171" s="61" t="s">
        <v>581</v>
      </c>
      <c r="E1171" s="2" t="s">
        <v>1671</v>
      </c>
      <c r="F1171" s="3" t="s">
        <v>1672</v>
      </c>
      <c r="G1171" s="3" t="s">
        <v>689</v>
      </c>
      <c r="H1171" s="3" t="s">
        <v>1424</v>
      </c>
      <c r="I1171" s="26" t="s">
        <v>43</v>
      </c>
      <c r="J1171" s="26"/>
      <c r="M1171" s="128" t="s">
        <v>1673</v>
      </c>
      <c r="N1171" s="1" t="s">
        <v>89</v>
      </c>
      <c r="O1171" s="1" t="s">
        <v>1674</v>
      </c>
      <c r="P1171" s="1" t="n">
        <v>34</v>
      </c>
      <c r="Q1171" s="1" t="s">
        <v>595</v>
      </c>
      <c r="R1171" s="1" t="n">
        <v>2056.96</v>
      </c>
      <c r="S1171" s="133" t="n">
        <v>3199</v>
      </c>
      <c r="T1171" s="1" t="n">
        <v>1</v>
      </c>
      <c r="U1171" s="1" t="str">
        <f aca="false">D1171&amp;"-"&amp;E1171&amp;"-"&amp;M1171&amp;"-"&amp;O1171&amp;"-"&amp;P1171&amp;"-"&amp;Q1171</f>
        <v>TRIUMPH-TRIACTION HIIT LITE P EX-110-508-B5-34-C</v>
      </c>
      <c r="W1171" s="1" t="s">
        <v>586</v>
      </c>
    </row>
    <row r="1172" customFormat="false" ht="16.4" hidden="true" customHeight="false" outlineLevel="0" collapsed="false">
      <c r="B1172" s="134" t="n">
        <v>7613138484883</v>
      </c>
      <c r="C1172" s="2" t="s">
        <v>580</v>
      </c>
      <c r="D1172" s="61" t="s">
        <v>581</v>
      </c>
      <c r="E1172" s="2" t="s">
        <v>1671</v>
      </c>
      <c r="F1172" s="3" t="s">
        <v>1672</v>
      </c>
      <c r="G1172" s="3" t="s">
        <v>689</v>
      </c>
      <c r="H1172" s="3" t="s">
        <v>1424</v>
      </c>
      <c r="I1172" s="26" t="s">
        <v>43</v>
      </c>
      <c r="J1172" s="26"/>
      <c r="M1172" s="128" t="s">
        <v>1673</v>
      </c>
      <c r="N1172" s="1" t="s">
        <v>89</v>
      </c>
      <c r="O1172" s="1" t="s">
        <v>1674</v>
      </c>
      <c r="P1172" s="1" t="n">
        <v>34</v>
      </c>
      <c r="Q1172" s="1" t="s">
        <v>97</v>
      </c>
      <c r="R1172" s="1" t="n">
        <v>2056.96</v>
      </c>
      <c r="S1172" s="133" t="n">
        <v>3199</v>
      </c>
      <c r="T1172" s="1" t="n">
        <v>1</v>
      </c>
      <c r="U1172" s="1" t="str">
        <f aca="false">D1172&amp;"-"&amp;E1172&amp;"-"&amp;M1172&amp;"-"&amp;O1172&amp;"-"&amp;P1172&amp;"-"&amp;Q1172</f>
        <v>TRIUMPH-TRIACTION HIIT LITE P EX-110-508-B5-34-D</v>
      </c>
      <c r="W1172" s="1" t="s">
        <v>586</v>
      </c>
    </row>
    <row r="1173" customFormat="false" ht="16.4" hidden="true" customHeight="false" outlineLevel="0" collapsed="false">
      <c r="B1173" s="134" t="n">
        <v>7611358108268</v>
      </c>
      <c r="C1173" s="2" t="s">
        <v>580</v>
      </c>
      <c r="D1173" s="61" t="s">
        <v>581</v>
      </c>
      <c r="E1173" s="2" t="s">
        <v>1671</v>
      </c>
      <c r="F1173" s="3" t="s">
        <v>1672</v>
      </c>
      <c r="G1173" s="3" t="s">
        <v>689</v>
      </c>
      <c r="H1173" s="3" t="s">
        <v>1424</v>
      </c>
      <c r="I1173" s="26" t="s">
        <v>43</v>
      </c>
      <c r="J1173" s="26"/>
      <c r="M1173" s="128" t="s">
        <v>1673</v>
      </c>
      <c r="N1173" s="1" t="s">
        <v>89</v>
      </c>
      <c r="O1173" s="1" t="s">
        <v>1674</v>
      </c>
      <c r="P1173" s="1" t="n">
        <v>34</v>
      </c>
      <c r="Q1173" s="1" t="s">
        <v>97</v>
      </c>
      <c r="R1173" s="1" t="n">
        <v>2056.96</v>
      </c>
      <c r="S1173" s="133" t="n">
        <v>3199</v>
      </c>
      <c r="T1173" s="1" t="n">
        <v>1</v>
      </c>
      <c r="U1173" s="1" t="str">
        <f aca="false">D1173&amp;"-"&amp;E1173&amp;"-"&amp;M1173&amp;"-"&amp;O1173&amp;"-"&amp;P1173&amp;"-"&amp;Q1173</f>
        <v>TRIUMPH-TRIACTION HIIT LITE P EX-110-508-B5-34-D</v>
      </c>
      <c r="W1173" s="1" t="s">
        <v>586</v>
      </c>
    </row>
    <row r="1174" customFormat="false" ht="15" hidden="true" customHeight="false" outlineLevel="0" collapsed="false">
      <c r="B1174" s="134" t="n">
        <v>7611358108374</v>
      </c>
      <c r="C1174" s="2" t="s">
        <v>580</v>
      </c>
      <c r="D1174" s="61" t="s">
        <v>581</v>
      </c>
      <c r="E1174" s="2" t="s">
        <v>1671</v>
      </c>
      <c r="F1174" s="3" t="s">
        <v>1672</v>
      </c>
      <c r="G1174" s="3" t="s">
        <v>689</v>
      </c>
      <c r="H1174" s="3" t="s">
        <v>1424</v>
      </c>
      <c r="I1174" s="26" t="s">
        <v>43</v>
      </c>
      <c r="J1174" s="26"/>
      <c r="M1174" s="1" t="n">
        <v>10214401</v>
      </c>
      <c r="N1174" s="1" t="s">
        <v>76</v>
      </c>
      <c r="O1174" s="1" t="s">
        <v>77</v>
      </c>
      <c r="P1174" s="1" t="n">
        <v>34</v>
      </c>
      <c r="Q1174" s="1" t="s">
        <v>50</v>
      </c>
      <c r="R1174" s="1" t="n">
        <v>2249.86</v>
      </c>
      <c r="S1174" s="1" t="n">
        <v>3499</v>
      </c>
      <c r="T1174" s="1" t="n">
        <v>2</v>
      </c>
      <c r="U1174" s="1" t="str">
        <f aca="false">D1174&amp;"-"&amp;E1174&amp;"-"&amp;M1174&amp;"-"&amp;O1174&amp;"-"&amp;P1174&amp;"-"&amp;Q1174</f>
        <v>TRIUMPH-TRIACTION HIIT LITE P EX-10214401-BLACK-34-F</v>
      </c>
      <c r="W1174" s="1" t="s">
        <v>586</v>
      </c>
    </row>
    <row r="1175" customFormat="false" ht="16.4" hidden="true" customHeight="false" outlineLevel="0" collapsed="false">
      <c r="B1175" s="134" t="n">
        <v>7613138484546</v>
      </c>
      <c r="C1175" s="2" t="s">
        <v>580</v>
      </c>
      <c r="D1175" s="61" t="s">
        <v>581</v>
      </c>
      <c r="E1175" s="2" t="s">
        <v>1671</v>
      </c>
      <c r="F1175" s="3" t="s">
        <v>1672</v>
      </c>
      <c r="G1175" s="3" t="s">
        <v>689</v>
      </c>
      <c r="H1175" s="3" t="s">
        <v>1424</v>
      </c>
      <c r="I1175" s="26" t="s">
        <v>43</v>
      </c>
      <c r="J1175" s="26"/>
      <c r="M1175" s="128" t="s">
        <v>1673</v>
      </c>
      <c r="N1175" s="1" t="s">
        <v>76</v>
      </c>
      <c r="O1175" s="1" t="s">
        <v>77</v>
      </c>
      <c r="P1175" s="1" t="n">
        <v>36</v>
      </c>
      <c r="Q1175" s="1" t="s">
        <v>592</v>
      </c>
      <c r="R1175" s="1" t="n">
        <v>2249.86</v>
      </c>
      <c r="S1175" s="1" t="n">
        <v>3499</v>
      </c>
      <c r="T1175" s="1" t="n">
        <v>1</v>
      </c>
      <c r="U1175" s="1" t="str">
        <f aca="false">D1175&amp;"-"&amp;E1175&amp;"-"&amp;M1175&amp;"-"&amp;O1175&amp;"-"&amp;P1175&amp;"-"&amp;Q1175</f>
        <v>TRIUMPH-TRIACTION HIIT LITE P EX-110-508-BLACK-36-B</v>
      </c>
      <c r="W1175" s="1" t="s">
        <v>586</v>
      </c>
    </row>
    <row r="1176" customFormat="false" ht="16.4" hidden="true" customHeight="false" outlineLevel="0" collapsed="false">
      <c r="B1176" s="135" t="n">
        <v>7613137607290</v>
      </c>
      <c r="C1176" s="2" t="s">
        <v>580</v>
      </c>
      <c r="D1176" s="61" t="s">
        <v>581</v>
      </c>
      <c r="E1176" s="2" t="s">
        <v>1671</v>
      </c>
      <c r="F1176" s="3" t="s">
        <v>1672</v>
      </c>
      <c r="G1176" s="3" t="s">
        <v>689</v>
      </c>
      <c r="H1176" s="3" t="s">
        <v>1424</v>
      </c>
      <c r="I1176" s="26" t="s">
        <v>43</v>
      </c>
      <c r="J1176" s="26"/>
      <c r="M1176" s="128" t="s">
        <v>1673</v>
      </c>
      <c r="N1176" s="1" t="s">
        <v>1676</v>
      </c>
      <c r="O1176" s="1" t="s">
        <v>1677</v>
      </c>
      <c r="P1176" s="1" t="n">
        <v>32</v>
      </c>
      <c r="Q1176" s="1" t="s">
        <v>97</v>
      </c>
      <c r="R1176" s="1" t="n">
        <v>2056.96</v>
      </c>
      <c r="S1176" s="1" t="n">
        <v>3199</v>
      </c>
      <c r="T1176" s="1" t="n">
        <v>1</v>
      </c>
      <c r="U1176" s="1" t="str">
        <f aca="false">D1176&amp;"-"&amp;E1176&amp;"-"&amp;M1176&amp;"-"&amp;O1176&amp;"-"&amp;P1176&amp;"-"&amp;Q1176</f>
        <v>TRIUMPH-TRIACTION HIIT LITE P EX-110-508-OM-32-D</v>
      </c>
      <c r="W1176" s="1" t="s">
        <v>586</v>
      </c>
    </row>
    <row r="1177" customFormat="false" ht="16.4" hidden="true" customHeight="false" outlineLevel="0" collapsed="false">
      <c r="B1177" s="134" t="n">
        <v>7613108297741</v>
      </c>
      <c r="C1177" s="2" t="s">
        <v>580</v>
      </c>
      <c r="D1177" s="61" t="s">
        <v>581</v>
      </c>
      <c r="E1177" s="2" t="s">
        <v>1671</v>
      </c>
      <c r="F1177" s="3" t="s">
        <v>1672</v>
      </c>
      <c r="G1177" s="3" t="s">
        <v>689</v>
      </c>
      <c r="H1177" s="3" t="s">
        <v>1424</v>
      </c>
      <c r="I1177" s="26" t="s">
        <v>43</v>
      </c>
      <c r="J1177" s="26"/>
      <c r="M1177" s="128" t="s">
        <v>1673</v>
      </c>
      <c r="N1177" s="1" t="s">
        <v>76</v>
      </c>
      <c r="O1177" s="1" t="s">
        <v>77</v>
      </c>
      <c r="P1177" s="1" t="n">
        <v>36</v>
      </c>
      <c r="Q1177" s="1" t="s">
        <v>592</v>
      </c>
      <c r="R1177" s="1" t="n">
        <v>2056.96</v>
      </c>
      <c r="S1177" s="1" t="n">
        <v>3199</v>
      </c>
      <c r="T1177" s="1" t="n">
        <v>1</v>
      </c>
      <c r="U1177" s="1" t="str">
        <f aca="false">D1177&amp;"-"&amp;E1177&amp;"-"&amp;M1177&amp;"-"&amp;O1177&amp;"-"&amp;P1177&amp;"-"&amp;Q1177</f>
        <v>TRIUMPH-TRIACTION HIIT LITE P EX-110-508-BLACK-36-B</v>
      </c>
      <c r="W1177" s="1" t="s">
        <v>586</v>
      </c>
    </row>
    <row r="1178" customFormat="false" ht="16.4" hidden="true" customHeight="false" outlineLevel="0" collapsed="false">
      <c r="B1178" s="134" t="n">
        <v>7613141317338</v>
      </c>
      <c r="C1178" s="2" t="s">
        <v>580</v>
      </c>
      <c r="D1178" s="61" t="s">
        <v>581</v>
      </c>
      <c r="E1178" s="2" t="s">
        <v>1671</v>
      </c>
      <c r="F1178" s="3" t="s">
        <v>1672</v>
      </c>
      <c r="G1178" s="3" t="s">
        <v>689</v>
      </c>
      <c r="H1178" s="3" t="s">
        <v>1424</v>
      </c>
      <c r="I1178" s="26" t="s">
        <v>43</v>
      </c>
      <c r="J1178" s="26"/>
      <c r="M1178" s="128" t="s">
        <v>1673</v>
      </c>
      <c r="N1178" s="1" t="s">
        <v>619</v>
      </c>
      <c r="O1178" s="1" t="s">
        <v>1675</v>
      </c>
      <c r="P1178" s="1" t="n">
        <v>36</v>
      </c>
      <c r="Q1178" s="1" t="s">
        <v>592</v>
      </c>
      <c r="R1178" s="1" t="n">
        <v>2056.96</v>
      </c>
      <c r="S1178" s="1" t="n">
        <v>3199</v>
      </c>
      <c r="T1178" s="1" t="n">
        <v>1</v>
      </c>
      <c r="U1178" s="1" t="str">
        <f aca="false">D1178&amp;"-"&amp;E1178&amp;"-"&amp;M1178&amp;"-"&amp;O1178&amp;"-"&amp;P1178&amp;"-"&amp;Q1178</f>
        <v>TRIUMPH-TRIACTION HIIT LITE P EX-110-508-U8-36-B</v>
      </c>
      <c r="W1178" s="1" t="s">
        <v>586</v>
      </c>
    </row>
    <row r="1179" customFormat="false" ht="15" hidden="true" customHeight="false" outlineLevel="0" collapsed="false">
      <c r="B1179" s="134" t="n">
        <v>7611358108206</v>
      </c>
      <c r="C1179" s="2" t="s">
        <v>580</v>
      </c>
      <c r="D1179" s="61" t="s">
        <v>581</v>
      </c>
      <c r="E1179" s="2" t="s">
        <v>1671</v>
      </c>
      <c r="F1179" s="3" t="s">
        <v>1672</v>
      </c>
      <c r="G1179" s="3" t="s">
        <v>689</v>
      </c>
      <c r="H1179" s="3" t="s">
        <v>1424</v>
      </c>
      <c r="I1179" s="26" t="s">
        <v>43</v>
      </c>
      <c r="J1179" s="26"/>
      <c r="M1179" s="1" t="n">
        <v>10214401</v>
      </c>
      <c r="N1179" s="1" t="s">
        <v>76</v>
      </c>
      <c r="O1179" s="1" t="s">
        <v>77</v>
      </c>
      <c r="P1179" s="1" t="n">
        <v>36</v>
      </c>
      <c r="Q1179" s="1" t="s">
        <v>595</v>
      </c>
      <c r="R1179" s="1" t="n">
        <v>2249.86</v>
      </c>
      <c r="S1179" s="1" t="n">
        <v>3499</v>
      </c>
      <c r="T1179" s="1" t="n">
        <v>2</v>
      </c>
      <c r="U1179" s="1" t="str">
        <f aca="false">D1179&amp;"-"&amp;E1179&amp;"-"&amp;M1179&amp;"-"&amp;O1179&amp;"-"&amp;P1179&amp;"-"&amp;Q1179</f>
        <v>TRIUMPH-TRIACTION HIIT LITE P EX-10214401-BLACK-36-C</v>
      </c>
      <c r="W1179" s="1" t="s">
        <v>586</v>
      </c>
    </row>
    <row r="1180" customFormat="false" ht="15" hidden="true" customHeight="false" outlineLevel="0" collapsed="false">
      <c r="B1180" s="134" t="n">
        <v>7613111083386</v>
      </c>
      <c r="C1180" s="2" t="s">
        <v>580</v>
      </c>
      <c r="D1180" s="61" t="s">
        <v>581</v>
      </c>
      <c r="E1180" s="2" t="s">
        <v>1678</v>
      </c>
      <c r="F1180" s="3" t="s">
        <v>1672</v>
      </c>
      <c r="G1180" s="3" t="s">
        <v>689</v>
      </c>
      <c r="H1180" s="3" t="s">
        <v>1424</v>
      </c>
      <c r="I1180" s="26" t="s">
        <v>43</v>
      </c>
      <c r="J1180" s="26"/>
      <c r="M1180" s="1" t="s">
        <v>1673</v>
      </c>
      <c r="N1180" s="1" t="s">
        <v>76</v>
      </c>
      <c r="O1180" s="1" t="s">
        <v>77</v>
      </c>
      <c r="P1180" s="1" t="n">
        <v>38</v>
      </c>
      <c r="Q1180" s="1" t="s">
        <v>595</v>
      </c>
      <c r="R1180" s="1" t="n">
        <v>2249.86</v>
      </c>
      <c r="S1180" s="1" t="n">
        <v>3499</v>
      </c>
      <c r="T1180" s="1" t="n">
        <v>1</v>
      </c>
      <c r="U1180" s="1" t="str">
        <f aca="false">D1180&amp;"-"&amp;E1180&amp;"-"&amp;M1180&amp;"-"&amp;O1180&amp;"-"&amp;P1180&amp;"-"&amp;Q1180</f>
        <v>TRIUMPH-TRIACTION HYBRID LITE ISP P-110-508-BLACK-38-C</v>
      </c>
      <c r="W1180" s="1" t="s">
        <v>586</v>
      </c>
    </row>
    <row r="1181" customFormat="false" ht="15" hidden="true" customHeight="false" outlineLevel="0" collapsed="false">
      <c r="B1181" s="134" t="n">
        <v>7613111083454</v>
      </c>
      <c r="C1181" s="2" t="s">
        <v>580</v>
      </c>
      <c r="D1181" s="61" t="s">
        <v>581</v>
      </c>
      <c r="E1181" s="2" t="s">
        <v>1678</v>
      </c>
      <c r="F1181" s="3" t="s">
        <v>1672</v>
      </c>
      <c r="G1181" s="3" t="s">
        <v>689</v>
      </c>
      <c r="H1181" s="3" t="s">
        <v>1424</v>
      </c>
      <c r="I1181" s="26" t="s">
        <v>43</v>
      </c>
      <c r="J1181" s="26"/>
      <c r="N1181" s="1" t="s">
        <v>76</v>
      </c>
      <c r="O1181" s="1" t="s">
        <v>77</v>
      </c>
      <c r="P1181" s="1" t="n">
        <v>38</v>
      </c>
      <c r="Q1181" s="1" t="s">
        <v>97</v>
      </c>
      <c r="R1181" s="1" t="n">
        <v>2249.86</v>
      </c>
      <c r="S1181" s="1" t="n">
        <v>3499</v>
      </c>
      <c r="T1181" s="1" t="n">
        <v>2</v>
      </c>
      <c r="U1181" s="1" t="str">
        <f aca="false">D1181&amp;"-"&amp;E1181&amp;"-"&amp;M1181&amp;"-"&amp;O1181&amp;"-"&amp;P1181&amp;"-"&amp;Q1181</f>
        <v>TRIUMPH-TRIACTION HYBRID LITE ISP P--BLACK-38-D</v>
      </c>
      <c r="W1181" s="1" t="s">
        <v>586</v>
      </c>
    </row>
    <row r="1182" customFormat="false" ht="15" hidden="true" customHeight="false" outlineLevel="0" collapsed="false">
      <c r="B1182" s="17" t="s">
        <v>1679</v>
      </c>
      <c r="C1182" s="17" t="s">
        <v>1680</v>
      </c>
      <c r="D1182" s="17" t="s">
        <v>1681</v>
      </c>
      <c r="E1182" s="17" t="s">
        <v>1682</v>
      </c>
      <c r="F1182" s="3" t="s">
        <v>80</v>
      </c>
      <c r="G1182" s="3" t="s">
        <v>689</v>
      </c>
      <c r="H1182" s="14" t="s">
        <v>1683</v>
      </c>
      <c r="I1182" s="26" t="s">
        <v>43</v>
      </c>
      <c r="J1182" s="26"/>
      <c r="K1182" s="19"/>
      <c r="L1182" s="19"/>
      <c r="M1182" s="17" t="s">
        <v>1684</v>
      </c>
      <c r="N1182" s="29" t="s">
        <v>76</v>
      </c>
      <c r="O1182" s="29" t="s">
        <v>437</v>
      </c>
      <c r="P1182" s="29" t="s">
        <v>92</v>
      </c>
      <c r="Q1182" s="17" t="s">
        <v>592</v>
      </c>
      <c r="R1182" s="16" t="n">
        <v>239.36</v>
      </c>
      <c r="S1182" s="16" t="n">
        <v>369</v>
      </c>
      <c r="T1182" s="136" t="n">
        <v>2</v>
      </c>
      <c r="U1182" s="1" t="str">
        <f aca="false">D1182&amp;"-"&amp;E1182&amp;"-"&amp;M1182&amp;"-"&amp;O1182&amp;"-"&amp;P1182&amp;"-"&amp;Q1182</f>
        <v>Envie-1057 EVERYDAY BRA-1057-Black-32-B</v>
      </c>
    </row>
    <row r="1183" customFormat="false" ht="15" hidden="true" customHeight="false" outlineLevel="0" collapsed="false">
      <c r="B1183" s="29" t="s">
        <v>1685</v>
      </c>
      <c r="C1183" s="17" t="s">
        <v>1680</v>
      </c>
      <c r="D1183" s="17" t="s">
        <v>1681</v>
      </c>
      <c r="E1183" s="17" t="s">
        <v>1682</v>
      </c>
      <c r="F1183" s="3" t="s">
        <v>80</v>
      </c>
      <c r="G1183" s="3" t="s">
        <v>689</v>
      </c>
      <c r="H1183" s="14" t="s">
        <v>1683</v>
      </c>
      <c r="I1183" s="26" t="s">
        <v>43</v>
      </c>
      <c r="J1183" s="26"/>
      <c r="K1183" s="19"/>
      <c r="L1183" s="19"/>
      <c r="M1183" s="17" t="s">
        <v>1684</v>
      </c>
      <c r="N1183" s="29" t="s">
        <v>1221</v>
      </c>
      <c r="O1183" s="29" t="s">
        <v>73</v>
      </c>
      <c r="P1183" s="29" t="s">
        <v>92</v>
      </c>
      <c r="Q1183" s="29" t="s">
        <v>592</v>
      </c>
      <c r="R1183" s="16" t="n">
        <v>239.36</v>
      </c>
      <c r="S1183" s="16" t="n">
        <v>369</v>
      </c>
      <c r="T1183" s="136" t="n">
        <v>2</v>
      </c>
      <c r="U1183" s="1" t="str">
        <f aca="false">D1183&amp;"-"&amp;E1183&amp;"-"&amp;M1183&amp;"-"&amp;O1183&amp;"-"&amp;P1183&amp;"-"&amp;Q1183</f>
        <v>Envie-1057 EVERYDAY BRA-1057-White-32-B</v>
      </c>
    </row>
    <row r="1184" customFormat="false" ht="15" hidden="true" customHeight="false" outlineLevel="0" collapsed="false">
      <c r="B1184" s="17" t="s">
        <v>1686</v>
      </c>
      <c r="C1184" s="17" t="s">
        <v>1680</v>
      </c>
      <c r="D1184" s="17" t="s">
        <v>1681</v>
      </c>
      <c r="E1184" s="17" t="s">
        <v>1682</v>
      </c>
      <c r="F1184" s="3" t="s">
        <v>80</v>
      </c>
      <c r="G1184" s="3" t="s">
        <v>689</v>
      </c>
      <c r="H1184" s="14" t="s">
        <v>1683</v>
      </c>
      <c r="I1184" s="26" t="s">
        <v>43</v>
      </c>
      <c r="J1184" s="26"/>
      <c r="K1184" s="19"/>
      <c r="L1184" s="19"/>
      <c r="M1184" s="17" t="s">
        <v>1684</v>
      </c>
      <c r="N1184" s="29" t="s">
        <v>465</v>
      </c>
      <c r="O1184" s="17" t="s">
        <v>1687</v>
      </c>
      <c r="P1184" s="29" t="s">
        <v>92</v>
      </c>
      <c r="Q1184" s="17" t="s">
        <v>592</v>
      </c>
      <c r="R1184" s="16" t="n">
        <v>239.36</v>
      </c>
      <c r="S1184" s="16" t="n">
        <v>369</v>
      </c>
      <c r="T1184" s="136" t="n">
        <v>4</v>
      </c>
      <c r="U1184" s="1" t="str">
        <f aca="false">D1184&amp;"-"&amp;E1184&amp;"-"&amp;M1184&amp;"-"&amp;O1184&amp;"-"&amp;P1184&amp;"-"&amp;Q1184</f>
        <v>Envie-1057 EVERYDAY BRA-1057-Nude-32-B</v>
      </c>
    </row>
    <row r="1185" customFormat="false" ht="15" hidden="true" customHeight="false" outlineLevel="0" collapsed="false">
      <c r="B1185" s="29" t="s">
        <v>1688</v>
      </c>
      <c r="C1185" s="17" t="s">
        <v>1680</v>
      </c>
      <c r="D1185" s="17" t="s">
        <v>1681</v>
      </c>
      <c r="E1185" s="17" t="s">
        <v>1682</v>
      </c>
      <c r="F1185" s="3" t="s">
        <v>80</v>
      </c>
      <c r="G1185" s="3" t="s">
        <v>689</v>
      </c>
      <c r="H1185" s="14" t="s">
        <v>1683</v>
      </c>
      <c r="I1185" s="26" t="s">
        <v>43</v>
      </c>
      <c r="J1185" s="26"/>
      <c r="K1185" s="19"/>
      <c r="L1185" s="19"/>
      <c r="M1185" s="17" t="s">
        <v>1684</v>
      </c>
      <c r="N1185" s="29" t="s">
        <v>76</v>
      </c>
      <c r="O1185" s="29" t="s">
        <v>437</v>
      </c>
      <c r="P1185" s="29" t="s">
        <v>92</v>
      </c>
      <c r="Q1185" s="29" t="s">
        <v>595</v>
      </c>
      <c r="R1185" s="16" t="n">
        <v>239.36</v>
      </c>
      <c r="S1185" s="16" t="n">
        <v>369</v>
      </c>
      <c r="T1185" s="136" t="n">
        <v>3</v>
      </c>
      <c r="U1185" s="1" t="str">
        <f aca="false">D1185&amp;"-"&amp;E1185&amp;"-"&amp;M1185&amp;"-"&amp;O1185&amp;"-"&amp;P1185&amp;"-"&amp;Q1185</f>
        <v>Envie-1057 EVERYDAY BRA-1057-Black-32-C</v>
      </c>
    </row>
    <row r="1186" customFormat="false" ht="15" hidden="true" customHeight="false" outlineLevel="0" collapsed="false">
      <c r="B1186" s="17" t="s">
        <v>1689</v>
      </c>
      <c r="C1186" s="17" t="s">
        <v>1680</v>
      </c>
      <c r="D1186" s="17" t="s">
        <v>1681</v>
      </c>
      <c r="E1186" s="17" t="s">
        <v>1682</v>
      </c>
      <c r="F1186" s="3" t="s">
        <v>80</v>
      </c>
      <c r="G1186" s="3" t="s">
        <v>689</v>
      </c>
      <c r="H1186" s="14" t="s">
        <v>1683</v>
      </c>
      <c r="I1186" s="26" t="s">
        <v>43</v>
      </c>
      <c r="J1186" s="26"/>
      <c r="K1186" s="19"/>
      <c r="L1186" s="19"/>
      <c r="M1186" s="17" t="s">
        <v>1684</v>
      </c>
      <c r="N1186" s="29" t="s">
        <v>1221</v>
      </c>
      <c r="O1186" s="17" t="s">
        <v>72</v>
      </c>
      <c r="P1186" s="29" t="s">
        <v>92</v>
      </c>
      <c r="Q1186" s="17" t="s">
        <v>595</v>
      </c>
      <c r="R1186" s="16" t="n">
        <v>239.36</v>
      </c>
      <c r="S1186" s="16" t="n">
        <v>369</v>
      </c>
      <c r="T1186" s="136" t="n">
        <v>4</v>
      </c>
      <c r="U1186" s="1" t="str">
        <f aca="false">D1186&amp;"-"&amp;E1186&amp;"-"&amp;M1186&amp;"-"&amp;O1186&amp;"-"&amp;P1186&amp;"-"&amp;Q1186</f>
        <v>Envie-1057 EVERYDAY BRA-1057-WHE-32-C</v>
      </c>
    </row>
    <row r="1187" customFormat="false" ht="15" hidden="true" customHeight="false" outlineLevel="0" collapsed="false">
      <c r="B1187" s="29" t="s">
        <v>1690</v>
      </c>
      <c r="C1187" s="17" t="s">
        <v>1680</v>
      </c>
      <c r="D1187" s="17" t="s">
        <v>1681</v>
      </c>
      <c r="E1187" s="17" t="s">
        <v>1682</v>
      </c>
      <c r="F1187" s="3" t="s">
        <v>80</v>
      </c>
      <c r="G1187" s="3" t="s">
        <v>689</v>
      </c>
      <c r="H1187" s="14" t="s">
        <v>1683</v>
      </c>
      <c r="I1187" s="26" t="s">
        <v>43</v>
      </c>
      <c r="J1187" s="26"/>
      <c r="K1187" s="19"/>
      <c r="L1187" s="19"/>
      <c r="M1187" s="17" t="s">
        <v>1684</v>
      </c>
      <c r="N1187" s="29" t="s">
        <v>465</v>
      </c>
      <c r="O1187" s="29" t="s">
        <v>1687</v>
      </c>
      <c r="P1187" s="29" t="s">
        <v>92</v>
      </c>
      <c r="Q1187" s="29" t="s">
        <v>595</v>
      </c>
      <c r="R1187" s="16" t="n">
        <v>239.36</v>
      </c>
      <c r="S1187" s="16" t="n">
        <v>369</v>
      </c>
      <c r="T1187" s="136" t="n">
        <v>4</v>
      </c>
      <c r="U1187" s="1" t="str">
        <f aca="false">D1187&amp;"-"&amp;E1187&amp;"-"&amp;M1187&amp;"-"&amp;O1187&amp;"-"&amp;P1187&amp;"-"&amp;Q1187</f>
        <v>Envie-1057 EVERYDAY BRA-1057-Nude-32-C</v>
      </c>
    </row>
    <row r="1188" customFormat="false" ht="15" hidden="true" customHeight="false" outlineLevel="0" collapsed="false">
      <c r="B1188" s="17" t="s">
        <v>1691</v>
      </c>
      <c r="C1188" s="17" t="s">
        <v>1680</v>
      </c>
      <c r="D1188" s="17" t="s">
        <v>1681</v>
      </c>
      <c r="E1188" s="17" t="s">
        <v>1682</v>
      </c>
      <c r="F1188" s="3" t="s">
        <v>80</v>
      </c>
      <c r="G1188" s="3" t="s">
        <v>689</v>
      </c>
      <c r="H1188" s="14" t="s">
        <v>1683</v>
      </c>
      <c r="I1188" s="26" t="s">
        <v>43</v>
      </c>
      <c r="J1188" s="26"/>
      <c r="K1188" s="19"/>
      <c r="L1188" s="19"/>
      <c r="M1188" s="17" t="s">
        <v>1684</v>
      </c>
      <c r="N1188" s="17" t="s">
        <v>76</v>
      </c>
      <c r="O1188" s="29" t="s">
        <v>437</v>
      </c>
      <c r="P1188" s="17" t="s">
        <v>134</v>
      </c>
      <c r="Q1188" s="17" t="s">
        <v>592</v>
      </c>
      <c r="R1188" s="16" t="n">
        <v>239.36</v>
      </c>
      <c r="S1188" s="16" t="n">
        <v>369</v>
      </c>
      <c r="T1188" s="136" t="n">
        <v>3</v>
      </c>
      <c r="U1188" s="1" t="str">
        <f aca="false">D1188&amp;"-"&amp;E1188&amp;"-"&amp;M1188&amp;"-"&amp;O1188&amp;"-"&amp;P1188&amp;"-"&amp;Q1188</f>
        <v>Envie-1057 EVERYDAY BRA-1057-Black-34-B</v>
      </c>
    </row>
    <row r="1189" customFormat="false" ht="15" hidden="true" customHeight="false" outlineLevel="0" collapsed="false">
      <c r="B1189" s="29" t="s">
        <v>1692</v>
      </c>
      <c r="C1189" s="17" t="s">
        <v>1680</v>
      </c>
      <c r="D1189" s="17" t="s">
        <v>1681</v>
      </c>
      <c r="E1189" s="17" t="s">
        <v>1682</v>
      </c>
      <c r="F1189" s="3" t="s">
        <v>80</v>
      </c>
      <c r="G1189" s="3" t="s">
        <v>689</v>
      </c>
      <c r="H1189" s="14" t="s">
        <v>1683</v>
      </c>
      <c r="I1189" s="26" t="s">
        <v>43</v>
      </c>
      <c r="J1189" s="26"/>
      <c r="K1189" s="19"/>
      <c r="L1189" s="19"/>
      <c r="M1189" s="17" t="s">
        <v>1684</v>
      </c>
      <c r="N1189" s="29" t="s">
        <v>465</v>
      </c>
      <c r="O1189" s="29" t="s">
        <v>1687</v>
      </c>
      <c r="P1189" s="29" t="s">
        <v>134</v>
      </c>
      <c r="Q1189" s="29" t="s">
        <v>592</v>
      </c>
      <c r="R1189" s="16" t="n">
        <v>239.36</v>
      </c>
      <c r="S1189" s="16" t="n">
        <v>369</v>
      </c>
      <c r="T1189" s="136" t="n">
        <v>2</v>
      </c>
      <c r="U1189" s="1" t="str">
        <f aca="false">D1189&amp;"-"&amp;E1189&amp;"-"&amp;M1189&amp;"-"&amp;O1189&amp;"-"&amp;P1189&amp;"-"&amp;Q1189</f>
        <v>Envie-1057 EVERYDAY BRA-1057-Nude-34-B</v>
      </c>
    </row>
    <row r="1190" customFormat="false" ht="15" hidden="true" customHeight="false" outlineLevel="0" collapsed="false">
      <c r="B1190" s="17" t="s">
        <v>1693</v>
      </c>
      <c r="C1190" s="17" t="s">
        <v>1680</v>
      </c>
      <c r="D1190" s="17" t="s">
        <v>1681</v>
      </c>
      <c r="E1190" s="17" t="s">
        <v>1682</v>
      </c>
      <c r="F1190" s="3" t="s">
        <v>80</v>
      </c>
      <c r="G1190" s="3" t="s">
        <v>689</v>
      </c>
      <c r="H1190" s="14" t="s">
        <v>1683</v>
      </c>
      <c r="I1190" s="26" t="s">
        <v>43</v>
      </c>
      <c r="J1190" s="26"/>
      <c r="K1190" s="19"/>
      <c r="L1190" s="19"/>
      <c r="M1190" s="17" t="s">
        <v>1684</v>
      </c>
      <c r="N1190" s="17" t="s">
        <v>1221</v>
      </c>
      <c r="O1190" s="17" t="s">
        <v>73</v>
      </c>
      <c r="P1190" s="17" t="s">
        <v>134</v>
      </c>
      <c r="Q1190" s="17" t="s">
        <v>595</v>
      </c>
      <c r="R1190" s="16" t="n">
        <v>239.36</v>
      </c>
      <c r="S1190" s="16" t="n">
        <v>369</v>
      </c>
      <c r="T1190" s="136" t="n">
        <v>2</v>
      </c>
      <c r="U1190" s="1" t="str">
        <f aca="false">D1190&amp;"-"&amp;E1190&amp;"-"&amp;M1190&amp;"-"&amp;O1190&amp;"-"&amp;P1190&amp;"-"&amp;Q1190</f>
        <v>Envie-1057 EVERYDAY BRA-1057-White-34-C</v>
      </c>
    </row>
    <row r="1191" customFormat="false" ht="15" hidden="true" customHeight="false" outlineLevel="0" collapsed="false">
      <c r="B1191" s="29" t="s">
        <v>1694</v>
      </c>
      <c r="C1191" s="17" t="s">
        <v>1680</v>
      </c>
      <c r="D1191" s="17" t="s">
        <v>1681</v>
      </c>
      <c r="E1191" s="17" t="s">
        <v>1682</v>
      </c>
      <c r="F1191" s="3" t="s">
        <v>80</v>
      </c>
      <c r="G1191" s="3" t="s">
        <v>689</v>
      </c>
      <c r="H1191" s="14" t="s">
        <v>1683</v>
      </c>
      <c r="I1191" s="26" t="s">
        <v>43</v>
      </c>
      <c r="J1191" s="26"/>
      <c r="K1191" s="19"/>
      <c r="L1191" s="19"/>
      <c r="M1191" s="17" t="s">
        <v>1684</v>
      </c>
      <c r="N1191" s="29" t="s">
        <v>76</v>
      </c>
      <c r="O1191" s="29" t="s">
        <v>437</v>
      </c>
      <c r="P1191" s="29" t="s">
        <v>134</v>
      </c>
      <c r="Q1191" s="29" t="s">
        <v>595</v>
      </c>
      <c r="R1191" s="16" t="n">
        <v>239.36</v>
      </c>
      <c r="S1191" s="16" t="n">
        <v>369</v>
      </c>
      <c r="T1191" s="136" t="n">
        <v>1</v>
      </c>
      <c r="U1191" s="1" t="str">
        <f aca="false">D1191&amp;"-"&amp;E1191&amp;"-"&amp;M1191&amp;"-"&amp;O1191&amp;"-"&amp;P1191&amp;"-"&amp;Q1191</f>
        <v>Envie-1057 EVERYDAY BRA-1057-Black-34-C</v>
      </c>
    </row>
    <row r="1192" customFormat="false" ht="15" hidden="true" customHeight="false" outlineLevel="0" collapsed="false">
      <c r="B1192" s="17" t="s">
        <v>1695</v>
      </c>
      <c r="C1192" s="17" t="s">
        <v>1680</v>
      </c>
      <c r="D1192" s="17" t="s">
        <v>1681</v>
      </c>
      <c r="E1192" s="17" t="s">
        <v>1682</v>
      </c>
      <c r="F1192" s="3" t="s">
        <v>80</v>
      </c>
      <c r="G1192" s="3" t="s">
        <v>689</v>
      </c>
      <c r="H1192" s="14" t="s">
        <v>1683</v>
      </c>
      <c r="I1192" s="26" t="s">
        <v>43</v>
      </c>
      <c r="J1192" s="26"/>
      <c r="K1192" s="19"/>
      <c r="L1192" s="19"/>
      <c r="M1192" s="17" t="s">
        <v>1684</v>
      </c>
      <c r="N1192" s="17" t="s">
        <v>465</v>
      </c>
      <c r="O1192" s="17" t="s">
        <v>1687</v>
      </c>
      <c r="P1192" s="17" t="s">
        <v>134</v>
      </c>
      <c r="Q1192" s="17" t="s">
        <v>595</v>
      </c>
      <c r="R1192" s="16" t="n">
        <v>239.36</v>
      </c>
      <c r="S1192" s="16" t="n">
        <v>369</v>
      </c>
      <c r="T1192" s="136" t="n">
        <v>2</v>
      </c>
      <c r="U1192" s="1" t="str">
        <f aca="false">D1192&amp;"-"&amp;E1192&amp;"-"&amp;M1192&amp;"-"&amp;O1192&amp;"-"&amp;P1192&amp;"-"&amp;Q1192</f>
        <v>Envie-1057 EVERYDAY BRA-1057-Nude-34-C</v>
      </c>
    </row>
    <row r="1193" customFormat="false" ht="15" hidden="true" customHeight="false" outlineLevel="0" collapsed="false">
      <c r="B1193" s="29" t="s">
        <v>1696</v>
      </c>
      <c r="C1193" s="17" t="s">
        <v>1680</v>
      </c>
      <c r="D1193" s="17" t="s">
        <v>1681</v>
      </c>
      <c r="E1193" s="17" t="s">
        <v>1697</v>
      </c>
      <c r="F1193" s="3" t="s">
        <v>80</v>
      </c>
      <c r="G1193" s="3" t="s">
        <v>689</v>
      </c>
      <c r="H1193" s="14" t="s">
        <v>1683</v>
      </c>
      <c r="I1193" s="26" t="s">
        <v>43</v>
      </c>
      <c r="J1193" s="26"/>
      <c r="K1193" s="19"/>
      <c r="L1193" s="19"/>
      <c r="M1193" s="29" t="s">
        <v>1698</v>
      </c>
      <c r="N1193" s="29" t="s">
        <v>1221</v>
      </c>
      <c r="O1193" s="17" t="s">
        <v>73</v>
      </c>
      <c r="P1193" s="29" t="s">
        <v>92</v>
      </c>
      <c r="Q1193" s="29" t="s">
        <v>592</v>
      </c>
      <c r="R1193" s="16" t="n">
        <v>251.4</v>
      </c>
      <c r="S1193" s="16" t="n">
        <v>419</v>
      </c>
      <c r="T1193" s="136" t="n">
        <v>2</v>
      </c>
      <c r="U1193" s="1" t="str">
        <f aca="false">D1193&amp;"-"&amp;E1193&amp;"-"&amp;M1193&amp;"-"&amp;O1193&amp;"-"&amp;P1193&amp;"-"&amp;Q1193</f>
        <v>Envie-1024 EVERYDAY BRA-1024-White-32-B</v>
      </c>
    </row>
    <row r="1194" customFormat="false" ht="15" hidden="true" customHeight="false" outlineLevel="0" collapsed="false">
      <c r="B1194" s="17" t="s">
        <v>1699</v>
      </c>
      <c r="C1194" s="17" t="s">
        <v>1680</v>
      </c>
      <c r="D1194" s="17" t="s">
        <v>1681</v>
      </c>
      <c r="E1194" s="17" t="s">
        <v>1697</v>
      </c>
      <c r="F1194" s="3" t="s">
        <v>80</v>
      </c>
      <c r="G1194" s="3" t="s">
        <v>689</v>
      </c>
      <c r="H1194" s="14" t="s">
        <v>1683</v>
      </c>
      <c r="I1194" s="26" t="s">
        <v>43</v>
      </c>
      <c r="J1194" s="26"/>
      <c r="K1194" s="19"/>
      <c r="L1194" s="19"/>
      <c r="M1194" s="29" t="s">
        <v>1698</v>
      </c>
      <c r="N1194" s="29" t="s">
        <v>1221</v>
      </c>
      <c r="O1194" s="17" t="s">
        <v>73</v>
      </c>
      <c r="P1194" s="29" t="s">
        <v>92</v>
      </c>
      <c r="Q1194" s="17" t="s">
        <v>595</v>
      </c>
      <c r="R1194" s="16" t="n">
        <v>251.4</v>
      </c>
      <c r="S1194" s="16" t="n">
        <v>419</v>
      </c>
      <c r="T1194" s="136" t="n">
        <v>3</v>
      </c>
      <c r="U1194" s="1" t="str">
        <f aca="false">D1194&amp;"-"&amp;E1194&amp;"-"&amp;M1194&amp;"-"&amp;O1194&amp;"-"&amp;P1194&amp;"-"&amp;Q1194</f>
        <v>Envie-1024 EVERYDAY BRA-1024-White-32-C</v>
      </c>
    </row>
    <row r="1195" customFormat="false" ht="15" hidden="true" customHeight="false" outlineLevel="0" collapsed="false">
      <c r="B1195" s="29" t="s">
        <v>1700</v>
      </c>
      <c r="C1195" s="17" t="s">
        <v>1680</v>
      </c>
      <c r="D1195" s="17" t="s">
        <v>1681</v>
      </c>
      <c r="E1195" s="17" t="s">
        <v>1697</v>
      </c>
      <c r="F1195" s="3" t="s">
        <v>80</v>
      </c>
      <c r="G1195" s="3" t="s">
        <v>689</v>
      </c>
      <c r="H1195" s="14" t="s">
        <v>1683</v>
      </c>
      <c r="I1195" s="26" t="s">
        <v>43</v>
      </c>
      <c r="J1195" s="26"/>
      <c r="K1195" s="19"/>
      <c r="L1195" s="19"/>
      <c r="M1195" s="29" t="s">
        <v>1698</v>
      </c>
      <c r="N1195" s="29" t="s">
        <v>465</v>
      </c>
      <c r="O1195" s="29" t="s">
        <v>465</v>
      </c>
      <c r="P1195" s="29" t="s">
        <v>92</v>
      </c>
      <c r="Q1195" s="29" t="s">
        <v>595</v>
      </c>
      <c r="R1195" s="16" t="n">
        <v>251.4</v>
      </c>
      <c r="S1195" s="16" t="n">
        <v>419</v>
      </c>
      <c r="T1195" s="136" t="n">
        <v>3</v>
      </c>
      <c r="U1195" s="1" t="str">
        <f aca="false">D1195&amp;"-"&amp;E1195&amp;"-"&amp;M1195&amp;"-"&amp;O1195&amp;"-"&amp;P1195&amp;"-"&amp;Q1195</f>
        <v>Envie-1024 EVERYDAY BRA-1024-SKIN-32-C</v>
      </c>
    </row>
    <row r="1196" customFormat="false" ht="15" hidden="true" customHeight="false" outlineLevel="0" collapsed="false">
      <c r="B1196" s="17" t="s">
        <v>1701</v>
      </c>
      <c r="C1196" s="17" t="s">
        <v>1680</v>
      </c>
      <c r="D1196" s="17" t="s">
        <v>1681</v>
      </c>
      <c r="E1196" s="17" t="s">
        <v>1697</v>
      </c>
      <c r="F1196" s="3" t="s">
        <v>80</v>
      </c>
      <c r="G1196" s="3" t="s">
        <v>689</v>
      </c>
      <c r="H1196" s="14" t="s">
        <v>1683</v>
      </c>
      <c r="I1196" s="26" t="s">
        <v>43</v>
      </c>
      <c r="J1196" s="26"/>
      <c r="K1196" s="19"/>
      <c r="L1196" s="19"/>
      <c r="M1196" s="29" t="s">
        <v>1698</v>
      </c>
      <c r="N1196" s="17" t="s">
        <v>76</v>
      </c>
      <c r="O1196" s="17" t="s">
        <v>437</v>
      </c>
      <c r="P1196" s="17" t="s">
        <v>134</v>
      </c>
      <c r="Q1196" s="17" t="s">
        <v>592</v>
      </c>
      <c r="R1196" s="16" t="n">
        <v>251.4</v>
      </c>
      <c r="S1196" s="16" t="n">
        <v>419</v>
      </c>
      <c r="T1196" s="136" t="n">
        <v>3</v>
      </c>
      <c r="U1196" s="1" t="str">
        <f aca="false">D1196&amp;"-"&amp;E1196&amp;"-"&amp;M1196&amp;"-"&amp;O1196&amp;"-"&amp;P1196&amp;"-"&amp;Q1196</f>
        <v>Envie-1024 EVERYDAY BRA-1024-Black-34-B</v>
      </c>
    </row>
    <row r="1197" customFormat="false" ht="15" hidden="true" customHeight="false" outlineLevel="0" collapsed="false">
      <c r="B1197" s="29" t="s">
        <v>1702</v>
      </c>
      <c r="C1197" s="17" t="s">
        <v>1680</v>
      </c>
      <c r="D1197" s="17" t="s">
        <v>1681</v>
      </c>
      <c r="E1197" s="17" t="s">
        <v>1697</v>
      </c>
      <c r="F1197" s="3" t="s">
        <v>80</v>
      </c>
      <c r="G1197" s="3" t="s">
        <v>689</v>
      </c>
      <c r="H1197" s="14" t="s">
        <v>1683</v>
      </c>
      <c r="I1197" s="26" t="s">
        <v>43</v>
      </c>
      <c r="J1197" s="26"/>
      <c r="K1197" s="19"/>
      <c r="L1197" s="19"/>
      <c r="M1197" s="29" t="s">
        <v>1698</v>
      </c>
      <c r="N1197" s="29" t="s">
        <v>1221</v>
      </c>
      <c r="O1197" s="29" t="s">
        <v>73</v>
      </c>
      <c r="P1197" s="29" t="s">
        <v>134</v>
      </c>
      <c r="Q1197" s="29" t="s">
        <v>592</v>
      </c>
      <c r="R1197" s="16" t="n">
        <v>251.4</v>
      </c>
      <c r="S1197" s="16" t="n">
        <v>419</v>
      </c>
      <c r="T1197" s="136" t="n">
        <v>2</v>
      </c>
      <c r="U1197" s="1" t="str">
        <f aca="false">D1197&amp;"-"&amp;E1197&amp;"-"&amp;M1197&amp;"-"&amp;O1197&amp;"-"&amp;P1197&amp;"-"&amp;Q1197</f>
        <v>Envie-1024 EVERYDAY BRA-1024-White-34-B</v>
      </c>
    </row>
    <row r="1198" customFormat="false" ht="15" hidden="true" customHeight="false" outlineLevel="0" collapsed="false">
      <c r="A1198" s="137"/>
      <c r="B1198" s="138" t="n">
        <v>8904333912974</v>
      </c>
      <c r="C1198" s="17" t="s">
        <v>1680</v>
      </c>
      <c r="D1198" s="17" t="s">
        <v>1681</v>
      </c>
      <c r="E1198" s="17" t="s">
        <v>1697</v>
      </c>
      <c r="F1198" s="3" t="s">
        <v>80</v>
      </c>
      <c r="G1198" s="3" t="s">
        <v>689</v>
      </c>
      <c r="H1198" s="14" t="s">
        <v>1683</v>
      </c>
      <c r="I1198" s="26" t="s">
        <v>43</v>
      </c>
      <c r="J1198" s="131"/>
      <c r="K1198" s="139"/>
      <c r="L1198" s="140"/>
      <c r="M1198" s="29" t="s">
        <v>1698</v>
      </c>
      <c r="N1198" s="29" t="s">
        <v>465</v>
      </c>
      <c r="O1198" s="29" t="s">
        <v>1687</v>
      </c>
      <c r="P1198" s="29" t="s">
        <v>134</v>
      </c>
      <c r="Q1198" s="79" t="s">
        <v>592</v>
      </c>
      <c r="R1198" s="16" t="n">
        <v>251.4</v>
      </c>
      <c r="S1198" s="16" t="n">
        <v>419</v>
      </c>
      <c r="T1198" s="136" t="n">
        <v>3</v>
      </c>
      <c r="U1198" s="1" t="str">
        <f aca="false">D1198&amp;"-"&amp;E1198&amp;"-"&amp;M1198&amp;"-"&amp;O1198&amp;"-"&amp;P1198&amp;"-"&amp;Q1198</f>
        <v>Envie-1024 EVERYDAY BRA-1024-Nude-34-B</v>
      </c>
    </row>
    <row r="1199" customFormat="false" ht="15" hidden="true" customHeight="false" outlineLevel="0" collapsed="false">
      <c r="B1199" s="29" t="s">
        <v>1703</v>
      </c>
      <c r="C1199" s="17" t="s">
        <v>1680</v>
      </c>
      <c r="D1199" s="17" t="s">
        <v>1681</v>
      </c>
      <c r="E1199" s="29" t="s">
        <v>1704</v>
      </c>
      <c r="F1199" s="3" t="s">
        <v>80</v>
      </c>
      <c r="G1199" s="3" t="s">
        <v>689</v>
      </c>
      <c r="H1199" s="14" t="s">
        <v>1683</v>
      </c>
      <c r="I1199" s="26" t="s">
        <v>43</v>
      </c>
      <c r="J1199" s="26"/>
      <c r="K1199" s="19"/>
      <c r="L1199" s="19"/>
      <c r="M1199" s="29" t="s">
        <v>1705</v>
      </c>
      <c r="N1199" s="29" t="s">
        <v>76</v>
      </c>
      <c r="O1199" s="29" t="s">
        <v>437</v>
      </c>
      <c r="P1199" s="29" t="s">
        <v>55</v>
      </c>
      <c r="Q1199" s="29" t="s">
        <v>592</v>
      </c>
      <c r="R1199" s="16" t="n">
        <v>191.95</v>
      </c>
      <c r="S1199" s="16" t="n">
        <v>349</v>
      </c>
      <c r="T1199" s="136" t="n">
        <v>1</v>
      </c>
      <c r="U1199" s="1" t="str">
        <f aca="false">D1199&amp;"-"&amp;E1199&amp;"-"&amp;M1199&amp;"-"&amp;O1199&amp;"-"&amp;P1199&amp;"-"&amp;Q1199</f>
        <v>Envie-1002 EVERYDAY BRA-1002-Black-30-B</v>
      </c>
    </row>
    <row r="1200" customFormat="false" ht="15" hidden="true" customHeight="false" outlineLevel="0" collapsed="false">
      <c r="B1200" s="17" t="s">
        <v>1706</v>
      </c>
      <c r="C1200" s="17" t="s">
        <v>1680</v>
      </c>
      <c r="D1200" s="17" t="s">
        <v>1681</v>
      </c>
      <c r="E1200" s="29" t="s">
        <v>1704</v>
      </c>
      <c r="F1200" s="3" t="s">
        <v>80</v>
      </c>
      <c r="G1200" s="3" t="s">
        <v>689</v>
      </c>
      <c r="H1200" s="14" t="s">
        <v>1683</v>
      </c>
      <c r="I1200" s="26" t="s">
        <v>43</v>
      </c>
      <c r="J1200" s="26"/>
      <c r="K1200" s="19"/>
      <c r="L1200" s="19"/>
      <c r="M1200" s="29" t="s">
        <v>1705</v>
      </c>
      <c r="N1200" s="29" t="s">
        <v>465</v>
      </c>
      <c r="O1200" s="17" t="s">
        <v>1687</v>
      </c>
      <c r="P1200" s="29" t="s">
        <v>55</v>
      </c>
      <c r="Q1200" s="17" t="s">
        <v>592</v>
      </c>
      <c r="R1200" s="16" t="n">
        <v>191.95</v>
      </c>
      <c r="S1200" s="16" t="n">
        <v>349</v>
      </c>
      <c r="T1200" s="136" t="n">
        <v>1</v>
      </c>
      <c r="U1200" s="1" t="str">
        <f aca="false">D1200&amp;"-"&amp;E1200&amp;"-"&amp;M1200&amp;"-"&amp;O1200&amp;"-"&amp;P1200&amp;"-"&amp;Q1200</f>
        <v>Envie-1002 EVERYDAY BRA-1002-Nude-30-B</v>
      </c>
    </row>
    <row r="1201" customFormat="false" ht="15" hidden="true" customHeight="false" outlineLevel="0" collapsed="false">
      <c r="B1201" s="17" t="s">
        <v>1707</v>
      </c>
      <c r="C1201" s="17" t="s">
        <v>1680</v>
      </c>
      <c r="D1201" s="17" t="s">
        <v>1681</v>
      </c>
      <c r="E1201" s="29" t="s">
        <v>1704</v>
      </c>
      <c r="F1201" s="3" t="s">
        <v>80</v>
      </c>
      <c r="G1201" s="3" t="s">
        <v>689</v>
      </c>
      <c r="H1201" s="14" t="s">
        <v>1683</v>
      </c>
      <c r="I1201" s="26" t="s">
        <v>43</v>
      </c>
      <c r="J1201" s="26"/>
      <c r="K1201" s="19"/>
      <c r="L1201" s="19"/>
      <c r="M1201" s="29" t="s">
        <v>1705</v>
      </c>
      <c r="N1201" s="17" t="s">
        <v>465</v>
      </c>
      <c r="O1201" s="17" t="s">
        <v>1687</v>
      </c>
      <c r="P1201" s="17" t="s">
        <v>92</v>
      </c>
      <c r="Q1201" s="17" t="s">
        <v>595</v>
      </c>
      <c r="R1201" s="16" t="n">
        <v>191.95</v>
      </c>
      <c r="S1201" s="16" t="n">
        <v>349</v>
      </c>
      <c r="T1201" s="136" t="n">
        <v>1</v>
      </c>
      <c r="U1201" s="1" t="str">
        <f aca="false">D1201&amp;"-"&amp;E1201&amp;"-"&amp;M1201&amp;"-"&amp;O1201&amp;"-"&amp;P1201&amp;"-"&amp;Q1201</f>
        <v>Envie-1002 EVERYDAY BRA-1002-Nude-32-C</v>
      </c>
    </row>
    <row r="1202" customFormat="false" ht="15" hidden="true" customHeight="false" outlineLevel="0" collapsed="false">
      <c r="B1202" s="17" t="s">
        <v>1708</v>
      </c>
      <c r="C1202" s="17" t="s">
        <v>1680</v>
      </c>
      <c r="D1202" s="17" t="s">
        <v>1681</v>
      </c>
      <c r="E1202" s="17" t="s">
        <v>1709</v>
      </c>
      <c r="F1202" s="3" t="s">
        <v>80</v>
      </c>
      <c r="G1202" s="3" t="s">
        <v>689</v>
      </c>
      <c r="H1202" s="14" t="s">
        <v>1683</v>
      </c>
      <c r="I1202" s="26" t="s">
        <v>43</v>
      </c>
      <c r="J1202" s="26"/>
      <c r="K1202" s="19"/>
      <c r="L1202" s="19"/>
      <c r="M1202" s="17" t="s">
        <v>1710</v>
      </c>
      <c r="N1202" s="17" t="s">
        <v>76</v>
      </c>
      <c r="O1202" s="29" t="s">
        <v>437</v>
      </c>
      <c r="P1202" s="17" t="s">
        <v>92</v>
      </c>
      <c r="Q1202" s="17" t="s">
        <v>595</v>
      </c>
      <c r="R1202" s="16" t="n">
        <v>285.45</v>
      </c>
      <c r="S1202" s="16" t="n">
        <v>419</v>
      </c>
      <c r="T1202" s="136" t="n">
        <v>1</v>
      </c>
      <c r="U1202" s="1" t="str">
        <f aca="false">D1202&amp;"-"&amp;E1202&amp;"-"&amp;M1202&amp;"-"&amp;O1202&amp;"-"&amp;P1202&amp;"-"&amp;Q1202</f>
        <v>Envie-1007 EVERYDAY BRA-1007-Black-32-C</v>
      </c>
    </row>
    <row r="1203" customFormat="false" ht="15" hidden="true" customHeight="false" outlineLevel="0" collapsed="false">
      <c r="B1203" s="29" t="s">
        <v>1711</v>
      </c>
      <c r="C1203" s="17" t="s">
        <v>1680</v>
      </c>
      <c r="D1203" s="17" t="s">
        <v>1681</v>
      </c>
      <c r="E1203" s="17" t="s">
        <v>1709</v>
      </c>
      <c r="F1203" s="3" t="s">
        <v>80</v>
      </c>
      <c r="G1203" s="3" t="s">
        <v>689</v>
      </c>
      <c r="H1203" s="14" t="s">
        <v>1683</v>
      </c>
      <c r="I1203" s="26" t="s">
        <v>43</v>
      </c>
      <c r="J1203" s="26"/>
      <c r="K1203" s="19"/>
      <c r="L1203" s="19"/>
      <c r="M1203" s="17" t="s">
        <v>1710</v>
      </c>
      <c r="N1203" s="29" t="s">
        <v>76</v>
      </c>
      <c r="O1203" s="29" t="s">
        <v>437</v>
      </c>
      <c r="P1203" s="29" t="s">
        <v>134</v>
      </c>
      <c r="Q1203" s="29" t="s">
        <v>592</v>
      </c>
      <c r="R1203" s="16" t="n">
        <v>285.45</v>
      </c>
      <c r="S1203" s="16" t="n">
        <v>419</v>
      </c>
      <c r="T1203" s="136" t="n">
        <v>1</v>
      </c>
      <c r="U1203" s="1" t="str">
        <f aca="false">D1203&amp;"-"&amp;E1203&amp;"-"&amp;M1203&amp;"-"&amp;O1203&amp;"-"&amp;P1203&amp;"-"&amp;Q1203</f>
        <v>Envie-1007 EVERYDAY BRA-1007-Black-34-B</v>
      </c>
    </row>
    <row r="1204" customFormat="false" ht="15" hidden="true" customHeight="false" outlineLevel="0" collapsed="false">
      <c r="B1204" s="29" t="s">
        <v>1712</v>
      </c>
      <c r="C1204" s="17" t="s">
        <v>1680</v>
      </c>
      <c r="D1204" s="17" t="s">
        <v>1681</v>
      </c>
      <c r="E1204" s="17" t="s">
        <v>1709</v>
      </c>
      <c r="F1204" s="3" t="s">
        <v>80</v>
      </c>
      <c r="G1204" s="3" t="s">
        <v>689</v>
      </c>
      <c r="H1204" s="14" t="s">
        <v>1683</v>
      </c>
      <c r="I1204" s="26" t="s">
        <v>43</v>
      </c>
      <c r="J1204" s="26"/>
      <c r="K1204" s="19"/>
      <c r="L1204" s="19"/>
      <c r="M1204" s="17" t="s">
        <v>1710</v>
      </c>
      <c r="N1204" s="29" t="s">
        <v>1221</v>
      </c>
      <c r="O1204" s="17" t="s">
        <v>73</v>
      </c>
      <c r="P1204" s="29" t="s">
        <v>134</v>
      </c>
      <c r="Q1204" s="29" t="s">
        <v>592</v>
      </c>
      <c r="R1204" s="16" t="n">
        <v>285.45</v>
      </c>
      <c r="S1204" s="16" t="n">
        <v>419</v>
      </c>
      <c r="T1204" s="136" t="n">
        <v>1</v>
      </c>
      <c r="U1204" s="1" t="str">
        <f aca="false">D1204&amp;"-"&amp;E1204&amp;"-"&amp;M1204&amp;"-"&amp;O1204&amp;"-"&amp;P1204&amp;"-"&amp;Q1204</f>
        <v>Envie-1007 EVERYDAY BRA-1007-White-34-B</v>
      </c>
    </row>
    <row r="1205" customFormat="false" ht="15" hidden="true" customHeight="false" outlineLevel="0" collapsed="false">
      <c r="B1205" s="17" t="s">
        <v>1713</v>
      </c>
      <c r="C1205" s="17" t="s">
        <v>1680</v>
      </c>
      <c r="D1205" s="17" t="s">
        <v>1681</v>
      </c>
      <c r="E1205" s="17" t="s">
        <v>1714</v>
      </c>
      <c r="F1205" s="3" t="s">
        <v>80</v>
      </c>
      <c r="G1205" s="3" t="s">
        <v>689</v>
      </c>
      <c r="H1205" s="14" t="s">
        <v>1683</v>
      </c>
      <c r="I1205" s="26" t="s">
        <v>43</v>
      </c>
      <c r="J1205" s="26"/>
      <c r="K1205" s="19"/>
      <c r="L1205" s="19"/>
      <c r="M1205" s="17" t="s">
        <v>1715</v>
      </c>
      <c r="N1205" s="29" t="s">
        <v>1221</v>
      </c>
      <c r="O1205" s="17" t="s">
        <v>73</v>
      </c>
      <c r="P1205" s="29" t="s">
        <v>55</v>
      </c>
      <c r="Q1205" s="16"/>
      <c r="R1205" s="16" t="n">
        <v>194.35</v>
      </c>
      <c r="S1205" s="16" t="n">
        <v>229</v>
      </c>
      <c r="T1205" s="136" t="n">
        <v>5</v>
      </c>
      <c r="U1205" s="1" t="str">
        <f aca="false">D1205&amp;"-"&amp;E1205&amp;"-"&amp;M1205&amp;"-"&amp;O1205&amp;"-"&amp;P1205&amp;"-"&amp;Q1205</f>
        <v>Envie-BIGANARS BRA-1008-White-30-</v>
      </c>
    </row>
    <row r="1206" customFormat="false" ht="15" hidden="true" customHeight="false" outlineLevel="0" collapsed="false">
      <c r="B1206" s="17" t="s">
        <v>1716</v>
      </c>
      <c r="C1206" s="17" t="s">
        <v>1680</v>
      </c>
      <c r="D1206" s="17" t="s">
        <v>1681</v>
      </c>
      <c r="E1206" s="17" t="s">
        <v>1714</v>
      </c>
      <c r="F1206" s="3" t="s">
        <v>80</v>
      </c>
      <c r="G1206" s="3" t="s">
        <v>689</v>
      </c>
      <c r="H1206" s="14" t="s">
        <v>1683</v>
      </c>
      <c r="I1206" s="26" t="s">
        <v>43</v>
      </c>
      <c r="J1206" s="26"/>
      <c r="K1206" s="19"/>
      <c r="L1206" s="19"/>
      <c r="M1206" s="17" t="s">
        <v>1715</v>
      </c>
      <c r="N1206" s="29"/>
      <c r="O1206" s="17" t="s">
        <v>89</v>
      </c>
      <c r="P1206" s="29" t="s">
        <v>55</v>
      </c>
      <c r="Q1206" s="16"/>
      <c r="R1206" s="16" t="n">
        <v>194.35</v>
      </c>
      <c r="S1206" s="16" t="n">
        <v>229</v>
      </c>
      <c r="T1206" s="136" t="n">
        <v>1</v>
      </c>
      <c r="U1206" s="1" t="str">
        <f aca="false">D1206&amp;"-"&amp;E1206&amp;"-"&amp;M1206&amp;"-"&amp;O1206&amp;"-"&amp;P1206&amp;"-"&amp;Q1206</f>
        <v>Envie-BIGANARS BRA-1008-BLUE-30-</v>
      </c>
    </row>
    <row r="1207" customFormat="false" ht="15" hidden="true" customHeight="false" outlineLevel="0" collapsed="false">
      <c r="B1207" s="17" t="s">
        <v>1717</v>
      </c>
      <c r="C1207" s="17" t="s">
        <v>1680</v>
      </c>
      <c r="D1207" s="17" t="s">
        <v>1681</v>
      </c>
      <c r="E1207" s="17" t="s">
        <v>1714</v>
      </c>
      <c r="F1207" s="3" t="s">
        <v>80</v>
      </c>
      <c r="G1207" s="3" t="s">
        <v>689</v>
      </c>
      <c r="H1207" s="14" t="s">
        <v>1683</v>
      </c>
      <c r="I1207" s="26" t="s">
        <v>43</v>
      </c>
      <c r="J1207" s="26"/>
      <c r="K1207" s="19"/>
      <c r="L1207" s="19"/>
      <c r="M1207" s="17" t="s">
        <v>1715</v>
      </c>
      <c r="N1207" s="29"/>
      <c r="O1207" s="17" t="s">
        <v>868</v>
      </c>
      <c r="P1207" s="29" t="s">
        <v>55</v>
      </c>
      <c r="Q1207" s="16"/>
      <c r="R1207" s="16" t="n">
        <v>194.35</v>
      </c>
      <c r="S1207" s="16" t="n">
        <v>229</v>
      </c>
      <c r="T1207" s="136" t="n">
        <v>1</v>
      </c>
      <c r="U1207" s="1" t="str">
        <f aca="false">D1207&amp;"-"&amp;E1207&amp;"-"&amp;M1207&amp;"-"&amp;O1207&amp;"-"&amp;P1207&amp;"-"&amp;Q1207</f>
        <v>Envie-BIGANARS BRA-1008-NUDE-30-</v>
      </c>
    </row>
    <row r="1208" customFormat="false" ht="15" hidden="true" customHeight="false" outlineLevel="0" collapsed="false">
      <c r="B1208" s="17" t="s">
        <v>1718</v>
      </c>
      <c r="C1208" s="17" t="s">
        <v>1680</v>
      </c>
      <c r="D1208" s="17" t="s">
        <v>1681</v>
      </c>
      <c r="E1208" s="17" t="s">
        <v>1714</v>
      </c>
      <c r="F1208" s="3" t="s">
        <v>80</v>
      </c>
      <c r="G1208" s="3" t="s">
        <v>689</v>
      </c>
      <c r="H1208" s="14" t="s">
        <v>1683</v>
      </c>
      <c r="I1208" s="26" t="s">
        <v>43</v>
      </c>
      <c r="J1208" s="26"/>
      <c r="K1208" s="19"/>
      <c r="L1208" s="19"/>
      <c r="M1208" s="17" t="s">
        <v>1715</v>
      </c>
      <c r="N1208" s="29"/>
      <c r="O1208" s="17" t="s">
        <v>437</v>
      </c>
      <c r="P1208" s="29" t="s">
        <v>55</v>
      </c>
      <c r="Q1208" s="16"/>
      <c r="R1208" s="16" t="n">
        <v>194.35</v>
      </c>
      <c r="S1208" s="16" t="n">
        <v>229</v>
      </c>
      <c r="T1208" s="136" t="n">
        <v>1</v>
      </c>
      <c r="U1208" s="1" t="str">
        <f aca="false">D1208&amp;"-"&amp;E1208&amp;"-"&amp;M1208&amp;"-"&amp;O1208&amp;"-"&amp;P1208&amp;"-"&amp;Q1208</f>
        <v>Envie-BIGANARS BRA-1008-Black-30-</v>
      </c>
    </row>
    <row r="1209" customFormat="false" ht="15" hidden="true" customHeight="false" outlineLevel="0" collapsed="false">
      <c r="A1209" s="137"/>
      <c r="B1209" s="141" t="n">
        <v>8904333939448</v>
      </c>
      <c r="C1209" s="17" t="s">
        <v>1680</v>
      </c>
      <c r="D1209" s="17" t="s">
        <v>1681</v>
      </c>
      <c r="E1209" s="17" t="s">
        <v>1714</v>
      </c>
      <c r="F1209" s="3" t="s">
        <v>80</v>
      </c>
      <c r="G1209" s="3" t="s">
        <v>689</v>
      </c>
      <c r="H1209" s="14" t="s">
        <v>1683</v>
      </c>
      <c r="I1209" s="26" t="s">
        <v>43</v>
      </c>
      <c r="J1209" s="131"/>
      <c r="K1209" s="139"/>
      <c r="L1209" s="140"/>
      <c r="M1209" s="17" t="s">
        <v>1715</v>
      </c>
      <c r="N1209" s="29"/>
      <c r="O1209" s="72" t="s">
        <v>1719</v>
      </c>
      <c r="P1209" s="29" t="s">
        <v>55</v>
      </c>
      <c r="Q1209" s="16"/>
      <c r="R1209" s="16" t="n">
        <v>194.35</v>
      </c>
      <c r="S1209" s="16" t="n">
        <v>229</v>
      </c>
      <c r="T1209" s="136" t="n">
        <v>2</v>
      </c>
      <c r="U1209" s="1" t="str">
        <f aca="false">D1209&amp;"-"&amp;E1209&amp;"-"&amp;M1209&amp;"-"&amp;O1209&amp;"-"&amp;P1209&amp;"-"&amp;Q1209</f>
        <v>Envie-BIGANARS BRA-1008-wood rose-30-</v>
      </c>
    </row>
    <row r="1210" customFormat="false" ht="15" hidden="true" customHeight="false" outlineLevel="0" collapsed="false">
      <c r="A1210" s="137"/>
      <c r="B1210" s="141" t="n">
        <v>8904333909257</v>
      </c>
      <c r="C1210" s="17" t="s">
        <v>1680</v>
      </c>
      <c r="D1210" s="17" t="s">
        <v>1681</v>
      </c>
      <c r="E1210" s="17" t="s">
        <v>1714</v>
      </c>
      <c r="F1210" s="3" t="s">
        <v>80</v>
      </c>
      <c r="G1210" s="3" t="s">
        <v>689</v>
      </c>
      <c r="H1210" s="14" t="s">
        <v>1683</v>
      </c>
      <c r="I1210" s="26" t="s">
        <v>43</v>
      </c>
      <c r="J1210" s="131"/>
      <c r="K1210" s="139"/>
      <c r="L1210" s="139"/>
      <c r="M1210" s="17" t="s">
        <v>1715</v>
      </c>
      <c r="N1210" s="29"/>
      <c r="O1210" s="142" t="s">
        <v>868</v>
      </c>
      <c r="P1210" s="29" t="s">
        <v>92</v>
      </c>
      <c r="Q1210" s="16"/>
      <c r="R1210" s="16" t="n">
        <v>194.35</v>
      </c>
      <c r="S1210" s="16" t="n">
        <v>229</v>
      </c>
      <c r="T1210" s="136" t="n">
        <v>4</v>
      </c>
      <c r="U1210" s="1" t="str">
        <f aca="false">D1210&amp;"-"&amp;E1210&amp;"-"&amp;M1210&amp;"-"&amp;O1210&amp;"-"&amp;P1210&amp;"-"&amp;Q1210</f>
        <v>Envie-BIGANARS BRA-1008-NUDE-32-</v>
      </c>
    </row>
    <row r="1211" customFormat="false" ht="15" hidden="true" customHeight="false" outlineLevel="0" collapsed="false">
      <c r="B1211" s="29" t="s">
        <v>1720</v>
      </c>
      <c r="C1211" s="17" t="s">
        <v>1680</v>
      </c>
      <c r="D1211" s="17" t="s">
        <v>1681</v>
      </c>
      <c r="E1211" s="17" t="s">
        <v>1714</v>
      </c>
      <c r="F1211" s="3" t="s">
        <v>80</v>
      </c>
      <c r="G1211" s="3" t="s">
        <v>689</v>
      </c>
      <c r="H1211" s="14" t="s">
        <v>1683</v>
      </c>
      <c r="I1211" s="26" t="s">
        <v>43</v>
      </c>
      <c r="J1211" s="26"/>
      <c r="K1211" s="19"/>
      <c r="L1211" s="19"/>
      <c r="M1211" s="17" t="s">
        <v>1715</v>
      </c>
      <c r="N1211" s="17"/>
      <c r="O1211" s="29" t="s">
        <v>48</v>
      </c>
      <c r="P1211" s="17" t="s">
        <v>92</v>
      </c>
      <c r="Q1211" s="16"/>
      <c r="R1211" s="16" t="n">
        <v>194.35</v>
      </c>
      <c r="S1211" s="16" t="n">
        <v>229</v>
      </c>
      <c r="T1211" s="136" t="n">
        <v>5</v>
      </c>
      <c r="U1211" s="1" t="str">
        <f aca="false">D1211&amp;"-"&amp;E1211&amp;"-"&amp;M1211&amp;"-"&amp;O1211&amp;"-"&amp;P1211&amp;"-"&amp;Q1211</f>
        <v>Envie-BIGANARS BRA-1008-Blue-32-</v>
      </c>
    </row>
    <row r="1212" customFormat="false" ht="15" hidden="true" customHeight="false" outlineLevel="0" collapsed="false">
      <c r="B1212" s="29" t="s">
        <v>1721</v>
      </c>
      <c r="C1212" s="17" t="s">
        <v>1680</v>
      </c>
      <c r="D1212" s="17" t="s">
        <v>1681</v>
      </c>
      <c r="E1212" s="17" t="s">
        <v>1714</v>
      </c>
      <c r="F1212" s="3" t="s">
        <v>80</v>
      </c>
      <c r="G1212" s="3" t="s">
        <v>689</v>
      </c>
      <c r="H1212" s="14" t="s">
        <v>1683</v>
      </c>
      <c r="I1212" s="26" t="s">
        <v>43</v>
      </c>
      <c r="J1212" s="26"/>
      <c r="K1212" s="19"/>
      <c r="L1212" s="19"/>
      <c r="M1212" s="17" t="s">
        <v>1715</v>
      </c>
      <c r="N1212" s="17"/>
      <c r="O1212" s="29" t="s">
        <v>72</v>
      </c>
      <c r="P1212" s="17" t="s">
        <v>92</v>
      </c>
      <c r="Q1212" s="16"/>
      <c r="R1212" s="16" t="n">
        <v>194.35</v>
      </c>
      <c r="S1212" s="16" t="n">
        <v>229</v>
      </c>
      <c r="T1212" s="136" t="n">
        <v>5</v>
      </c>
      <c r="U1212" s="1" t="str">
        <f aca="false">D1212&amp;"-"&amp;E1212&amp;"-"&amp;M1212&amp;"-"&amp;O1212&amp;"-"&amp;P1212&amp;"-"&amp;Q1212</f>
        <v>Envie-BIGANARS BRA-1008-WHE-32-</v>
      </c>
    </row>
    <row r="1213" customFormat="false" ht="15" hidden="true" customHeight="false" outlineLevel="0" collapsed="false">
      <c r="B1213" s="17" t="s">
        <v>1722</v>
      </c>
      <c r="C1213" s="17" t="s">
        <v>1680</v>
      </c>
      <c r="D1213" s="17" t="s">
        <v>1681</v>
      </c>
      <c r="E1213" s="17" t="s">
        <v>1714</v>
      </c>
      <c r="F1213" s="3" t="s">
        <v>80</v>
      </c>
      <c r="G1213" s="3" t="s">
        <v>689</v>
      </c>
      <c r="H1213" s="14" t="s">
        <v>1683</v>
      </c>
      <c r="I1213" s="26" t="s">
        <v>43</v>
      </c>
      <c r="J1213" s="26"/>
      <c r="K1213" s="19"/>
      <c r="L1213" s="19"/>
      <c r="M1213" s="17" t="s">
        <v>1715</v>
      </c>
      <c r="N1213" s="17"/>
      <c r="O1213" s="17" t="s">
        <v>437</v>
      </c>
      <c r="P1213" s="17" t="s">
        <v>92</v>
      </c>
      <c r="Q1213" s="16"/>
      <c r="R1213" s="16" t="n">
        <v>194.35</v>
      </c>
      <c r="S1213" s="16" t="n">
        <v>229</v>
      </c>
      <c r="T1213" s="136" t="n">
        <v>4</v>
      </c>
      <c r="U1213" s="1" t="str">
        <f aca="false">D1213&amp;"-"&amp;E1213&amp;"-"&amp;M1213&amp;"-"&amp;O1213&amp;"-"&amp;P1213&amp;"-"&amp;Q1213</f>
        <v>Envie-BIGANARS BRA-1008-Black-32-</v>
      </c>
    </row>
    <row r="1214" customFormat="false" ht="15" hidden="true" customHeight="false" outlineLevel="0" collapsed="false">
      <c r="B1214" s="29" t="s">
        <v>1723</v>
      </c>
      <c r="C1214" s="17" t="s">
        <v>1680</v>
      </c>
      <c r="D1214" s="17" t="s">
        <v>1681</v>
      </c>
      <c r="E1214" s="17" t="s">
        <v>1714</v>
      </c>
      <c r="F1214" s="3" t="s">
        <v>80</v>
      </c>
      <c r="G1214" s="3" t="s">
        <v>689</v>
      </c>
      <c r="H1214" s="14" t="s">
        <v>1683</v>
      </c>
      <c r="I1214" s="26" t="s">
        <v>43</v>
      </c>
      <c r="J1214" s="26"/>
      <c r="K1214" s="19"/>
      <c r="L1214" s="19"/>
      <c r="M1214" s="17" t="s">
        <v>1715</v>
      </c>
      <c r="N1214" s="29"/>
      <c r="O1214" s="29" t="s">
        <v>465</v>
      </c>
      <c r="P1214" s="29" t="s">
        <v>134</v>
      </c>
      <c r="Q1214" s="16"/>
      <c r="R1214" s="16" t="n">
        <v>194.35</v>
      </c>
      <c r="S1214" s="16" t="n">
        <v>229</v>
      </c>
      <c r="T1214" s="136" t="n">
        <v>3</v>
      </c>
      <c r="U1214" s="1" t="str">
        <f aca="false">D1214&amp;"-"&amp;E1214&amp;"-"&amp;M1214&amp;"-"&amp;O1214&amp;"-"&amp;P1214&amp;"-"&amp;Q1214</f>
        <v>Envie-BIGANARS BRA-1008-SKIN-34-</v>
      </c>
    </row>
    <row r="1215" customFormat="false" ht="15" hidden="true" customHeight="false" outlineLevel="0" collapsed="false">
      <c r="B1215" s="17" t="s">
        <v>1724</v>
      </c>
      <c r="C1215" s="17" t="s">
        <v>1680</v>
      </c>
      <c r="D1215" s="17" t="s">
        <v>1681</v>
      </c>
      <c r="E1215" s="17" t="s">
        <v>1714</v>
      </c>
      <c r="F1215" s="3" t="s">
        <v>80</v>
      </c>
      <c r="G1215" s="3" t="s">
        <v>689</v>
      </c>
      <c r="H1215" s="14" t="s">
        <v>1683</v>
      </c>
      <c r="I1215" s="26" t="s">
        <v>43</v>
      </c>
      <c r="J1215" s="26"/>
      <c r="K1215" s="19"/>
      <c r="L1215" s="19"/>
      <c r="M1215" s="17" t="s">
        <v>1715</v>
      </c>
      <c r="N1215" s="29"/>
      <c r="O1215" s="17" t="s">
        <v>72</v>
      </c>
      <c r="P1215" s="29" t="s">
        <v>134</v>
      </c>
      <c r="Q1215" s="16"/>
      <c r="R1215" s="16" t="n">
        <v>194.35</v>
      </c>
      <c r="S1215" s="16" t="n">
        <v>229</v>
      </c>
      <c r="T1215" s="136" t="n">
        <v>3</v>
      </c>
      <c r="U1215" s="1" t="str">
        <f aca="false">D1215&amp;"-"&amp;E1215&amp;"-"&amp;M1215&amp;"-"&amp;O1215&amp;"-"&amp;P1215&amp;"-"&amp;Q1215</f>
        <v>Envie-BIGANARS BRA-1008-WHE-34-</v>
      </c>
    </row>
    <row r="1216" customFormat="false" ht="15" hidden="true" customHeight="false" outlineLevel="0" collapsed="false">
      <c r="A1216" s="137"/>
      <c r="B1216" s="141" t="n">
        <v>8904333909424</v>
      </c>
      <c r="C1216" s="17" t="s">
        <v>1680</v>
      </c>
      <c r="D1216" s="17" t="s">
        <v>1681</v>
      </c>
      <c r="E1216" s="17" t="s">
        <v>1714</v>
      </c>
      <c r="F1216" s="3" t="s">
        <v>80</v>
      </c>
      <c r="G1216" s="3" t="s">
        <v>689</v>
      </c>
      <c r="H1216" s="14" t="s">
        <v>1683</v>
      </c>
      <c r="I1216" s="26" t="s">
        <v>43</v>
      </c>
      <c r="J1216" s="131"/>
      <c r="K1216" s="139"/>
      <c r="L1216" s="140"/>
      <c r="M1216" s="17" t="s">
        <v>1715</v>
      </c>
      <c r="N1216" s="29"/>
      <c r="O1216" s="72" t="s">
        <v>1719</v>
      </c>
      <c r="P1216" s="29" t="s">
        <v>134</v>
      </c>
      <c r="Q1216" s="16"/>
      <c r="R1216" s="16" t="n">
        <v>194.35</v>
      </c>
      <c r="S1216" s="16" t="n">
        <v>229</v>
      </c>
      <c r="T1216" s="136" t="n">
        <v>5</v>
      </c>
      <c r="U1216" s="1" t="str">
        <f aca="false">D1216&amp;"-"&amp;E1216&amp;"-"&amp;M1216&amp;"-"&amp;O1216&amp;"-"&amp;P1216&amp;"-"&amp;Q1216</f>
        <v>Envie-BIGANARS BRA-1008-wood rose-34-</v>
      </c>
    </row>
    <row r="1217" customFormat="false" ht="15" hidden="true" customHeight="false" outlineLevel="0" collapsed="false">
      <c r="B1217" s="29" t="s">
        <v>1725</v>
      </c>
      <c r="C1217" s="17" t="s">
        <v>1680</v>
      </c>
      <c r="D1217" s="17" t="s">
        <v>1681</v>
      </c>
      <c r="E1217" s="17" t="s">
        <v>1714</v>
      </c>
      <c r="F1217" s="3" t="s">
        <v>80</v>
      </c>
      <c r="G1217" s="3" t="s">
        <v>689</v>
      </c>
      <c r="H1217" s="14" t="s">
        <v>1683</v>
      </c>
      <c r="I1217" s="26" t="s">
        <v>43</v>
      </c>
      <c r="J1217" s="26"/>
      <c r="K1217" s="19"/>
      <c r="L1217" s="19"/>
      <c r="M1217" s="17" t="s">
        <v>1715</v>
      </c>
      <c r="N1217" s="17"/>
      <c r="O1217" s="29" t="s">
        <v>48</v>
      </c>
      <c r="P1217" s="17" t="s">
        <v>65</v>
      </c>
      <c r="Q1217" s="16"/>
      <c r="R1217" s="16" t="n">
        <v>194.35</v>
      </c>
      <c r="S1217" s="16" t="n">
        <v>229</v>
      </c>
      <c r="T1217" s="136" t="n">
        <v>6</v>
      </c>
      <c r="U1217" s="1" t="str">
        <f aca="false">D1217&amp;"-"&amp;E1217&amp;"-"&amp;M1217&amp;"-"&amp;O1217&amp;"-"&amp;P1217&amp;"-"&amp;Q1217</f>
        <v>Envie-BIGANARS BRA-1008-Blue-36-</v>
      </c>
    </row>
    <row r="1218" customFormat="false" ht="15" hidden="true" customHeight="false" outlineLevel="0" collapsed="false">
      <c r="B1218" s="17" t="s">
        <v>1726</v>
      </c>
      <c r="C1218" s="17" t="s">
        <v>1680</v>
      </c>
      <c r="D1218" s="17" t="s">
        <v>1681</v>
      </c>
      <c r="E1218" s="17" t="s">
        <v>1714</v>
      </c>
      <c r="F1218" s="3" t="s">
        <v>80</v>
      </c>
      <c r="G1218" s="3" t="s">
        <v>689</v>
      </c>
      <c r="H1218" s="14" t="s">
        <v>1683</v>
      </c>
      <c r="I1218" s="26" t="s">
        <v>43</v>
      </c>
      <c r="J1218" s="26"/>
      <c r="K1218" s="19"/>
      <c r="L1218" s="19"/>
      <c r="M1218" s="17" t="s">
        <v>1715</v>
      </c>
      <c r="N1218" s="17"/>
      <c r="O1218" s="17" t="s">
        <v>437</v>
      </c>
      <c r="P1218" s="17" t="s">
        <v>65</v>
      </c>
      <c r="Q1218" s="16"/>
      <c r="R1218" s="16" t="n">
        <v>194.35</v>
      </c>
      <c r="S1218" s="16" t="n">
        <v>229</v>
      </c>
      <c r="T1218" s="136" t="n">
        <v>7</v>
      </c>
      <c r="U1218" s="1" t="str">
        <f aca="false">D1218&amp;"-"&amp;E1218&amp;"-"&amp;M1218&amp;"-"&amp;O1218&amp;"-"&amp;P1218&amp;"-"&amp;Q1218</f>
        <v>Envie-BIGANARS BRA-1008-Black-36-</v>
      </c>
    </row>
    <row r="1219" customFormat="false" ht="15" hidden="true" customHeight="false" outlineLevel="0" collapsed="false">
      <c r="B1219" s="17" t="s">
        <v>1727</v>
      </c>
      <c r="C1219" s="17" t="s">
        <v>1680</v>
      </c>
      <c r="D1219" s="17" t="s">
        <v>1681</v>
      </c>
      <c r="E1219" s="17" t="s">
        <v>1714</v>
      </c>
      <c r="F1219" s="3" t="s">
        <v>80</v>
      </c>
      <c r="G1219" s="3" t="s">
        <v>689</v>
      </c>
      <c r="H1219" s="14" t="s">
        <v>1683</v>
      </c>
      <c r="I1219" s="26" t="s">
        <v>43</v>
      </c>
      <c r="J1219" s="26"/>
      <c r="K1219" s="19"/>
      <c r="L1219" s="19"/>
      <c r="M1219" s="17" t="s">
        <v>1715</v>
      </c>
      <c r="N1219" s="17"/>
      <c r="O1219" s="17" t="s">
        <v>465</v>
      </c>
      <c r="P1219" s="17" t="s">
        <v>65</v>
      </c>
      <c r="Q1219" s="16"/>
      <c r="R1219" s="16" t="n">
        <v>194.35</v>
      </c>
      <c r="S1219" s="16" t="n">
        <v>229</v>
      </c>
      <c r="T1219" s="136" t="n">
        <v>3</v>
      </c>
      <c r="U1219" s="1" t="str">
        <f aca="false">D1219&amp;"-"&amp;E1219&amp;"-"&amp;M1219&amp;"-"&amp;O1219&amp;"-"&amp;P1219&amp;"-"&amp;Q1219</f>
        <v>Envie-BIGANARS BRA-1008-SKIN-36-</v>
      </c>
    </row>
    <row r="1220" customFormat="false" ht="15" hidden="true" customHeight="false" outlineLevel="0" collapsed="false">
      <c r="B1220" s="29" t="s">
        <v>1728</v>
      </c>
      <c r="C1220" s="17" t="s">
        <v>1680</v>
      </c>
      <c r="D1220" s="17" t="s">
        <v>1681</v>
      </c>
      <c r="E1220" s="17" t="s">
        <v>1714</v>
      </c>
      <c r="F1220" s="3" t="s">
        <v>80</v>
      </c>
      <c r="G1220" s="3" t="s">
        <v>689</v>
      </c>
      <c r="H1220" s="14" t="s">
        <v>1683</v>
      </c>
      <c r="I1220" s="26" t="s">
        <v>43</v>
      </c>
      <c r="J1220" s="26"/>
      <c r="K1220" s="19"/>
      <c r="L1220" s="19"/>
      <c r="M1220" s="17" t="s">
        <v>1715</v>
      </c>
      <c r="N1220" s="17"/>
      <c r="O1220" s="29" t="s">
        <v>1221</v>
      </c>
      <c r="P1220" s="17" t="s">
        <v>65</v>
      </c>
      <c r="Q1220" s="16"/>
      <c r="R1220" s="16" t="n">
        <v>194.35</v>
      </c>
      <c r="S1220" s="16" t="n">
        <v>229</v>
      </c>
      <c r="T1220" s="136" t="n">
        <v>3</v>
      </c>
      <c r="U1220" s="1" t="str">
        <f aca="false">D1220&amp;"-"&amp;E1220&amp;"-"&amp;M1220&amp;"-"&amp;O1220&amp;"-"&amp;P1220&amp;"-"&amp;Q1220</f>
        <v>Envie-BIGANARS BRA-1008-WHT-36-</v>
      </c>
    </row>
    <row r="1221" customFormat="false" ht="15" hidden="true" customHeight="false" outlineLevel="0" collapsed="false">
      <c r="B1221" s="17" t="s">
        <v>1729</v>
      </c>
      <c r="C1221" s="17" t="s">
        <v>1680</v>
      </c>
      <c r="D1221" s="17" t="s">
        <v>1681</v>
      </c>
      <c r="E1221" s="17" t="s">
        <v>1714</v>
      </c>
      <c r="F1221" s="3" t="s">
        <v>80</v>
      </c>
      <c r="G1221" s="3" t="s">
        <v>689</v>
      </c>
      <c r="H1221" s="14" t="s">
        <v>1683</v>
      </c>
      <c r="I1221" s="26" t="s">
        <v>43</v>
      </c>
      <c r="J1221" s="26"/>
      <c r="K1221" s="19"/>
      <c r="L1221" s="19"/>
      <c r="M1221" s="17" t="s">
        <v>1715</v>
      </c>
      <c r="N1221" s="17"/>
      <c r="O1221" s="17" t="s">
        <v>1730</v>
      </c>
      <c r="P1221" s="17" t="s">
        <v>65</v>
      </c>
      <c r="Q1221" s="16"/>
      <c r="R1221" s="16" t="n">
        <v>194.35</v>
      </c>
      <c r="S1221" s="16" t="n">
        <v>229</v>
      </c>
      <c r="T1221" s="136" t="n">
        <v>2</v>
      </c>
      <c r="U1221" s="1" t="str">
        <f aca="false">D1221&amp;"-"&amp;E1221&amp;"-"&amp;M1221&amp;"-"&amp;O1221&amp;"-"&amp;P1221&amp;"-"&amp;Q1221</f>
        <v>Envie-BIGANARS BRA-1008-Woodrose-36-</v>
      </c>
    </row>
    <row r="1222" customFormat="false" ht="15" hidden="true" customHeight="false" outlineLevel="0" collapsed="false">
      <c r="A1222" s="137"/>
      <c r="B1222" s="138" t="n">
        <v>8904333909219</v>
      </c>
      <c r="C1222" s="17" t="s">
        <v>1680</v>
      </c>
      <c r="D1222" s="17" t="s">
        <v>1681</v>
      </c>
      <c r="E1222" s="17" t="s">
        <v>1714</v>
      </c>
      <c r="F1222" s="3" t="s">
        <v>80</v>
      </c>
      <c r="G1222" s="3" t="s">
        <v>689</v>
      </c>
      <c r="H1222" s="14" t="s">
        <v>1683</v>
      </c>
      <c r="I1222" s="26" t="s">
        <v>43</v>
      </c>
      <c r="J1222" s="131"/>
      <c r="K1222" s="139"/>
      <c r="L1222" s="140"/>
      <c r="M1222" s="17" t="s">
        <v>1715</v>
      </c>
      <c r="N1222" s="17"/>
      <c r="O1222" s="79" t="s">
        <v>607</v>
      </c>
      <c r="P1222" s="17" t="s">
        <v>65</v>
      </c>
      <c r="Q1222" s="16"/>
      <c r="R1222" s="16" t="n">
        <v>194.35</v>
      </c>
      <c r="S1222" s="16" t="n">
        <v>229</v>
      </c>
      <c r="T1222" s="136" t="n">
        <v>1</v>
      </c>
      <c r="U1222" s="1" t="str">
        <f aca="false">D1222&amp;"-"&amp;E1222&amp;"-"&amp;M1222&amp;"-"&amp;O1222&amp;"-"&amp;P1222&amp;"-"&amp;Q1222</f>
        <v>Envie-BIGANARS BRA-1008-MAROON-36-</v>
      </c>
    </row>
    <row r="1223" customFormat="false" ht="15" hidden="true" customHeight="false" outlineLevel="0" collapsed="false">
      <c r="B1223" s="29" t="s">
        <v>1731</v>
      </c>
      <c r="C1223" s="17" t="s">
        <v>1680</v>
      </c>
      <c r="D1223" s="17" t="s">
        <v>1681</v>
      </c>
      <c r="E1223" s="17" t="s">
        <v>1714</v>
      </c>
      <c r="F1223" s="3" t="s">
        <v>80</v>
      </c>
      <c r="G1223" s="3" t="s">
        <v>689</v>
      </c>
      <c r="H1223" s="14" t="s">
        <v>1683</v>
      </c>
      <c r="I1223" s="26" t="s">
        <v>43</v>
      </c>
      <c r="J1223" s="26"/>
      <c r="K1223" s="19"/>
      <c r="L1223" s="19"/>
      <c r="M1223" s="17" t="s">
        <v>1715</v>
      </c>
      <c r="N1223" s="29"/>
      <c r="O1223" s="29" t="s">
        <v>48</v>
      </c>
      <c r="P1223" s="29" t="s">
        <v>154</v>
      </c>
      <c r="Q1223" s="16"/>
      <c r="R1223" s="16" t="n">
        <v>194.35</v>
      </c>
      <c r="S1223" s="16" t="n">
        <v>229</v>
      </c>
      <c r="T1223" s="136" t="n">
        <v>4</v>
      </c>
      <c r="U1223" s="1" t="str">
        <f aca="false">D1223&amp;"-"&amp;E1223&amp;"-"&amp;M1223&amp;"-"&amp;O1223&amp;"-"&amp;P1223&amp;"-"&amp;Q1223</f>
        <v>Envie-BIGANARS BRA-1008-Blue-38-</v>
      </c>
    </row>
    <row r="1224" customFormat="false" ht="15" hidden="true" customHeight="false" outlineLevel="0" collapsed="false">
      <c r="B1224" s="29" t="s">
        <v>1732</v>
      </c>
      <c r="C1224" s="17" t="s">
        <v>1680</v>
      </c>
      <c r="D1224" s="17" t="s">
        <v>1681</v>
      </c>
      <c r="E1224" s="17" t="s">
        <v>1714</v>
      </c>
      <c r="F1224" s="3" t="s">
        <v>80</v>
      </c>
      <c r="G1224" s="3" t="s">
        <v>689</v>
      </c>
      <c r="H1224" s="14" t="s">
        <v>1683</v>
      </c>
      <c r="I1224" s="26" t="s">
        <v>43</v>
      </c>
      <c r="J1224" s="26"/>
      <c r="K1224" s="19"/>
      <c r="L1224" s="19"/>
      <c r="M1224" s="17" t="s">
        <v>1715</v>
      </c>
      <c r="N1224" s="29"/>
      <c r="O1224" s="17" t="s">
        <v>437</v>
      </c>
      <c r="P1224" s="29" t="s">
        <v>154</v>
      </c>
      <c r="Q1224" s="16"/>
      <c r="R1224" s="16" t="n">
        <v>194.35</v>
      </c>
      <c r="S1224" s="16" t="n">
        <v>229</v>
      </c>
      <c r="T1224" s="136" t="n">
        <v>2</v>
      </c>
      <c r="U1224" s="1" t="str">
        <f aca="false">D1224&amp;"-"&amp;E1224&amp;"-"&amp;M1224&amp;"-"&amp;O1224&amp;"-"&amp;P1224&amp;"-"&amp;Q1224</f>
        <v>Envie-BIGANARS BRA-1008-Black-38-</v>
      </c>
    </row>
    <row r="1225" customFormat="false" ht="15" hidden="true" customHeight="false" outlineLevel="0" collapsed="false">
      <c r="B1225" s="17" t="s">
        <v>1733</v>
      </c>
      <c r="C1225" s="17" t="s">
        <v>1680</v>
      </c>
      <c r="D1225" s="17" t="s">
        <v>1681</v>
      </c>
      <c r="E1225" s="17" t="s">
        <v>1714</v>
      </c>
      <c r="F1225" s="3" t="s">
        <v>80</v>
      </c>
      <c r="G1225" s="3" t="s">
        <v>689</v>
      </c>
      <c r="H1225" s="14" t="s">
        <v>1683</v>
      </c>
      <c r="I1225" s="26" t="s">
        <v>43</v>
      </c>
      <c r="J1225" s="26"/>
      <c r="K1225" s="19"/>
      <c r="L1225" s="19"/>
      <c r="M1225" s="17" t="s">
        <v>1715</v>
      </c>
      <c r="N1225" s="29"/>
      <c r="O1225" s="17" t="s">
        <v>1734</v>
      </c>
      <c r="P1225" s="29" t="s">
        <v>154</v>
      </c>
      <c r="Q1225" s="16"/>
      <c r="R1225" s="16" t="n">
        <v>194.35</v>
      </c>
      <c r="S1225" s="16" t="n">
        <v>229</v>
      </c>
      <c r="T1225" s="136" t="n">
        <v>3</v>
      </c>
      <c r="U1225" s="1" t="str">
        <f aca="false">D1225&amp;"-"&amp;E1225&amp;"-"&amp;M1225&amp;"-"&amp;O1225&amp;"-"&amp;P1225&amp;"-"&amp;Q1225</f>
        <v>Envie-BIGANARS BRA-1008-Marron-38-</v>
      </c>
    </row>
    <row r="1226" customFormat="false" ht="15" hidden="true" customHeight="false" outlineLevel="0" collapsed="false">
      <c r="B1226" s="29" t="s">
        <v>1735</v>
      </c>
      <c r="C1226" s="17" t="s">
        <v>1680</v>
      </c>
      <c r="D1226" s="17" t="s">
        <v>1681</v>
      </c>
      <c r="E1226" s="17" t="s">
        <v>1714</v>
      </c>
      <c r="F1226" s="3" t="s">
        <v>80</v>
      </c>
      <c r="G1226" s="3" t="s">
        <v>689</v>
      </c>
      <c r="H1226" s="14" t="s">
        <v>1683</v>
      </c>
      <c r="I1226" s="26" t="s">
        <v>43</v>
      </c>
      <c r="J1226" s="26"/>
      <c r="K1226" s="19"/>
      <c r="L1226" s="19"/>
      <c r="M1226" s="17" t="s">
        <v>1715</v>
      </c>
      <c r="N1226" s="29"/>
      <c r="O1226" s="29" t="s">
        <v>1687</v>
      </c>
      <c r="P1226" s="29" t="s">
        <v>154</v>
      </c>
      <c r="Q1226" s="16"/>
      <c r="R1226" s="16" t="n">
        <v>194.35</v>
      </c>
      <c r="S1226" s="16" t="n">
        <v>229</v>
      </c>
      <c r="T1226" s="136" t="n">
        <v>1</v>
      </c>
      <c r="U1226" s="1" t="str">
        <f aca="false">D1226&amp;"-"&amp;E1226&amp;"-"&amp;M1226&amp;"-"&amp;O1226&amp;"-"&amp;P1226&amp;"-"&amp;Q1226</f>
        <v>Envie-BIGANARS BRA-1008-Nude-38-</v>
      </c>
    </row>
    <row r="1227" customFormat="false" ht="15" hidden="true" customHeight="false" outlineLevel="0" collapsed="false">
      <c r="B1227" s="29" t="s">
        <v>1736</v>
      </c>
      <c r="C1227" s="17" t="s">
        <v>1680</v>
      </c>
      <c r="D1227" s="17" t="s">
        <v>1681</v>
      </c>
      <c r="E1227" s="17" t="s">
        <v>1714</v>
      </c>
      <c r="F1227" s="3" t="s">
        <v>80</v>
      </c>
      <c r="G1227" s="3" t="s">
        <v>689</v>
      </c>
      <c r="H1227" s="14" t="s">
        <v>1683</v>
      </c>
      <c r="I1227" s="26" t="s">
        <v>43</v>
      </c>
      <c r="J1227" s="26"/>
      <c r="K1227" s="19"/>
      <c r="L1227" s="19"/>
      <c r="M1227" s="17" t="s">
        <v>1715</v>
      </c>
      <c r="N1227" s="29"/>
      <c r="O1227" s="29" t="s">
        <v>72</v>
      </c>
      <c r="P1227" s="29" t="s">
        <v>154</v>
      </c>
      <c r="Q1227" s="16"/>
      <c r="R1227" s="16" t="n">
        <v>194.35</v>
      </c>
      <c r="S1227" s="16" t="n">
        <v>229</v>
      </c>
      <c r="T1227" s="136" t="n">
        <v>1</v>
      </c>
      <c r="U1227" s="1" t="str">
        <f aca="false">D1227&amp;"-"&amp;E1227&amp;"-"&amp;M1227&amp;"-"&amp;O1227&amp;"-"&amp;P1227&amp;"-"&amp;Q1227</f>
        <v>Envie-BIGANARS BRA-1008-WHE-38-</v>
      </c>
    </row>
    <row r="1228" customFormat="false" ht="15" hidden="true" customHeight="false" outlineLevel="0" collapsed="false">
      <c r="B1228" s="29" t="s">
        <v>1737</v>
      </c>
      <c r="C1228" s="17" t="s">
        <v>1680</v>
      </c>
      <c r="D1228" s="17" t="s">
        <v>1681</v>
      </c>
      <c r="E1228" s="17" t="s">
        <v>1714</v>
      </c>
      <c r="F1228" s="3" t="s">
        <v>80</v>
      </c>
      <c r="G1228" s="3" t="s">
        <v>689</v>
      </c>
      <c r="H1228" s="14" t="s">
        <v>1683</v>
      </c>
      <c r="I1228" s="26" t="s">
        <v>43</v>
      </c>
      <c r="J1228" s="26"/>
      <c r="K1228" s="19"/>
      <c r="L1228" s="19"/>
      <c r="M1228" s="17" t="s">
        <v>1715</v>
      </c>
      <c r="N1228" s="29"/>
      <c r="O1228" s="29" t="s">
        <v>1730</v>
      </c>
      <c r="P1228" s="29" t="s">
        <v>154</v>
      </c>
      <c r="Q1228" s="16"/>
      <c r="R1228" s="16" t="n">
        <v>194.35</v>
      </c>
      <c r="S1228" s="16" t="n">
        <v>229</v>
      </c>
      <c r="T1228" s="136" t="n">
        <v>5</v>
      </c>
      <c r="U1228" s="1" t="str">
        <f aca="false">D1228&amp;"-"&amp;E1228&amp;"-"&amp;M1228&amp;"-"&amp;O1228&amp;"-"&amp;P1228&amp;"-"&amp;Q1228</f>
        <v>Envie-BIGANARS BRA-1008-Woodrose-38-</v>
      </c>
    </row>
    <row r="1229" customFormat="false" ht="15" hidden="true" customHeight="false" outlineLevel="0" collapsed="false">
      <c r="B1229" s="17" t="s">
        <v>1738</v>
      </c>
      <c r="C1229" s="17" t="s">
        <v>1680</v>
      </c>
      <c r="D1229" s="17" t="s">
        <v>1681</v>
      </c>
      <c r="E1229" s="29" t="s">
        <v>1739</v>
      </c>
      <c r="F1229" s="3" t="s">
        <v>80</v>
      </c>
      <c r="G1229" s="3" t="s">
        <v>689</v>
      </c>
      <c r="H1229" s="14" t="s">
        <v>1683</v>
      </c>
      <c r="I1229" s="26" t="s">
        <v>43</v>
      </c>
      <c r="J1229" s="26"/>
      <c r="K1229" s="19"/>
      <c r="L1229" s="19"/>
      <c r="M1229" s="29" t="s">
        <v>1740</v>
      </c>
      <c r="N1229" s="17"/>
      <c r="O1229" s="17" t="s">
        <v>437</v>
      </c>
      <c r="P1229" s="17" t="s">
        <v>55</v>
      </c>
      <c r="Q1229" s="17" t="s">
        <v>592</v>
      </c>
      <c r="R1229" s="16" t="n">
        <v>230.42</v>
      </c>
      <c r="S1229" s="16" t="n">
        <v>399</v>
      </c>
      <c r="T1229" s="136" t="n">
        <v>4</v>
      </c>
      <c r="U1229" s="1" t="str">
        <f aca="false">D1229&amp;"-"&amp;E1229&amp;"-"&amp;M1229&amp;"-"&amp;O1229&amp;"-"&amp;P1229&amp;"-"&amp;Q1229</f>
        <v>Envie-SLEEPING BRA-1022-Black-30-B</v>
      </c>
    </row>
    <row r="1230" customFormat="false" ht="15" hidden="true" customHeight="false" outlineLevel="0" collapsed="false">
      <c r="B1230" s="29" t="s">
        <v>1741</v>
      </c>
      <c r="C1230" s="17" t="s">
        <v>1680</v>
      </c>
      <c r="D1230" s="17" t="s">
        <v>1681</v>
      </c>
      <c r="E1230" s="29" t="s">
        <v>1739</v>
      </c>
      <c r="F1230" s="3" t="s">
        <v>80</v>
      </c>
      <c r="G1230" s="3" t="s">
        <v>689</v>
      </c>
      <c r="H1230" s="14" t="s">
        <v>1683</v>
      </c>
      <c r="I1230" s="26" t="s">
        <v>43</v>
      </c>
      <c r="J1230" s="26"/>
      <c r="K1230" s="19"/>
      <c r="L1230" s="19"/>
      <c r="M1230" s="29" t="s">
        <v>1740</v>
      </c>
      <c r="N1230" s="17"/>
      <c r="O1230" s="29" t="s">
        <v>48</v>
      </c>
      <c r="P1230" s="17" t="s">
        <v>55</v>
      </c>
      <c r="Q1230" s="17" t="s">
        <v>592</v>
      </c>
      <c r="R1230" s="16" t="n">
        <v>230.42</v>
      </c>
      <c r="S1230" s="16" t="n">
        <v>399</v>
      </c>
      <c r="T1230" s="136" t="n">
        <v>1</v>
      </c>
      <c r="U1230" s="1" t="str">
        <f aca="false">D1230&amp;"-"&amp;E1230&amp;"-"&amp;M1230&amp;"-"&amp;O1230&amp;"-"&amp;P1230&amp;"-"&amp;Q1230</f>
        <v>Envie-SLEEPING BRA-1022-Blue-30-B</v>
      </c>
    </row>
    <row r="1231" customFormat="false" ht="15" hidden="true" customHeight="false" outlineLevel="0" collapsed="false">
      <c r="B1231" s="29" t="s">
        <v>1742</v>
      </c>
      <c r="C1231" s="17" t="s">
        <v>1680</v>
      </c>
      <c r="D1231" s="17" t="s">
        <v>1681</v>
      </c>
      <c r="E1231" s="29" t="s">
        <v>1739</v>
      </c>
      <c r="F1231" s="3" t="s">
        <v>80</v>
      </c>
      <c r="G1231" s="3" t="s">
        <v>689</v>
      </c>
      <c r="H1231" s="14" t="s">
        <v>1683</v>
      </c>
      <c r="I1231" s="26" t="s">
        <v>43</v>
      </c>
      <c r="J1231" s="26"/>
      <c r="K1231" s="19"/>
      <c r="L1231" s="19"/>
      <c r="M1231" s="29" t="s">
        <v>1740</v>
      </c>
      <c r="N1231" s="17"/>
      <c r="O1231" s="29" t="s">
        <v>73</v>
      </c>
      <c r="P1231" s="17" t="s">
        <v>55</v>
      </c>
      <c r="Q1231" s="17" t="s">
        <v>592</v>
      </c>
      <c r="R1231" s="16" t="n">
        <v>230.42</v>
      </c>
      <c r="S1231" s="16" t="n">
        <v>399</v>
      </c>
      <c r="T1231" s="136" t="n">
        <v>4</v>
      </c>
      <c r="U1231" s="1" t="str">
        <f aca="false">D1231&amp;"-"&amp;E1231&amp;"-"&amp;M1231&amp;"-"&amp;O1231&amp;"-"&amp;P1231&amp;"-"&amp;Q1231</f>
        <v>Envie-SLEEPING BRA-1022-White-30-B</v>
      </c>
    </row>
    <row r="1232" customFormat="false" ht="15" hidden="true" customHeight="false" outlineLevel="0" collapsed="false">
      <c r="B1232" s="17" t="s">
        <v>1743</v>
      </c>
      <c r="C1232" s="17" t="s">
        <v>1680</v>
      </c>
      <c r="D1232" s="17" t="s">
        <v>1681</v>
      </c>
      <c r="E1232" s="29" t="s">
        <v>1739</v>
      </c>
      <c r="F1232" s="3" t="s">
        <v>80</v>
      </c>
      <c r="G1232" s="3" t="s">
        <v>689</v>
      </c>
      <c r="H1232" s="14" t="s">
        <v>1683</v>
      </c>
      <c r="I1232" s="26" t="s">
        <v>43</v>
      </c>
      <c r="J1232" s="26"/>
      <c r="K1232" s="19"/>
      <c r="L1232" s="19"/>
      <c r="M1232" s="29" t="s">
        <v>1740</v>
      </c>
      <c r="N1232" s="17"/>
      <c r="O1232" s="17" t="s">
        <v>1730</v>
      </c>
      <c r="P1232" s="17" t="s">
        <v>55</v>
      </c>
      <c r="Q1232" s="17" t="s">
        <v>592</v>
      </c>
      <c r="R1232" s="16" t="n">
        <v>230.42</v>
      </c>
      <c r="S1232" s="16" t="n">
        <v>399</v>
      </c>
      <c r="T1232" s="136" t="n">
        <v>2</v>
      </c>
      <c r="U1232" s="1" t="str">
        <f aca="false">D1232&amp;"-"&amp;E1232&amp;"-"&amp;M1232&amp;"-"&amp;O1232&amp;"-"&amp;P1232&amp;"-"&amp;Q1232</f>
        <v>Envie-SLEEPING BRA-1022-Woodrose-30-B</v>
      </c>
    </row>
    <row r="1233" customFormat="false" ht="15" hidden="true" customHeight="false" outlineLevel="0" collapsed="false">
      <c r="A1233" s="137"/>
      <c r="B1233" s="142" t="n">
        <v>8904333911816</v>
      </c>
      <c r="C1233" s="17" t="s">
        <v>1680</v>
      </c>
      <c r="D1233" s="17" t="s">
        <v>1681</v>
      </c>
      <c r="E1233" s="29" t="s">
        <v>1739</v>
      </c>
      <c r="F1233" s="3" t="s">
        <v>80</v>
      </c>
      <c r="G1233" s="3" t="s">
        <v>689</v>
      </c>
      <c r="H1233" s="14" t="s">
        <v>1683</v>
      </c>
      <c r="I1233" s="26" t="s">
        <v>43</v>
      </c>
      <c r="J1233" s="131"/>
      <c r="K1233" s="139"/>
      <c r="L1233" s="140"/>
      <c r="M1233" s="29" t="s">
        <v>1740</v>
      </c>
      <c r="N1233" s="17"/>
      <c r="O1233" s="72" t="s">
        <v>868</v>
      </c>
      <c r="P1233" s="17" t="s">
        <v>55</v>
      </c>
      <c r="Q1233" s="17" t="s">
        <v>592</v>
      </c>
      <c r="R1233" s="16" t="n">
        <v>230.42</v>
      </c>
      <c r="S1233" s="16" t="n">
        <v>399</v>
      </c>
      <c r="T1233" s="136" t="n">
        <v>1</v>
      </c>
      <c r="U1233" s="1" t="str">
        <f aca="false">D1233&amp;"-"&amp;E1233&amp;"-"&amp;M1233&amp;"-"&amp;O1233&amp;"-"&amp;P1233&amp;"-"&amp;Q1233</f>
        <v>Envie-SLEEPING BRA-1022-NUDE-30-B</v>
      </c>
    </row>
    <row r="1234" customFormat="false" ht="15" hidden="true" customHeight="false" outlineLevel="0" collapsed="false">
      <c r="B1234" s="16" t="s">
        <v>328</v>
      </c>
      <c r="C1234" s="17" t="s">
        <v>1680</v>
      </c>
      <c r="D1234" s="17" t="s">
        <v>1681</v>
      </c>
      <c r="E1234" s="29" t="s">
        <v>1739</v>
      </c>
      <c r="F1234" s="3" t="s">
        <v>80</v>
      </c>
      <c r="G1234" s="3" t="s">
        <v>689</v>
      </c>
      <c r="H1234" s="14" t="s">
        <v>1683</v>
      </c>
      <c r="I1234" s="26" t="s">
        <v>43</v>
      </c>
      <c r="J1234" s="26"/>
      <c r="K1234" s="19"/>
      <c r="L1234" s="139"/>
      <c r="M1234" s="29" t="s">
        <v>1740</v>
      </c>
      <c r="N1234" s="17"/>
      <c r="O1234" s="142" t="s">
        <v>1744</v>
      </c>
      <c r="P1234" s="17" t="s">
        <v>55</v>
      </c>
      <c r="Q1234" s="17" t="s">
        <v>592</v>
      </c>
      <c r="R1234" s="16" t="n">
        <v>230.42</v>
      </c>
      <c r="S1234" s="16" t="n">
        <v>399</v>
      </c>
      <c r="T1234" s="136" t="n">
        <v>1</v>
      </c>
      <c r="U1234" s="1" t="str">
        <f aca="false">D1234&amp;"-"&amp;E1234&amp;"-"&amp;M1234&amp;"-"&amp;O1234&amp;"-"&amp;P1234&amp;"-"&amp;Q1234</f>
        <v>Envie-SLEEPING BRA-1022-PURPE-30-B</v>
      </c>
    </row>
    <row r="1235" customFormat="false" ht="15" hidden="true" customHeight="false" outlineLevel="0" collapsed="false">
      <c r="B1235" s="29" t="s">
        <v>1745</v>
      </c>
      <c r="C1235" s="17" t="s">
        <v>1680</v>
      </c>
      <c r="D1235" s="17" t="s">
        <v>1681</v>
      </c>
      <c r="E1235" s="29" t="s">
        <v>1739</v>
      </c>
      <c r="F1235" s="3" t="s">
        <v>80</v>
      </c>
      <c r="G1235" s="3" t="s">
        <v>689</v>
      </c>
      <c r="H1235" s="14" t="s">
        <v>1683</v>
      </c>
      <c r="I1235" s="26" t="s">
        <v>43</v>
      </c>
      <c r="J1235" s="26"/>
      <c r="K1235" s="19"/>
      <c r="L1235" s="19"/>
      <c r="M1235" s="29" t="s">
        <v>1740</v>
      </c>
      <c r="N1235" s="29"/>
      <c r="O1235" s="29" t="s">
        <v>437</v>
      </c>
      <c r="P1235" s="29" t="s">
        <v>92</v>
      </c>
      <c r="Q1235" s="17" t="s">
        <v>592</v>
      </c>
      <c r="R1235" s="16" t="n">
        <v>230.42</v>
      </c>
      <c r="S1235" s="16" t="n">
        <v>399</v>
      </c>
      <c r="T1235" s="136" t="n">
        <v>2</v>
      </c>
      <c r="U1235" s="1" t="str">
        <f aca="false">D1235&amp;"-"&amp;E1235&amp;"-"&amp;M1235&amp;"-"&amp;O1235&amp;"-"&amp;P1235&amp;"-"&amp;Q1235</f>
        <v>Envie-SLEEPING BRA-1022-Black-32-B</v>
      </c>
    </row>
    <row r="1236" customFormat="false" ht="15" hidden="true" customHeight="false" outlineLevel="0" collapsed="false">
      <c r="B1236" s="29" t="s">
        <v>1746</v>
      </c>
      <c r="C1236" s="17" t="s">
        <v>1680</v>
      </c>
      <c r="D1236" s="17" t="s">
        <v>1681</v>
      </c>
      <c r="E1236" s="29" t="s">
        <v>1739</v>
      </c>
      <c r="F1236" s="3" t="s">
        <v>80</v>
      </c>
      <c r="G1236" s="3" t="s">
        <v>689</v>
      </c>
      <c r="H1236" s="14" t="s">
        <v>1683</v>
      </c>
      <c r="I1236" s="26" t="s">
        <v>43</v>
      </c>
      <c r="J1236" s="26"/>
      <c r="K1236" s="19"/>
      <c r="L1236" s="19"/>
      <c r="M1236" s="29" t="s">
        <v>1740</v>
      </c>
      <c r="N1236" s="29"/>
      <c r="O1236" s="29" t="s">
        <v>607</v>
      </c>
      <c r="P1236" s="29" t="s">
        <v>92</v>
      </c>
      <c r="Q1236" s="17" t="s">
        <v>592</v>
      </c>
      <c r="R1236" s="16" t="n">
        <v>230.42</v>
      </c>
      <c r="S1236" s="16" t="n">
        <v>399</v>
      </c>
      <c r="T1236" s="136" t="n">
        <v>1</v>
      </c>
      <c r="U1236" s="1" t="str">
        <f aca="false">D1236&amp;"-"&amp;E1236&amp;"-"&amp;M1236&amp;"-"&amp;O1236&amp;"-"&amp;P1236&amp;"-"&amp;Q1236</f>
        <v>Envie-SLEEPING BRA-1022-MAROON-32-B</v>
      </c>
    </row>
    <row r="1237" customFormat="false" ht="15" hidden="true" customHeight="false" outlineLevel="0" collapsed="false">
      <c r="B1237" s="17" t="s">
        <v>1747</v>
      </c>
      <c r="C1237" s="17" t="s">
        <v>1680</v>
      </c>
      <c r="D1237" s="17" t="s">
        <v>1681</v>
      </c>
      <c r="E1237" s="29" t="s">
        <v>1739</v>
      </c>
      <c r="F1237" s="3" t="s">
        <v>80</v>
      </c>
      <c r="G1237" s="3" t="s">
        <v>689</v>
      </c>
      <c r="H1237" s="14" t="s">
        <v>1683</v>
      </c>
      <c r="I1237" s="26" t="s">
        <v>43</v>
      </c>
      <c r="J1237" s="26"/>
      <c r="K1237" s="19"/>
      <c r="L1237" s="19"/>
      <c r="M1237" s="29" t="s">
        <v>1740</v>
      </c>
      <c r="N1237" s="29"/>
      <c r="O1237" s="17" t="s">
        <v>48</v>
      </c>
      <c r="P1237" s="29" t="s">
        <v>92</v>
      </c>
      <c r="Q1237" s="17" t="s">
        <v>592</v>
      </c>
      <c r="R1237" s="16" t="n">
        <v>230.42</v>
      </c>
      <c r="S1237" s="16" t="n">
        <v>399</v>
      </c>
      <c r="T1237" s="136" t="n">
        <v>2</v>
      </c>
      <c r="U1237" s="1" t="str">
        <f aca="false">D1237&amp;"-"&amp;E1237&amp;"-"&amp;M1237&amp;"-"&amp;O1237&amp;"-"&amp;P1237&amp;"-"&amp;Q1237</f>
        <v>Envie-SLEEPING BRA-1022-Blue-32-B</v>
      </c>
    </row>
    <row r="1238" customFormat="false" ht="15" hidden="true" customHeight="false" outlineLevel="0" collapsed="false">
      <c r="B1238" s="17" t="s">
        <v>1748</v>
      </c>
      <c r="C1238" s="17" t="s">
        <v>1680</v>
      </c>
      <c r="D1238" s="17" t="s">
        <v>1681</v>
      </c>
      <c r="E1238" s="29" t="s">
        <v>1739</v>
      </c>
      <c r="F1238" s="3" t="s">
        <v>80</v>
      </c>
      <c r="G1238" s="3" t="s">
        <v>689</v>
      </c>
      <c r="H1238" s="14" t="s">
        <v>1683</v>
      </c>
      <c r="I1238" s="26" t="s">
        <v>43</v>
      </c>
      <c r="J1238" s="26"/>
      <c r="K1238" s="19"/>
      <c r="L1238" s="19"/>
      <c r="M1238" s="29" t="s">
        <v>1740</v>
      </c>
      <c r="N1238" s="29"/>
      <c r="O1238" s="17" t="s">
        <v>1687</v>
      </c>
      <c r="P1238" s="29" t="s">
        <v>92</v>
      </c>
      <c r="Q1238" s="17" t="s">
        <v>592</v>
      </c>
      <c r="R1238" s="16" t="n">
        <v>230.42</v>
      </c>
      <c r="S1238" s="16" t="n">
        <v>399</v>
      </c>
      <c r="T1238" s="136" t="n">
        <v>1</v>
      </c>
      <c r="U1238" s="1" t="str">
        <f aca="false">D1238&amp;"-"&amp;E1238&amp;"-"&amp;M1238&amp;"-"&amp;O1238&amp;"-"&amp;P1238&amp;"-"&amp;Q1238</f>
        <v>Envie-SLEEPING BRA-1022-Nude-32-B</v>
      </c>
    </row>
    <row r="1239" customFormat="false" ht="15" hidden="true" customHeight="false" outlineLevel="0" collapsed="false">
      <c r="B1239" s="17" t="s">
        <v>1749</v>
      </c>
      <c r="C1239" s="17" t="s">
        <v>1680</v>
      </c>
      <c r="D1239" s="17" t="s">
        <v>1681</v>
      </c>
      <c r="E1239" s="29" t="s">
        <v>1739</v>
      </c>
      <c r="F1239" s="3" t="s">
        <v>80</v>
      </c>
      <c r="G1239" s="3" t="s">
        <v>689</v>
      </c>
      <c r="H1239" s="14" t="s">
        <v>1683</v>
      </c>
      <c r="I1239" s="26" t="s">
        <v>43</v>
      </c>
      <c r="J1239" s="26"/>
      <c r="K1239" s="19"/>
      <c r="L1239" s="19"/>
      <c r="M1239" s="29" t="s">
        <v>1740</v>
      </c>
      <c r="N1239" s="29"/>
      <c r="O1239" s="17" t="s">
        <v>1744</v>
      </c>
      <c r="P1239" s="29" t="s">
        <v>92</v>
      </c>
      <c r="Q1239" s="17" t="s">
        <v>592</v>
      </c>
      <c r="R1239" s="16" t="n">
        <v>230.42</v>
      </c>
      <c r="S1239" s="16" t="n">
        <v>399</v>
      </c>
      <c r="T1239" s="136" t="n">
        <v>3</v>
      </c>
      <c r="U1239" s="1" t="str">
        <f aca="false">D1239&amp;"-"&amp;E1239&amp;"-"&amp;M1239&amp;"-"&amp;O1239&amp;"-"&amp;P1239&amp;"-"&amp;Q1239</f>
        <v>Envie-SLEEPING BRA-1022-PURPE-32-B</v>
      </c>
    </row>
    <row r="1240" customFormat="false" ht="15" hidden="true" customHeight="false" outlineLevel="0" collapsed="false">
      <c r="B1240" s="17" t="s">
        <v>1750</v>
      </c>
      <c r="C1240" s="17" t="s">
        <v>1680</v>
      </c>
      <c r="D1240" s="17" t="s">
        <v>1681</v>
      </c>
      <c r="E1240" s="29" t="s">
        <v>1739</v>
      </c>
      <c r="F1240" s="3" t="s">
        <v>80</v>
      </c>
      <c r="G1240" s="3" t="s">
        <v>689</v>
      </c>
      <c r="H1240" s="14" t="s">
        <v>1683</v>
      </c>
      <c r="I1240" s="26" t="s">
        <v>43</v>
      </c>
      <c r="J1240" s="26"/>
      <c r="K1240" s="19"/>
      <c r="L1240" s="19"/>
      <c r="M1240" s="29" t="s">
        <v>1740</v>
      </c>
      <c r="N1240" s="29"/>
      <c r="O1240" s="29" t="s">
        <v>73</v>
      </c>
      <c r="P1240" s="29" t="s">
        <v>92</v>
      </c>
      <c r="Q1240" s="17" t="s">
        <v>592</v>
      </c>
      <c r="R1240" s="16" t="n">
        <v>230.42</v>
      </c>
      <c r="S1240" s="16" t="n">
        <v>399</v>
      </c>
      <c r="T1240" s="136" t="n">
        <v>3</v>
      </c>
      <c r="U1240" s="1" t="str">
        <f aca="false">D1240&amp;"-"&amp;E1240&amp;"-"&amp;M1240&amp;"-"&amp;O1240&amp;"-"&amp;P1240&amp;"-"&amp;Q1240</f>
        <v>Envie-SLEEPING BRA-1022-White-32-B</v>
      </c>
    </row>
    <row r="1241" customFormat="false" ht="15" hidden="true" customHeight="false" outlineLevel="0" collapsed="false">
      <c r="B1241" s="29" t="s">
        <v>1751</v>
      </c>
      <c r="C1241" s="17" t="s">
        <v>1680</v>
      </c>
      <c r="D1241" s="17" t="s">
        <v>1681</v>
      </c>
      <c r="E1241" s="29" t="s">
        <v>1739</v>
      </c>
      <c r="F1241" s="3" t="s">
        <v>80</v>
      </c>
      <c r="G1241" s="3" t="s">
        <v>689</v>
      </c>
      <c r="H1241" s="14" t="s">
        <v>1683</v>
      </c>
      <c r="I1241" s="26" t="s">
        <v>43</v>
      </c>
      <c r="J1241" s="26"/>
      <c r="K1241" s="19"/>
      <c r="L1241" s="19"/>
      <c r="M1241" s="29" t="s">
        <v>1740</v>
      </c>
      <c r="N1241" s="29"/>
      <c r="O1241" s="29" t="s">
        <v>1730</v>
      </c>
      <c r="P1241" s="29" t="s">
        <v>92</v>
      </c>
      <c r="Q1241" s="17" t="s">
        <v>592</v>
      </c>
      <c r="R1241" s="16" t="n">
        <v>230.42</v>
      </c>
      <c r="S1241" s="16" t="n">
        <v>399</v>
      </c>
      <c r="T1241" s="136" t="n">
        <v>2</v>
      </c>
      <c r="U1241" s="1" t="str">
        <f aca="false">D1241&amp;"-"&amp;E1241&amp;"-"&amp;M1241&amp;"-"&amp;O1241&amp;"-"&amp;P1241&amp;"-"&amp;Q1241</f>
        <v>Envie-SLEEPING BRA-1022-Woodrose-32-B</v>
      </c>
    </row>
    <row r="1242" customFormat="false" ht="15" hidden="true" customHeight="false" outlineLevel="0" collapsed="false">
      <c r="B1242" s="17" t="s">
        <v>1752</v>
      </c>
      <c r="C1242" s="17" t="s">
        <v>1680</v>
      </c>
      <c r="D1242" s="17" t="s">
        <v>1681</v>
      </c>
      <c r="E1242" s="29" t="s">
        <v>1739</v>
      </c>
      <c r="F1242" s="3" t="s">
        <v>80</v>
      </c>
      <c r="G1242" s="3" t="s">
        <v>689</v>
      </c>
      <c r="H1242" s="14" t="s">
        <v>1683</v>
      </c>
      <c r="I1242" s="26" t="s">
        <v>43</v>
      </c>
      <c r="J1242" s="26"/>
      <c r="K1242" s="19"/>
      <c r="L1242" s="19"/>
      <c r="M1242" s="29" t="s">
        <v>1740</v>
      </c>
      <c r="N1242" s="17"/>
      <c r="O1242" s="17" t="s">
        <v>437</v>
      </c>
      <c r="P1242" s="17" t="s">
        <v>134</v>
      </c>
      <c r="Q1242" s="17" t="s">
        <v>592</v>
      </c>
      <c r="R1242" s="16" t="n">
        <v>230.42</v>
      </c>
      <c r="S1242" s="16" t="n">
        <v>399</v>
      </c>
      <c r="T1242" s="136" t="n">
        <v>2</v>
      </c>
      <c r="U1242" s="1" t="str">
        <f aca="false">D1242&amp;"-"&amp;E1242&amp;"-"&amp;M1242&amp;"-"&amp;O1242&amp;"-"&amp;P1242&amp;"-"&amp;Q1242</f>
        <v>Envie-SLEEPING BRA-1022-Black-34-B</v>
      </c>
    </row>
    <row r="1243" customFormat="false" ht="15" hidden="true" customHeight="false" outlineLevel="0" collapsed="false">
      <c r="B1243" s="17" t="s">
        <v>1753</v>
      </c>
      <c r="C1243" s="17" t="s">
        <v>1680</v>
      </c>
      <c r="D1243" s="17" t="s">
        <v>1681</v>
      </c>
      <c r="E1243" s="29" t="s">
        <v>1739</v>
      </c>
      <c r="F1243" s="3" t="s">
        <v>80</v>
      </c>
      <c r="G1243" s="3" t="s">
        <v>689</v>
      </c>
      <c r="H1243" s="14" t="s">
        <v>1683</v>
      </c>
      <c r="I1243" s="26" t="s">
        <v>43</v>
      </c>
      <c r="J1243" s="26"/>
      <c r="K1243" s="19"/>
      <c r="L1243" s="19"/>
      <c r="M1243" s="29" t="s">
        <v>1740</v>
      </c>
      <c r="N1243" s="17"/>
      <c r="O1243" s="17" t="s">
        <v>1734</v>
      </c>
      <c r="P1243" s="17" t="s">
        <v>134</v>
      </c>
      <c r="Q1243" s="17" t="s">
        <v>592</v>
      </c>
      <c r="R1243" s="16" t="n">
        <v>230.42</v>
      </c>
      <c r="S1243" s="16" t="n">
        <v>399</v>
      </c>
      <c r="T1243" s="136" t="n">
        <v>0</v>
      </c>
      <c r="U1243" s="1" t="str">
        <f aca="false">D1243&amp;"-"&amp;E1243&amp;"-"&amp;M1243&amp;"-"&amp;O1243&amp;"-"&amp;P1243&amp;"-"&amp;Q1243</f>
        <v>Envie-SLEEPING BRA-1022-Marron-34-B</v>
      </c>
    </row>
    <row r="1244" customFormat="false" ht="15" hidden="true" customHeight="false" outlineLevel="0" collapsed="false">
      <c r="B1244" s="29" t="s">
        <v>1754</v>
      </c>
      <c r="C1244" s="17" t="s">
        <v>1680</v>
      </c>
      <c r="D1244" s="17" t="s">
        <v>1681</v>
      </c>
      <c r="E1244" s="29" t="s">
        <v>1739</v>
      </c>
      <c r="F1244" s="3" t="s">
        <v>80</v>
      </c>
      <c r="G1244" s="3" t="s">
        <v>689</v>
      </c>
      <c r="H1244" s="14" t="s">
        <v>1683</v>
      </c>
      <c r="I1244" s="26" t="s">
        <v>43</v>
      </c>
      <c r="J1244" s="26"/>
      <c r="K1244" s="19"/>
      <c r="L1244" s="19"/>
      <c r="M1244" s="29" t="s">
        <v>1740</v>
      </c>
      <c r="N1244" s="29"/>
      <c r="O1244" s="29" t="s">
        <v>48</v>
      </c>
      <c r="P1244" s="29" t="s">
        <v>134</v>
      </c>
      <c r="Q1244" s="17" t="s">
        <v>592</v>
      </c>
      <c r="R1244" s="16" t="n">
        <v>230.42</v>
      </c>
      <c r="S1244" s="16" t="n">
        <v>399</v>
      </c>
      <c r="T1244" s="136" t="n">
        <v>1</v>
      </c>
      <c r="U1244" s="1" t="str">
        <f aca="false">D1244&amp;"-"&amp;E1244&amp;"-"&amp;M1244&amp;"-"&amp;O1244&amp;"-"&amp;P1244&amp;"-"&amp;Q1244</f>
        <v>Envie-SLEEPING BRA-1022-Blue-34-B</v>
      </c>
    </row>
    <row r="1245" customFormat="false" ht="15" hidden="true" customHeight="false" outlineLevel="0" collapsed="false">
      <c r="B1245" s="17" t="s">
        <v>1755</v>
      </c>
      <c r="C1245" s="17" t="s">
        <v>1680</v>
      </c>
      <c r="D1245" s="17" t="s">
        <v>1681</v>
      </c>
      <c r="E1245" s="29" t="s">
        <v>1739</v>
      </c>
      <c r="F1245" s="3" t="s">
        <v>80</v>
      </c>
      <c r="G1245" s="3" t="s">
        <v>689</v>
      </c>
      <c r="H1245" s="14" t="s">
        <v>1683</v>
      </c>
      <c r="I1245" s="26" t="s">
        <v>43</v>
      </c>
      <c r="J1245" s="26"/>
      <c r="K1245" s="19"/>
      <c r="L1245" s="19"/>
      <c r="M1245" s="29" t="s">
        <v>1740</v>
      </c>
      <c r="N1245" s="17"/>
      <c r="O1245" s="17" t="s">
        <v>1687</v>
      </c>
      <c r="P1245" s="17" t="s">
        <v>134</v>
      </c>
      <c r="Q1245" s="17" t="s">
        <v>592</v>
      </c>
      <c r="R1245" s="16" t="n">
        <v>230.42</v>
      </c>
      <c r="S1245" s="16" t="n">
        <v>399</v>
      </c>
      <c r="T1245" s="136" t="n">
        <v>1</v>
      </c>
      <c r="U1245" s="1" t="str">
        <f aca="false">D1245&amp;"-"&amp;E1245&amp;"-"&amp;M1245&amp;"-"&amp;O1245&amp;"-"&amp;P1245&amp;"-"&amp;Q1245</f>
        <v>Envie-SLEEPING BRA-1022-Nude-34-B</v>
      </c>
    </row>
    <row r="1246" customFormat="false" ht="15" hidden="true" customHeight="false" outlineLevel="0" collapsed="false">
      <c r="B1246" s="17" t="s">
        <v>1756</v>
      </c>
      <c r="C1246" s="17" t="s">
        <v>1680</v>
      </c>
      <c r="D1246" s="17" t="s">
        <v>1681</v>
      </c>
      <c r="E1246" s="29" t="s">
        <v>1739</v>
      </c>
      <c r="F1246" s="3" t="s">
        <v>80</v>
      </c>
      <c r="G1246" s="3" t="s">
        <v>689</v>
      </c>
      <c r="H1246" s="14" t="s">
        <v>1683</v>
      </c>
      <c r="I1246" s="26" t="s">
        <v>43</v>
      </c>
      <c r="J1246" s="26"/>
      <c r="K1246" s="19"/>
      <c r="L1246" s="19"/>
      <c r="M1246" s="29" t="s">
        <v>1740</v>
      </c>
      <c r="N1246" s="17"/>
      <c r="O1246" s="17" t="s">
        <v>912</v>
      </c>
      <c r="P1246" s="17" t="s">
        <v>134</v>
      </c>
      <c r="Q1246" s="17" t="s">
        <v>592</v>
      </c>
      <c r="R1246" s="16" t="n">
        <v>230.42</v>
      </c>
      <c r="S1246" s="16" t="n">
        <v>399</v>
      </c>
      <c r="T1246" s="136" t="n">
        <v>4</v>
      </c>
      <c r="U1246" s="1" t="str">
        <f aca="false">D1246&amp;"-"&amp;E1246&amp;"-"&amp;M1246&amp;"-"&amp;O1246&amp;"-"&amp;P1246&amp;"-"&amp;Q1246</f>
        <v>Envie-SLEEPING BRA-1022-Purple-34-B</v>
      </c>
    </row>
    <row r="1247" customFormat="false" ht="15" hidden="true" customHeight="false" outlineLevel="0" collapsed="false">
      <c r="B1247" s="29" t="s">
        <v>1757</v>
      </c>
      <c r="C1247" s="17" t="s">
        <v>1680</v>
      </c>
      <c r="D1247" s="17" t="s">
        <v>1681</v>
      </c>
      <c r="E1247" s="29" t="s">
        <v>1739</v>
      </c>
      <c r="F1247" s="3" t="s">
        <v>80</v>
      </c>
      <c r="G1247" s="3" t="s">
        <v>689</v>
      </c>
      <c r="H1247" s="14" t="s">
        <v>1683</v>
      </c>
      <c r="I1247" s="26" t="s">
        <v>43</v>
      </c>
      <c r="J1247" s="26"/>
      <c r="K1247" s="19"/>
      <c r="L1247" s="19"/>
      <c r="M1247" s="29" t="s">
        <v>1740</v>
      </c>
      <c r="N1247" s="29"/>
      <c r="O1247" s="29" t="s">
        <v>73</v>
      </c>
      <c r="P1247" s="29" t="s">
        <v>134</v>
      </c>
      <c r="Q1247" s="17" t="s">
        <v>592</v>
      </c>
      <c r="R1247" s="16" t="n">
        <v>230.42</v>
      </c>
      <c r="S1247" s="16" t="n">
        <v>399</v>
      </c>
      <c r="T1247" s="136" t="n">
        <v>4</v>
      </c>
      <c r="U1247" s="1" t="str">
        <f aca="false">D1247&amp;"-"&amp;E1247&amp;"-"&amp;M1247&amp;"-"&amp;O1247&amp;"-"&amp;P1247&amp;"-"&amp;Q1247</f>
        <v>Envie-SLEEPING BRA-1022-White-34-B</v>
      </c>
    </row>
    <row r="1248" customFormat="false" ht="15" hidden="true" customHeight="false" outlineLevel="0" collapsed="false">
      <c r="B1248" s="17" t="s">
        <v>1758</v>
      </c>
      <c r="C1248" s="17" t="s">
        <v>1680</v>
      </c>
      <c r="D1248" s="17" t="s">
        <v>1681</v>
      </c>
      <c r="E1248" s="29" t="s">
        <v>1739</v>
      </c>
      <c r="F1248" s="3" t="s">
        <v>80</v>
      </c>
      <c r="G1248" s="3" t="s">
        <v>689</v>
      </c>
      <c r="H1248" s="14" t="s">
        <v>1683</v>
      </c>
      <c r="I1248" s="26" t="s">
        <v>43</v>
      </c>
      <c r="J1248" s="26"/>
      <c r="K1248" s="19"/>
      <c r="L1248" s="19"/>
      <c r="M1248" s="29" t="s">
        <v>1740</v>
      </c>
      <c r="N1248" s="17"/>
      <c r="O1248" s="17" t="s">
        <v>1730</v>
      </c>
      <c r="P1248" s="17" t="s">
        <v>134</v>
      </c>
      <c r="Q1248" s="17" t="s">
        <v>592</v>
      </c>
      <c r="R1248" s="16" t="n">
        <v>230.42</v>
      </c>
      <c r="S1248" s="16" t="n">
        <v>399</v>
      </c>
      <c r="T1248" s="136" t="n">
        <v>2</v>
      </c>
      <c r="U1248" s="1" t="str">
        <f aca="false">D1248&amp;"-"&amp;E1248&amp;"-"&amp;M1248&amp;"-"&amp;O1248&amp;"-"&amp;P1248&amp;"-"&amp;Q1248</f>
        <v>Envie-SLEEPING BRA-1022-Woodrose-34-B</v>
      </c>
    </row>
    <row r="1249" customFormat="false" ht="15" hidden="true" customHeight="false" outlineLevel="0" collapsed="false">
      <c r="B1249" s="29" t="s">
        <v>1759</v>
      </c>
      <c r="C1249" s="17" t="s">
        <v>1680</v>
      </c>
      <c r="D1249" s="17" t="s">
        <v>1681</v>
      </c>
      <c r="E1249" s="29" t="s">
        <v>1739</v>
      </c>
      <c r="F1249" s="3" t="s">
        <v>80</v>
      </c>
      <c r="G1249" s="3" t="s">
        <v>689</v>
      </c>
      <c r="H1249" s="14" t="s">
        <v>1683</v>
      </c>
      <c r="I1249" s="26" t="s">
        <v>43</v>
      </c>
      <c r="J1249" s="26"/>
      <c r="K1249" s="19"/>
      <c r="L1249" s="19"/>
      <c r="M1249" s="29" t="s">
        <v>1740</v>
      </c>
      <c r="N1249" s="29"/>
      <c r="O1249" s="17" t="s">
        <v>437</v>
      </c>
      <c r="P1249" s="29" t="s">
        <v>65</v>
      </c>
      <c r="Q1249" s="17" t="s">
        <v>592</v>
      </c>
      <c r="R1249" s="16" t="n">
        <v>230.42</v>
      </c>
      <c r="S1249" s="16" t="n">
        <v>399</v>
      </c>
      <c r="T1249" s="136" t="n">
        <v>2</v>
      </c>
      <c r="U1249" s="1" t="str">
        <f aca="false">D1249&amp;"-"&amp;E1249&amp;"-"&amp;M1249&amp;"-"&amp;O1249&amp;"-"&amp;P1249&amp;"-"&amp;Q1249</f>
        <v>Envie-SLEEPING BRA-1022-Black-36-B</v>
      </c>
    </row>
    <row r="1250" customFormat="false" ht="15" hidden="true" customHeight="false" outlineLevel="0" collapsed="false">
      <c r="B1250" s="29" t="s">
        <v>1760</v>
      </c>
      <c r="C1250" s="17" t="s">
        <v>1680</v>
      </c>
      <c r="D1250" s="17" t="s">
        <v>1681</v>
      </c>
      <c r="E1250" s="29" t="s">
        <v>1739</v>
      </c>
      <c r="F1250" s="3" t="s">
        <v>80</v>
      </c>
      <c r="G1250" s="3" t="s">
        <v>689</v>
      </c>
      <c r="H1250" s="14" t="s">
        <v>1683</v>
      </c>
      <c r="I1250" s="26" t="s">
        <v>43</v>
      </c>
      <c r="J1250" s="26"/>
      <c r="K1250" s="19"/>
      <c r="L1250" s="19"/>
      <c r="M1250" s="29" t="s">
        <v>1740</v>
      </c>
      <c r="N1250" s="29"/>
      <c r="O1250" s="29" t="s">
        <v>1761</v>
      </c>
      <c r="P1250" s="29" t="s">
        <v>65</v>
      </c>
      <c r="Q1250" s="17" t="s">
        <v>592</v>
      </c>
      <c r="R1250" s="16" t="n">
        <v>230.42</v>
      </c>
      <c r="S1250" s="16" t="n">
        <v>399</v>
      </c>
      <c r="T1250" s="136" t="n">
        <v>1</v>
      </c>
      <c r="U1250" s="1" t="str">
        <f aca="false">D1250&amp;"-"&amp;E1250&amp;"-"&amp;M1250&amp;"-"&amp;O1250&amp;"-"&amp;P1250&amp;"-"&amp;Q1250</f>
        <v>Envie-SLEEPING BRA-1022-Maroon-36-B</v>
      </c>
    </row>
    <row r="1251" customFormat="false" ht="15" hidden="true" customHeight="false" outlineLevel="0" collapsed="false">
      <c r="B1251" s="29" t="s">
        <v>1762</v>
      </c>
      <c r="C1251" s="17" t="s">
        <v>1680</v>
      </c>
      <c r="D1251" s="17" t="s">
        <v>1681</v>
      </c>
      <c r="E1251" s="29" t="s">
        <v>1739</v>
      </c>
      <c r="F1251" s="3" t="s">
        <v>80</v>
      </c>
      <c r="G1251" s="3" t="s">
        <v>689</v>
      </c>
      <c r="H1251" s="14" t="s">
        <v>1683</v>
      </c>
      <c r="I1251" s="26" t="s">
        <v>43</v>
      </c>
      <c r="J1251" s="26"/>
      <c r="K1251" s="19"/>
      <c r="L1251" s="19"/>
      <c r="M1251" s="29" t="s">
        <v>1740</v>
      </c>
      <c r="N1251" s="29"/>
      <c r="O1251" s="29" t="s">
        <v>48</v>
      </c>
      <c r="P1251" s="29" t="s">
        <v>65</v>
      </c>
      <c r="Q1251" s="17" t="s">
        <v>592</v>
      </c>
      <c r="R1251" s="16" t="n">
        <v>230.42</v>
      </c>
      <c r="S1251" s="16" t="n">
        <v>399</v>
      </c>
      <c r="T1251" s="136" t="n">
        <v>1</v>
      </c>
      <c r="U1251" s="1" t="str">
        <f aca="false">D1251&amp;"-"&amp;E1251&amp;"-"&amp;M1251&amp;"-"&amp;O1251&amp;"-"&amp;P1251&amp;"-"&amp;Q1251</f>
        <v>Envie-SLEEPING BRA-1022-Blue-36-B</v>
      </c>
    </row>
    <row r="1252" customFormat="false" ht="15" hidden="true" customHeight="false" outlineLevel="0" collapsed="false">
      <c r="B1252" s="17" t="s">
        <v>1763</v>
      </c>
      <c r="C1252" s="17" t="s">
        <v>1680</v>
      </c>
      <c r="D1252" s="17" t="s">
        <v>1681</v>
      </c>
      <c r="E1252" s="29" t="s">
        <v>1739</v>
      </c>
      <c r="F1252" s="3" t="s">
        <v>80</v>
      </c>
      <c r="G1252" s="3" t="s">
        <v>689</v>
      </c>
      <c r="H1252" s="14" t="s">
        <v>1683</v>
      </c>
      <c r="I1252" s="26" t="s">
        <v>43</v>
      </c>
      <c r="J1252" s="26"/>
      <c r="K1252" s="19"/>
      <c r="L1252" s="19"/>
      <c r="M1252" s="29" t="s">
        <v>1740</v>
      </c>
      <c r="N1252" s="29"/>
      <c r="O1252" s="17" t="s">
        <v>1687</v>
      </c>
      <c r="P1252" s="29" t="s">
        <v>65</v>
      </c>
      <c r="Q1252" s="17" t="s">
        <v>592</v>
      </c>
      <c r="R1252" s="16" t="n">
        <v>230.42</v>
      </c>
      <c r="S1252" s="16" t="n">
        <v>399</v>
      </c>
      <c r="T1252" s="136" t="n">
        <v>1</v>
      </c>
      <c r="U1252" s="1" t="str">
        <f aca="false">D1252&amp;"-"&amp;E1252&amp;"-"&amp;M1252&amp;"-"&amp;O1252&amp;"-"&amp;P1252&amp;"-"&amp;Q1252</f>
        <v>Envie-SLEEPING BRA-1022-Nude-36-B</v>
      </c>
    </row>
    <row r="1253" customFormat="false" ht="15" hidden="true" customHeight="false" outlineLevel="0" collapsed="false">
      <c r="B1253" s="29" t="s">
        <v>1764</v>
      </c>
      <c r="C1253" s="17" t="s">
        <v>1680</v>
      </c>
      <c r="D1253" s="17" t="s">
        <v>1681</v>
      </c>
      <c r="E1253" s="29" t="s">
        <v>1739</v>
      </c>
      <c r="F1253" s="3" t="s">
        <v>80</v>
      </c>
      <c r="G1253" s="3" t="s">
        <v>689</v>
      </c>
      <c r="H1253" s="14" t="s">
        <v>1683</v>
      </c>
      <c r="I1253" s="26" t="s">
        <v>43</v>
      </c>
      <c r="J1253" s="26"/>
      <c r="K1253" s="19"/>
      <c r="L1253" s="19"/>
      <c r="M1253" s="29" t="s">
        <v>1740</v>
      </c>
      <c r="N1253" s="29"/>
      <c r="O1253" s="29" t="s">
        <v>912</v>
      </c>
      <c r="P1253" s="29" t="s">
        <v>65</v>
      </c>
      <c r="Q1253" s="17" t="s">
        <v>592</v>
      </c>
      <c r="R1253" s="16" t="n">
        <v>230.42</v>
      </c>
      <c r="S1253" s="16" t="n">
        <v>399</v>
      </c>
      <c r="T1253" s="136" t="n">
        <v>2</v>
      </c>
      <c r="U1253" s="1" t="str">
        <f aca="false">D1253&amp;"-"&amp;E1253&amp;"-"&amp;M1253&amp;"-"&amp;O1253&amp;"-"&amp;P1253&amp;"-"&amp;Q1253</f>
        <v>Envie-SLEEPING BRA-1022-Purple-36-B</v>
      </c>
    </row>
    <row r="1254" customFormat="false" ht="15" hidden="true" customHeight="false" outlineLevel="0" collapsed="false">
      <c r="B1254" s="17" t="s">
        <v>1765</v>
      </c>
      <c r="C1254" s="17" t="s">
        <v>1680</v>
      </c>
      <c r="D1254" s="17" t="s">
        <v>1681</v>
      </c>
      <c r="E1254" s="29" t="s">
        <v>1739</v>
      </c>
      <c r="F1254" s="3" t="s">
        <v>80</v>
      </c>
      <c r="G1254" s="3" t="s">
        <v>689</v>
      </c>
      <c r="H1254" s="14" t="s">
        <v>1683</v>
      </c>
      <c r="I1254" s="26" t="s">
        <v>43</v>
      </c>
      <c r="J1254" s="26"/>
      <c r="K1254" s="19"/>
      <c r="L1254" s="19"/>
      <c r="M1254" s="29" t="s">
        <v>1740</v>
      </c>
      <c r="N1254" s="29"/>
      <c r="O1254" s="29" t="s">
        <v>73</v>
      </c>
      <c r="P1254" s="29" t="s">
        <v>65</v>
      </c>
      <c r="Q1254" s="17" t="s">
        <v>592</v>
      </c>
      <c r="R1254" s="16" t="n">
        <v>230.42</v>
      </c>
      <c r="S1254" s="16" t="n">
        <v>399</v>
      </c>
      <c r="T1254" s="136" t="n">
        <v>1</v>
      </c>
      <c r="U1254" s="1" t="str">
        <f aca="false">D1254&amp;"-"&amp;E1254&amp;"-"&amp;M1254&amp;"-"&amp;O1254&amp;"-"&amp;P1254&amp;"-"&amp;Q1254</f>
        <v>Envie-SLEEPING BRA-1022-White-36-B</v>
      </c>
    </row>
    <row r="1255" customFormat="false" ht="15" hidden="true" customHeight="false" outlineLevel="0" collapsed="false">
      <c r="B1255" s="29" t="s">
        <v>1766</v>
      </c>
      <c r="C1255" s="17" t="s">
        <v>1680</v>
      </c>
      <c r="D1255" s="17" t="s">
        <v>1681</v>
      </c>
      <c r="E1255" s="29" t="s">
        <v>1739</v>
      </c>
      <c r="F1255" s="3" t="s">
        <v>80</v>
      </c>
      <c r="G1255" s="3" t="s">
        <v>689</v>
      </c>
      <c r="H1255" s="14" t="s">
        <v>1683</v>
      </c>
      <c r="I1255" s="26" t="s">
        <v>43</v>
      </c>
      <c r="J1255" s="26"/>
      <c r="K1255" s="19"/>
      <c r="L1255" s="19"/>
      <c r="M1255" s="29" t="s">
        <v>1740</v>
      </c>
      <c r="N1255" s="29"/>
      <c r="O1255" s="29" t="s">
        <v>1730</v>
      </c>
      <c r="P1255" s="29" t="s">
        <v>65</v>
      </c>
      <c r="Q1255" s="17" t="s">
        <v>592</v>
      </c>
      <c r="R1255" s="16" t="n">
        <v>230.42</v>
      </c>
      <c r="S1255" s="16" t="n">
        <v>399</v>
      </c>
      <c r="T1255" s="136" t="n">
        <v>3</v>
      </c>
      <c r="U1255" s="1" t="str">
        <f aca="false">D1255&amp;"-"&amp;E1255&amp;"-"&amp;M1255&amp;"-"&amp;O1255&amp;"-"&amp;P1255&amp;"-"&amp;Q1255</f>
        <v>Envie-SLEEPING BRA-1022-Woodrose-36-B</v>
      </c>
    </row>
    <row r="1256" customFormat="false" ht="15" hidden="true" customHeight="false" outlineLevel="0" collapsed="false">
      <c r="B1256" s="17" t="s">
        <v>1767</v>
      </c>
      <c r="C1256" s="17" t="s">
        <v>1680</v>
      </c>
      <c r="D1256" s="17" t="s">
        <v>1681</v>
      </c>
      <c r="E1256" s="29" t="s">
        <v>1739</v>
      </c>
      <c r="F1256" s="3" t="s">
        <v>80</v>
      </c>
      <c r="G1256" s="3" t="s">
        <v>689</v>
      </c>
      <c r="H1256" s="14" t="s">
        <v>1683</v>
      </c>
      <c r="I1256" s="26" t="s">
        <v>43</v>
      </c>
      <c r="J1256" s="26"/>
      <c r="K1256" s="19"/>
      <c r="L1256" s="19"/>
      <c r="M1256" s="29" t="s">
        <v>1740</v>
      </c>
      <c r="N1256" s="17"/>
      <c r="O1256" s="17" t="s">
        <v>1734</v>
      </c>
      <c r="P1256" s="17" t="s">
        <v>154</v>
      </c>
      <c r="Q1256" s="17" t="s">
        <v>592</v>
      </c>
      <c r="R1256" s="16" t="n">
        <v>230.42</v>
      </c>
      <c r="S1256" s="16" t="n">
        <v>399</v>
      </c>
      <c r="T1256" s="136" t="n">
        <v>0</v>
      </c>
      <c r="U1256" s="1" t="str">
        <f aca="false">D1256&amp;"-"&amp;E1256&amp;"-"&amp;M1256&amp;"-"&amp;O1256&amp;"-"&amp;P1256&amp;"-"&amp;Q1256</f>
        <v>Envie-SLEEPING BRA-1022-Marron-38-B</v>
      </c>
    </row>
    <row r="1257" customFormat="false" ht="15" hidden="true" customHeight="false" outlineLevel="0" collapsed="false">
      <c r="B1257" s="17" t="s">
        <v>1768</v>
      </c>
      <c r="C1257" s="17" t="s">
        <v>1680</v>
      </c>
      <c r="D1257" s="17" t="s">
        <v>1681</v>
      </c>
      <c r="E1257" s="29" t="s">
        <v>1739</v>
      </c>
      <c r="F1257" s="3" t="s">
        <v>80</v>
      </c>
      <c r="G1257" s="3" t="s">
        <v>689</v>
      </c>
      <c r="H1257" s="14" t="s">
        <v>1683</v>
      </c>
      <c r="I1257" s="26" t="s">
        <v>43</v>
      </c>
      <c r="J1257" s="26"/>
      <c r="K1257" s="19"/>
      <c r="L1257" s="19"/>
      <c r="M1257" s="29" t="s">
        <v>1740</v>
      </c>
      <c r="N1257" s="17"/>
      <c r="O1257" s="17" t="s">
        <v>48</v>
      </c>
      <c r="P1257" s="17" t="s">
        <v>154</v>
      </c>
      <c r="Q1257" s="17" t="s">
        <v>592</v>
      </c>
      <c r="R1257" s="16" t="n">
        <v>230.42</v>
      </c>
      <c r="S1257" s="16" t="n">
        <v>399</v>
      </c>
      <c r="T1257" s="136" t="n">
        <v>2</v>
      </c>
      <c r="U1257" s="1" t="str">
        <f aca="false">D1257&amp;"-"&amp;E1257&amp;"-"&amp;M1257&amp;"-"&amp;O1257&amp;"-"&amp;P1257&amp;"-"&amp;Q1257</f>
        <v>Envie-SLEEPING BRA-1022-Blue-38-B</v>
      </c>
    </row>
    <row r="1258" customFormat="false" ht="15" hidden="true" customHeight="false" outlineLevel="0" collapsed="false">
      <c r="B1258" s="29" t="s">
        <v>1769</v>
      </c>
      <c r="C1258" s="17" t="s">
        <v>1680</v>
      </c>
      <c r="D1258" s="17" t="s">
        <v>1681</v>
      </c>
      <c r="E1258" s="29" t="s">
        <v>1739</v>
      </c>
      <c r="F1258" s="3" t="s">
        <v>80</v>
      </c>
      <c r="G1258" s="3" t="s">
        <v>689</v>
      </c>
      <c r="H1258" s="14" t="s">
        <v>1683</v>
      </c>
      <c r="I1258" s="26" t="s">
        <v>43</v>
      </c>
      <c r="J1258" s="26"/>
      <c r="K1258" s="19"/>
      <c r="L1258" s="19"/>
      <c r="M1258" s="29" t="s">
        <v>1740</v>
      </c>
      <c r="N1258" s="17"/>
      <c r="O1258" s="29" t="s">
        <v>1687</v>
      </c>
      <c r="P1258" s="17" t="s">
        <v>154</v>
      </c>
      <c r="Q1258" s="17" t="s">
        <v>592</v>
      </c>
      <c r="R1258" s="16" t="n">
        <v>230.42</v>
      </c>
      <c r="S1258" s="16" t="n">
        <v>399</v>
      </c>
      <c r="T1258" s="136" t="n">
        <v>1</v>
      </c>
      <c r="U1258" s="1" t="str">
        <f aca="false">D1258&amp;"-"&amp;E1258&amp;"-"&amp;M1258&amp;"-"&amp;O1258&amp;"-"&amp;P1258&amp;"-"&amp;Q1258</f>
        <v>Envie-SLEEPING BRA-1022-Nude-38-B</v>
      </c>
    </row>
    <row r="1259" customFormat="false" ht="15" hidden="true" customHeight="false" outlineLevel="0" collapsed="false">
      <c r="B1259" s="17" t="s">
        <v>1770</v>
      </c>
      <c r="C1259" s="17" t="s">
        <v>1680</v>
      </c>
      <c r="D1259" s="17" t="s">
        <v>1681</v>
      </c>
      <c r="E1259" s="29" t="s">
        <v>1739</v>
      </c>
      <c r="F1259" s="3" t="s">
        <v>80</v>
      </c>
      <c r="G1259" s="3" t="s">
        <v>689</v>
      </c>
      <c r="H1259" s="14" t="s">
        <v>1683</v>
      </c>
      <c r="I1259" s="26" t="s">
        <v>43</v>
      </c>
      <c r="J1259" s="26"/>
      <c r="K1259" s="19"/>
      <c r="L1259" s="19"/>
      <c r="M1259" s="29" t="s">
        <v>1740</v>
      </c>
      <c r="N1259" s="17"/>
      <c r="O1259" s="17" t="s">
        <v>912</v>
      </c>
      <c r="P1259" s="17" t="s">
        <v>154</v>
      </c>
      <c r="Q1259" s="17" t="s">
        <v>592</v>
      </c>
      <c r="R1259" s="16" t="n">
        <v>230.42</v>
      </c>
      <c r="S1259" s="16" t="n">
        <v>399</v>
      </c>
      <c r="T1259" s="136" t="n">
        <v>2</v>
      </c>
      <c r="U1259" s="1" t="str">
        <f aca="false">D1259&amp;"-"&amp;E1259&amp;"-"&amp;M1259&amp;"-"&amp;O1259&amp;"-"&amp;P1259&amp;"-"&amp;Q1259</f>
        <v>Envie-SLEEPING BRA-1022-Purple-38-B</v>
      </c>
    </row>
    <row r="1260" customFormat="false" ht="15" hidden="true" customHeight="false" outlineLevel="0" collapsed="false">
      <c r="B1260" s="29" t="s">
        <v>1771</v>
      </c>
      <c r="C1260" s="17" t="s">
        <v>1680</v>
      </c>
      <c r="D1260" s="17" t="s">
        <v>1681</v>
      </c>
      <c r="E1260" s="29" t="s">
        <v>1739</v>
      </c>
      <c r="F1260" s="3" t="s">
        <v>80</v>
      </c>
      <c r="G1260" s="3" t="s">
        <v>689</v>
      </c>
      <c r="H1260" s="14" t="s">
        <v>1683</v>
      </c>
      <c r="I1260" s="26" t="s">
        <v>43</v>
      </c>
      <c r="J1260" s="26"/>
      <c r="K1260" s="19"/>
      <c r="L1260" s="19"/>
      <c r="M1260" s="29" t="s">
        <v>1740</v>
      </c>
      <c r="N1260" s="17"/>
      <c r="O1260" s="29" t="s">
        <v>73</v>
      </c>
      <c r="P1260" s="17" t="s">
        <v>154</v>
      </c>
      <c r="Q1260" s="17" t="s">
        <v>592</v>
      </c>
      <c r="R1260" s="16" t="n">
        <v>230.42</v>
      </c>
      <c r="S1260" s="16" t="n">
        <v>399</v>
      </c>
      <c r="T1260" s="136" t="n">
        <v>4</v>
      </c>
      <c r="U1260" s="1" t="str">
        <f aca="false">D1260&amp;"-"&amp;E1260&amp;"-"&amp;M1260&amp;"-"&amp;O1260&amp;"-"&amp;P1260&amp;"-"&amp;Q1260</f>
        <v>Envie-SLEEPING BRA-1022-White-38-B</v>
      </c>
    </row>
    <row r="1261" customFormat="false" ht="15" hidden="true" customHeight="false" outlineLevel="0" collapsed="false">
      <c r="B1261" s="17" t="s">
        <v>1772</v>
      </c>
      <c r="C1261" s="17" t="s">
        <v>1680</v>
      </c>
      <c r="D1261" s="17" t="s">
        <v>1681</v>
      </c>
      <c r="E1261" s="29" t="s">
        <v>1739</v>
      </c>
      <c r="F1261" s="3" t="s">
        <v>80</v>
      </c>
      <c r="G1261" s="3" t="s">
        <v>689</v>
      </c>
      <c r="H1261" s="14" t="s">
        <v>1683</v>
      </c>
      <c r="I1261" s="26" t="s">
        <v>43</v>
      </c>
      <c r="J1261" s="26"/>
      <c r="K1261" s="19"/>
      <c r="L1261" s="19"/>
      <c r="M1261" s="29" t="s">
        <v>1740</v>
      </c>
      <c r="N1261" s="17"/>
      <c r="O1261" s="17" t="s">
        <v>1730</v>
      </c>
      <c r="P1261" s="17" t="s">
        <v>154</v>
      </c>
      <c r="Q1261" s="17" t="s">
        <v>592</v>
      </c>
      <c r="R1261" s="16" t="n">
        <v>230.42</v>
      </c>
      <c r="S1261" s="16" t="n">
        <v>399</v>
      </c>
      <c r="T1261" s="136" t="n">
        <v>3</v>
      </c>
      <c r="U1261" s="1" t="str">
        <f aca="false">D1261&amp;"-"&amp;E1261&amp;"-"&amp;M1261&amp;"-"&amp;O1261&amp;"-"&amp;P1261&amp;"-"&amp;Q1261</f>
        <v>Envie-SLEEPING BRA-1022-Woodrose-38-B</v>
      </c>
    </row>
    <row r="1262" customFormat="false" ht="15" hidden="true" customHeight="false" outlineLevel="0" collapsed="false">
      <c r="B1262" s="17" t="s">
        <v>1773</v>
      </c>
      <c r="C1262" s="17" t="s">
        <v>1680</v>
      </c>
      <c r="D1262" s="17" t="s">
        <v>1681</v>
      </c>
      <c r="E1262" s="29" t="s">
        <v>1739</v>
      </c>
      <c r="F1262" s="3" t="s">
        <v>80</v>
      </c>
      <c r="G1262" s="3" t="s">
        <v>689</v>
      </c>
      <c r="H1262" s="14" t="s">
        <v>1683</v>
      </c>
      <c r="I1262" s="26" t="s">
        <v>43</v>
      </c>
      <c r="J1262" s="131"/>
      <c r="K1262" s="139"/>
      <c r="L1262" s="19"/>
      <c r="M1262" s="29" t="s">
        <v>1740</v>
      </c>
      <c r="N1262" s="17"/>
      <c r="O1262" s="17" t="s">
        <v>437</v>
      </c>
      <c r="P1262" s="17" t="s">
        <v>154</v>
      </c>
      <c r="Q1262" s="17" t="s">
        <v>592</v>
      </c>
      <c r="R1262" s="16" t="n">
        <v>230.42</v>
      </c>
      <c r="S1262" s="16" t="n">
        <v>399</v>
      </c>
      <c r="T1262" s="136" t="n">
        <v>4</v>
      </c>
      <c r="U1262" s="1" t="str">
        <f aca="false">D1262&amp;"-"&amp;E1262&amp;"-"&amp;M1262&amp;"-"&amp;O1262&amp;"-"&amp;P1262&amp;"-"&amp;Q1262</f>
        <v>Envie-SLEEPING BRA-1022-Black-38-B</v>
      </c>
    </row>
    <row r="1263" customFormat="false" ht="15" hidden="true" customHeight="false" outlineLevel="0" collapsed="false">
      <c r="B1263" s="17" t="s">
        <v>1774</v>
      </c>
      <c r="C1263" s="17" t="s">
        <v>1680</v>
      </c>
      <c r="D1263" s="17" t="s">
        <v>1681</v>
      </c>
      <c r="E1263" s="29" t="s">
        <v>1739</v>
      </c>
      <c r="F1263" s="3" t="s">
        <v>80</v>
      </c>
      <c r="G1263" s="3" t="s">
        <v>689</v>
      </c>
      <c r="H1263" s="14" t="s">
        <v>1683</v>
      </c>
      <c r="I1263" s="26" t="s">
        <v>43</v>
      </c>
      <c r="J1263" s="26"/>
      <c r="K1263" s="19"/>
      <c r="L1263" s="19"/>
      <c r="M1263" s="29" t="s">
        <v>1740</v>
      </c>
      <c r="N1263" s="17"/>
      <c r="O1263" s="17" t="s">
        <v>437</v>
      </c>
      <c r="P1263" s="17" t="s">
        <v>417</v>
      </c>
      <c r="Q1263" s="17" t="s">
        <v>592</v>
      </c>
      <c r="R1263" s="16" t="n">
        <v>272.35</v>
      </c>
      <c r="S1263" s="16" t="n">
        <v>419</v>
      </c>
      <c r="T1263" s="136" t="n">
        <v>5</v>
      </c>
      <c r="U1263" s="1" t="str">
        <f aca="false">D1263&amp;"-"&amp;E1263&amp;"-"&amp;M1263&amp;"-"&amp;O1263&amp;"-"&amp;P1263&amp;"-"&amp;Q1263</f>
        <v>Envie-SLEEPING BRA-1022-Black-40-B</v>
      </c>
    </row>
    <row r="1264" customFormat="false" ht="15" hidden="true" customHeight="false" outlineLevel="0" collapsed="false">
      <c r="B1264" s="29" t="s">
        <v>1775</v>
      </c>
      <c r="C1264" s="17" t="s">
        <v>1680</v>
      </c>
      <c r="D1264" s="17" t="s">
        <v>1681</v>
      </c>
      <c r="E1264" s="29" t="s">
        <v>1739</v>
      </c>
      <c r="F1264" s="3" t="s">
        <v>80</v>
      </c>
      <c r="G1264" s="3" t="s">
        <v>689</v>
      </c>
      <c r="H1264" s="14" t="s">
        <v>1683</v>
      </c>
      <c r="I1264" s="26" t="s">
        <v>43</v>
      </c>
      <c r="J1264" s="26"/>
      <c r="K1264" s="19"/>
      <c r="L1264" s="19"/>
      <c r="M1264" s="29" t="s">
        <v>1740</v>
      </c>
      <c r="N1264" s="29"/>
      <c r="O1264" s="29" t="s">
        <v>1761</v>
      </c>
      <c r="P1264" s="29" t="s">
        <v>417</v>
      </c>
      <c r="Q1264" s="17" t="s">
        <v>592</v>
      </c>
      <c r="R1264" s="16" t="n">
        <v>272.35</v>
      </c>
      <c r="S1264" s="16" t="n">
        <v>419</v>
      </c>
      <c r="T1264" s="136" t="n">
        <v>5</v>
      </c>
      <c r="U1264" s="1" t="str">
        <f aca="false">D1264&amp;"-"&amp;E1264&amp;"-"&amp;M1264&amp;"-"&amp;O1264&amp;"-"&amp;P1264&amp;"-"&amp;Q1264</f>
        <v>Envie-SLEEPING BRA-1022-Maroon-40-B</v>
      </c>
    </row>
    <row r="1265" customFormat="false" ht="15" hidden="true" customHeight="false" outlineLevel="0" collapsed="false">
      <c r="B1265" s="29" t="s">
        <v>1776</v>
      </c>
      <c r="C1265" s="17" t="s">
        <v>1680</v>
      </c>
      <c r="D1265" s="17" t="s">
        <v>1681</v>
      </c>
      <c r="E1265" s="29" t="s">
        <v>1739</v>
      </c>
      <c r="F1265" s="3" t="s">
        <v>80</v>
      </c>
      <c r="G1265" s="3" t="s">
        <v>689</v>
      </c>
      <c r="H1265" s="14" t="s">
        <v>1683</v>
      </c>
      <c r="I1265" s="26" t="s">
        <v>43</v>
      </c>
      <c r="J1265" s="26"/>
      <c r="K1265" s="19"/>
      <c r="L1265" s="19"/>
      <c r="M1265" s="29" t="s">
        <v>1740</v>
      </c>
      <c r="N1265" s="29"/>
      <c r="O1265" s="29" t="s">
        <v>48</v>
      </c>
      <c r="P1265" s="29" t="s">
        <v>417</v>
      </c>
      <c r="Q1265" s="17" t="s">
        <v>592</v>
      </c>
      <c r="R1265" s="16" t="n">
        <v>241.97</v>
      </c>
      <c r="S1265" s="16" t="n">
        <v>419</v>
      </c>
      <c r="T1265" s="136" t="n">
        <v>1</v>
      </c>
      <c r="U1265" s="1" t="str">
        <f aca="false">D1265&amp;"-"&amp;E1265&amp;"-"&amp;M1265&amp;"-"&amp;O1265&amp;"-"&amp;P1265&amp;"-"&amp;Q1265</f>
        <v>Envie-SLEEPING BRA-1022-Blue-40-B</v>
      </c>
    </row>
    <row r="1266" customFormat="false" ht="15" hidden="true" customHeight="false" outlineLevel="0" collapsed="false">
      <c r="B1266" s="29" t="s">
        <v>1777</v>
      </c>
      <c r="C1266" s="17" t="s">
        <v>1680</v>
      </c>
      <c r="D1266" s="17" t="s">
        <v>1681</v>
      </c>
      <c r="E1266" s="29" t="s">
        <v>1739</v>
      </c>
      <c r="F1266" s="3" t="s">
        <v>80</v>
      </c>
      <c r="G1266" s="3" t="s">
        <v>689</v>
      </c>
      <c r="H1266" s="14" t="s">
        <v>1683</v>
      </c>
      <c r="I1266" s="26" t="s">
        <v>43</v>
      </c>
      <c r="J1266" s="26"/>
      <c r="K1266" s="19"/>
      <c r="L1266" s="19"/>
      <c r="M1266" s="29" t="s">
        <v>1740</v>
      </c>
      <c r="N1266" s="29"/>
      <c r="O1266" s="29" t="s">
        <v>1687</v>
      </c>
      <c r="P1266" s="29" t="s">
        <v>417</v>
      </c>
      <c r="Q1266" s="17" t="s">
        <v>592</v>
      </c>
      <c r="R1266" s="16" t="n">
        <v>241.97</v>
      </c>
      <c r="S1266" s="16" t="n">
        <v>419</v>
      </c>
      <c r="T1266" s="136" t="n">
        <v>1</v>
      </c>
      <c r="U1266" s="1" t="str">
        <f aca="false">D1266&amp;"-"&amp;E1266&amp;"-"&amp;M1266&amp;"-"&amp;O1266&amp;"-"&amp;P1266&amp;"-"&amp;Q1266</f>
        <v>Envie-SLEEPING BRA-1022-Nude-40-B</v>
      </c>
    </row>
    <row r="1267" customFormat="false" ht="15" hidden="true" customHeight="false" outlineLevel="0" collapsed="false">
      <c r="B1267" s="29" t="s">
        <v>1778</v>
      </c>
      <c r="C1267" s="17" t="s">
        <v>1680</v>
      </c>
      <c r="D1267" s="17" t="s">
        <v>1681</v>
      </c>
      <c r="E1267" s="29" t="s">
        <v>1739</v>
      </c>
      <c r="F1267" s="3" t="s">
        <v>80</v>
      </c>
      <c r="G1267" s="3" t="s">
        <v>689</v>
      </c>
      <c r="H1267" s="14" t="s">
        <v>1683</v>
      </c>
      <c r="I1267" s="26" t="s">
        <v>43</v>
      </c>
      <c r="J1267" s="26"/>
      <c r="K1267" s="19"/>
      <c r="L1267" s="19"/>
      <c r="M1267" s="29" t="s">
        <v>1740</v>
      </c>
      <c r="N1267" s="29"/>
      <c r="O1267" s="29" t="s">
        <v>73</v>
      </c>
      <c r="P1267" s="29" t="s">
        <v>417</v>
      </c>
      <c r="Q1267" s="17" t="s">
        <v>592</v>
      </c>
      <c r="R1267" s="16" t="n">
        <v>241.97</v>
      </c>
      <c r="S1267" s="16" t="n">
        <v>419</v>
      </c>
      <c r="T1267" s="136" t="n">
        <v>4</v>
      </c>
      <c r="U1267" s="1" t="str">
        <f aca="false">D1267&amp;"-"&amp;E1267&amp;"-"&amp;M1267&amp;"-"&amp;O1267&amp;"-"&amp;P1267&amp;"-"&amp;Q1267</f>
        <v>Envie-SLEEPING BRA-1022-White-40-B</v>
      </c>
    </row>
    <row r="1268" customFormat="false" ht="15" hidden="true" customHeight="false" outlineLevel="0" collapsed="false">
      <c r="B1268" s="17" t="s">
        <v>1779</v>
      </c>
      <c r="C1268" s="17" t="s">
        <v>1680</v>
      </c>
      <c r="D1268" s="17" t="s">
        <v>1681</v>
      </c>
      <c r="E1268" s="29" t="s">
        <v>1739</v>
      </c>
      <c r="F1268" s="3" t="s">
        <v>80</v>
      </c>
      <c r="G1268" s="3" t="s">
        <v>689</v>
      </c>
      <c r="H1268" s="14" t="s">
        <v>1683</v>
      </c>
      <c r="I1268" s="26" t="s">
        <v>43</v>
      </c>
      <c r="J1268" s="26"/>
      <c r="K1268" s="19"/>
      <c r="L1268" s="19"/>
      <c r="M1268" s="29" t="s">
        <v>1740</v>
      </c>
      <c r="N1268" s="29"/>
      <c r="O1268" s="17" t="s">
        <v>1730</v>
      </c>
      <c r="P1268" s="29" t="s">
        <v>417</v>
      </c>
      <c r="Q1268" s="17" t="s">
        <v>592</v>
      </c>
      <c r="R1268" s="16" t="n">
        <v>241.97</v>
      </c>
      <c r="S1268" s="16" t="n">
        <v>419</v>
      </c>
      <c r="T1268" s="136" t="n">
        <v>4</v>
      </c>
      <c r="U1268" s="1" t="str">
        <f aca="false">D1268&amp;"-"&amp;E1268&amp;"-"&amp;M1268&amp;"-"&amp;O1268&amp;"-"&amp;P1268&amp;"-"&amp;Q1268</f>
        <v>Envie-SLEEPING BRA-1022-Woodrose-40-B</v>
      </c>
    </row>
    <row r="1269" customFormat="false" ht="15" hidden="true" customHeight="false" outlineLevel="0" collapsed="false">
      <c r="B1269" s="17" t="s">
        <v>1780</v>
      </c>
      <c r="C1269" s="17" t="s">
        <v>1680</v>
      </c>
      <c r="D1269" s="17" t="s">
        <v>1681</v>
      </c>
      <c r="E1269" s="29" t="s">
        <v>1739</v>
      </c>
      <c r="F1269" s="3" t="s">
        <v>80</v>
      </c>
      <c r="G1269" s="3" t="s">
        <v>689</v>
      </c>
      <c r="H1269" s="14" t="s">
        <v>1683</v>
      </c>
      <c r="I1269" s="26" t="s">
        <v>43</v>
      </c>
      <c r="J1269" s="26"/>
      <c r="K1269" s="19"/>
      <c r="L1269" s="19"/>
      <c r="M1269" s="29" t="s">
        <v>1740</v>
      </c>
      <c r="N1269" s="17"/>
      <c r="O1269" s="17" t="s">
        <v>437</v>
      </c>
      <c r="P1269" s="17" t="s">
        <v>440</v>
      </c>
      <c r="Q1269" s="17" t="s">
        <v>592</v>
      </c>
      <c r="R1269" s="16" t="n">
        <v>241.97</v>
      </c>
      <c r="S1269" s="16" t="n">
        <v>419</v>
      </c>
      <c r="T1269" s="136" t="n">
        <v>1</v>
      </c>
      <c r="U1269" s="1" t="str">
        <f aca="false">D1269&amp;"-"&amp;E1269&amp;"-"&amp;M1269&amp;"-"&amp;O1269&amp;"-"&amp;P1269&amp;"-"&amp;Q1269</f>
        <v>Envie-SLEEPING BRA-1022-Black-42-B</v>
      </c>
    </row>
    <row r="1270" customFormat="false" ht="15" hidden="true" customHeight="false" outlineLevel="0" collapsed="false">
      <c r="B1270" s="17" t="s">
        <v>1781</v>
      </c>
      <c r="C1270" s="17" t="s">
        <v>1680</v>
      </c>
      <c r="D1270" s="17" t="s">
        <v>1681</v>
      </c>
      <c r="E1270" s="29" t="s">
        <v>1739</v>
      </c>
      <c r="F1270" s="3" t="s">
        <v>80</v>
      </c>
      <c r="G1270" s="3" t="s">
        <v>689</v>
      </c>
      <c r="H1270" s="14" t="s">
        <v>1683</v>
      </c>
      <c r="I1270" s="26" t="s">
        <v>43</v>
      </c>
      <c r="J1270" s="26"/>
      <c r="K1270" s="19"/>
      <c r="L1270" s="19"/>
      <c r="M1270" s="29" t="s">
        <v>1740</v>
      </c>
      <c r="N1270" s="17"/>
      <c r="O1270" s="17" t="s">
        <v>1761</v>
      </c>
      <c r="P1270" s="17" t="s">
        <v>440</v>
      </c>
      <c r="Q1270" s="17" t="s">
        <v>592</v>
      </c>
      <c r="R1270" s="16" t="n">
        <v>241.97</v>
      </c>
      <c r="S1270" s="16" t="n">
        <v>419</v>
      </c>
      <c r="T1270" s="136" t="n">
        <v>4</v>
      </c>
      <c r="U1270" s="1" t="str">
        <f aca="false">D1270&amp;"-"&amp;E1270&amp;"-"&amp;M1270&amp;"-"&amp;O1270&amp;"-"&amp;P1270&amp;"-"&amp;Q1270</f>
        <v>Envie-SLEEPING BRA-1022-Maroon-42-B</v>
      </c>
    </row>
    <row r="1271" customFormat="false" ht="15" hidden="true" customHeight="false" outlineLevel="0" collapsed="false">
      <c r="B1271" s="17" t="s">
        <v>1782</v>
      </c>
      <c r="C1271" s="17" t="s">
        <v>1680</v>
      </c>
      <c r="D1271" s="17" t="s">
        <v>1681</v>
      </c>
      <c r="E1271" s="29" t="s">
        <v>1739</v>
      </c>
      <c r="F1271" s="3" t="s">
        <v>80</v>
      </c>
      <c r="G1271" s="3" t="s">
        <v>689</v>
      </c>
      <c r="H1271" s="14" t="s">
        <v>1683</v>
      </c>
      <c r="I1271" s="26" t="s">
        <v>43</v>
      </c>
      <c r="J1271" s="26"/>
      <c r="K1271" s="19"/>
      <c r="L1271" s="19"/>
      <c r="M1271" s="29" t="s">
        <v>1740</v>
      </c>
      <c r="N1271" s="17"/>
      <c r="O1271" s="17" t="s">
        <v>48</v>
      </c>
      <c r="P1271" s="17" t="s">
        <v>440</v>
      </c>
      <c r="Q1271" s="17" t="s">
        <v>592</v>
      </c>
      <c r="R1271" s="16" t="n">
        <v>241.97</v>
      </c>
      <c r="S1271" s="16" t="n">
        <v>419</v>
      </c>
      <c r="T1271" s="136" t="n">
        <v>3</v>
      </c>
      <c r="U1271" s="1" t="str">
        <f aca="false">D1271&amp;"-"&amp;E1271&amp;"-"&amp;M1271&amp;"-"&amp;O1271&amp;"-"&amp;P1271&amp;"-"&amp;Q1271</f>
        <v>Envie-SLEEPING BRA-1022-Blue-42-B</v>
      </c>
    </row>
    <row r="1272" customFormat="false" ht="15" hidden="true" customHeight="false" outlineLevel="0" collapsed="false">
      <c r="B1272" s="29" t="s">
        <v>1783</v>
      </c>
      <c r="C1272" s="17" t="s">
        <v>1680</v>
      </c>
      <c r="D1272" s="17" t="s">
        <v>1681</v>
      </c>
      <c r="E1272" s="29" t="s">
        <v>1739</v>
      </c>
      <c r="F1272" s="3" t="s">
        <v>80</v>
      </c>
      <c r="G1272" s="3" t="s">
        <v>689</v>
      </c>
      <c r="H1272" s="14" t="s">
        <v>1683</v>
      </c>
      <c r="I1272" s="26" t="s">
        <v>43</v>
      </c>
      <c r="J1272" s="26"/>
      <c r="K1272" s="19"/>
      <c r="L1272" s="19"/>
      <c r="M1272" s="29" t="s">
        <v>1740</v>
      </c>
      <c r="N1272" s="17"/>
      <c r="O1272" s="29" t="s">
        <v>73</v>
      </c>
      <c r="P1272" s="17" t="s">
        <v>440</v>
      </c>
      <c r="Q1272" s="17" t="s">
        <v>592</v>
      </c>
      <c r="R1272" s="16" t="n">
        <v>241.97</v>
      </c>
      <c r="S1272" s="16" t="n">
        <v>419</v>
      </c>
      <c r="T1272" s="136" t="n">
        <v>4</v>
      </c>
      <c r="U1272" s="1" t="str">
        <f aca="false">D1272&amp;"-"&amp;E1272&amp;"-"&amp;M1272&amp;"-"&amp;O1272&amp;"-"&amp;P1272&amp;"-"&amp;Q1272</f>
        <v>Envie-SLEEPING BRA-1022-White-42-B</v>
      </c>
    </row>
    <row r="1273" customFormat="false" ht="15" hidden="true" customHeight="false" outlineLevel="0" collapsed="false">
      <c r="B1273" s="29" t="s">
        <v>1784</v>
      </c>
      <c r="C1273" s="17" t="s">
        <v>1680</v>
      </c>
      <c r="D1273" s="17" t="s">
        <v>1681</v>
      </c>
      <c r="E1273" s="29" t="s">
        <v>1739</v>
      </c>
      <c r="F1273" s="3" t="s">
        <v>80</v>
      </c>
      <c r="G1273" s="3" t="s">
        <v>689</v>
      </c>
      <c r="H1273" s="14" t="s">
        <v>1683</v>
      </c>
      <c r="I1273" s="26" t="s">
        <v>43</v>
      </c>
      <c r="J1273" s="26"/>
      <c r="K1273" s="19"/>
      <c r="L1273" s="19"/>
      <c r="M1273" s="29" t="s">
        <v>1740</v>
      </c>
      <c r="N1273" s="17"/>
      <c r="O1273" s="29" t="s">
        <v>1730</v>
      </c>
      <c r="P1273" s="17" t="s">
        <v>440</v>
      </c>
      <c r="Q1273" s="17" t="s">
        <v>592</v>
      </c>
      <c r="R1273" s="16" t="n">
        <v>241.97</v>
      </c>
      <c r="S1273" s="16" t="n">
        <v>419</v>
      </c>
      <c r="T1273" s="136" t="n">
        <v>1</v>
      </c>
      <c r="U1273" s="1" t="str">
        <f aca="false">D1273&amp;"-"&amp;E1273&amp;"-"&amp;M1273&amp;"-"&amp;O1273&amp;"-"&amp;P1273&amp;"-"&amp;Q1273</f>
        <v>Envie-SLEEPING BRA-1022-Woodrose-42-B</v>
      </c>
    </row>
    <row r="1274" customFormat="false" ht="15" hidden="true" customHeight="false" outlineLevel="0" collapsed="false">
      <c r="B1274" s="17" t="s">
        <v>1785</v>
      </c>
      <c r="C1274" s="17" t="s">
        <v>1680</v>
      </c>
      <c r="D1274" s="17" t="s">
        <v>1681</v>
      </c>
      <c r="E1274" s="29" t="s">
        <v>1739</v>
      </c>
      <c r="F1274" s="3" t="s">
        <v>80</v>
      </c>
      <c r="G1274" s="3" t="s">
        <v>689</v>
      </c>
      <c r="H1274" s="14" t="s">
        <v>1683</v>
      </c>
      <c r="I1274" s="26" t="s">
        <v>43</v>
      </c>
      <c r="J1274" s="26"/>
      <c r="K1274" s="19"/>
      <c r="L1274" s="19"/>
      <c r="M1274" s="29" t="s">
        <v>1740</v>
      </c>
      <c r="N1274" s="17"/>
      <c r="O1274" s="17" t="s">
        <v>437</v>
      </c>
      <c r="P1274" s="17" t="s">
        <v>449</v>
      </c>
      <c r="Q1274" s="17" t="s">
        <v>592</v>
      </c>
      <c r="R1274" s="16" t="n">
        <v>241.97</v>
      </c>
      <c r="S1274" s="16" t="n">
        <v>419</v>
      </c>
      <c r="T1274" s="136" t="n">
        <v>3</v>
      </c>
      <c r="U1274" s="1" t="str">
        <f aca="false">D1274&amp;"-"&amp;E1274&amp;"-"&amp;M1274&amp;"-"&amp;O1274&amp;"-"&amp;P1274&amp;"-"&amp;Q1274</f>
        <v>Envie-SLEEPING BRA-1022-Black-44-B</v>
      </c>
    </row>
    <row r="1275" customFormat="false" ht="15" hidden="true" customHeight="false" outlineLevel="0" collapsed="false">
      <c r="B1275" s="29" t="s">
        <v>1786</v>
      </c>
      <c r="C1275" s="17" t="s">
        <v>1680</v>
      </c>
      <c r="D1275" s="17" t="s">
        <v>1681</v>
      </c>
      <c r="E1275" s="29" t="s">
        <v>1739</v>
      </c>
      <c r="F1275" s="3" t="s">
        <v>80</v>
      </c>
      <c r="G1275" s="3" t="s">
        <v>689</v>
      </c>
      <c r="H1275" s="14" t="s">
        <v>1683</v>
      </c>
      <c r="I1275" s="26" t="s">
        <v>43</v>
      </c>
      <c r="J1275" s="26"/>
      <c r="K1275" s="19"/>
      <c r="L1275" s="19"/>
      <c r="M1275" s="29" t="s">
        <v>1740</v>
      </c>
      <c r="N1275" s="17"/>
      <c r="O1275" s="29" t="s">
        <v>1734</v>
      </c>
      <c r="P1275" s="17" t="s">
        <v>449</v>
      </c>
      <c r="Q1275" s="17" t="s">
        <v>592</v>
      </c>
      <c r="R1275" s="16" t="n">
        <v>241.97</v>
      </c>
      <c r="S1275" s="16" t="n">
        <v>419</v>
      </c>
      <c r="T1275" s="136" t="n">
        <v>0</v>
      </c>
      <c r="U1275" s="1" t="str">
        <f aca="false">D1275&amp;"-"&amp;E1275&amp;"-"&amp;M1275&amp;"-"&amp;O1275&amp;"-"&amp;P1275&amp;"-"&amp;Q1275</f>
        <v>Envie-SLEEPING BRA-1022-Marron-44-B</v>
      </c>
    </row>
    <row r="1276" customFormat="false" ht="15" hidden="true" customHeight="false" outlineLevel="0" collapsed="false">
      <c r="B1276" s="29" t="s">
        <v>1787</v>
      </c>
      <c r="C1276" s="17" t="s">
        <v>1680</v>
      </c>
      <c r="D1276" s="17" t="s">
        <v>1681</v>
      </c>
      <c r="E1276" s="29" t="s">
        <v>1739</v>
      </c>
      <c r="F1276" s="3" t="s">
        <v>80</v>
      </c>
      <c r="G1276" s="3" t="s">
        <v>689</v>
      </c>
      <c r="H1276" s="14" t="s">
        <v>1683</v>
      </c>
      <c r="I1276" s="26" t="s">
        <v>43</v>
      </c>
      <c r="J1276" s="26"/>
      <c r="K1276" s="19"/>
      <c r="L1276" s="19"/>
      <c r="M1276" s="29" t="s">
        <v>1740</v>
      </c>
      <c r="N1276" s="17"/>
      <c r="O1276" s="29" t="s">
        <v>48</v>
      </c>
      <c r="P1276" s="17" t="s">
        <v>449</v>
      </c>
      <c r="Q1276" s="17" t="s">
        <v>592</v>
      </c>
      <c r="R1276" s="16" t="n">
        <v>241.97</v>
      </c>
      <c r="S1276" s="16" t="n">
        <v>419</v>
      </c>
      <c r="T1276" s="136" t="n">
        <v>3</v>
      </c>
      <c r="U1276" s="1" t="str">
        <f aca="false">D1276&amp;"-"&amp;E1276&amp;"-"&amp;M1276&amp;"-"&amp;O1276&amp;"-"&amp;P1276&amp;"-"&amp;Q1276</f>
        <v>Envie-SLEEPING BRA-1022-Blue-44-B</v>
      </c>
    </row>
    <row r="1277" customFormat="false" ht="15" hidden="true" customHeight="false" outlineLevel="0" collapsed="false">
      <c r="B1277" s="17" t="s">
        <v>1788</v>
      </c>
      <c r="C1277" s="17" t="s">
        <v>1680</v>
      </c>
      <c r="D1277" s="17" t="s">
        <v>1681</v>
      </c>
      <c r="E1277" s="29" t="s">
        <v>1739</v>
      </c>
      <c r="F1277" s="3" t="s">
        <v>80</v>
      </c>
      <c r="G1277" s="3" t="s">
        <v>689</v>
      </c>
      <c r="H1277" s="14" t="s">
        <v>1683</v>
      </c>
      <c r="I1277" s="26" t="s">
        <v>43</v>
      </c>
      <c r="J1277" s="26"/>
      <c r="K1277" s="19"/>
      <c r="L1277" s="19"/>
      <c r="M1277" s="29" t="s">
        <v>1740</v>
      </c>
      <c r="N1277" s="17"/>
      <c r="O1277" s="17" t="s">
        <v>73</v>
      </c>
      <c r="P1277" s="17" t="s">
        <v>449</v>
      </c>
      <c r="Q1277" s="17" t="s">
        <v>592</v>
      </c>
      <c r="R1277" s="16" t="n">
        <v>241.97</v>
      </c>
      <c r="S1277" s="16" t="n">
        <v>419</v>
      </c>
      <c r="T1277" s="136" t="n">
        <v>3</v>
      </c>
      <c r="U1277" s="1" t="str">
        <f aca="false">D1277&amp;"-"&amp;E1277&amp;"-"&amp;M1277&amp;"-"&amp;O1277&amp;"-"&amp;P1277&amp;"-"&amp;Q1277</f>
        <v>Envie-SLEEPING BRA-1022-White-44-B</v>
      </c>
    </row>
    <row r="1278" customFormat="false" ht="15" hidden="true" customHeight="false" outlineLevel="0" collapsed="false">
      <c r="B1278" s="29" t="s">
        <v>1789</v>
      </c>
      <c r="C1278" s="17" t="s">
        <v>1680</v>
      </c>
      <c r="D1278" s="17" t="s">
        <v>1681</v>
      </c>
      <c r="E1278" s="29" t="s">
        <v>1739</v>
      </c>
      <c r="F1278" s="3" t="s">
        <v>80</v>
      </c>
      <c r="G1278" s="3" t="s">
        <v>689</v>
      </c>
      <c r="H1278" s="14" t="s">
        <v>1683</v>
      </c>
      <c r="I1278" s="26" t="s">
        <v>43</v>
      </c>
      <c r="J1278" s="26"/>
      <c r="K1278" s="19"/>
      <c r="L1278" s="19"/>
      <c r="M1278" s="29" t="s">
        <v>1740</v>
      </c>
      <c r="N1278" s="17"/>
      <c r="O1278" s="29" t="s">
        <v>1730</v>
      </c>
      <c r="P1278" s="17" t="s">
        <v>449</v>
      </c>
      <c r="Q1278" s="17" t="s">
        <v>592</v>
      </c>
      <c r="R1278" s="16" t="n">
        <v>241.97</v>
      </c>
      <c r="S1278" s="16" t="n">
        <v>419</v>
      </c>
      <c r="T1278" s="136" t="n">
        <v>3</v>
      </c>
      <c r="U1278" s="1" t="str">
        <f aca="false">D1278&amp;"-"&amp;E1278&amp;"-"&amp;M1278&amp;"-"&amp;O1278&amp;"-"&amp;P1278&amp;"-"&amp;Q1278</f>
        <v>Envie-SLEEPING BRA-1022-Woodrose-44-B</v>
      </c>
    </row>
    <row r="1279" customFormat="false" ht="15" hidden="true" customHeight="false" outlineLevel="0" collapsed="false">
      <c r="B1279" s="17" t="s">
        <v>1790</v>
      </c>
      <c r="C1279" s="17" t="s">
        <v>1680</v>
      </c>
      <c r="D1279" s="17" t="s">
        <v>1681</v>
      </c>
      <c r="E1279" s="29" t="s">
        <v>1739</v>
      </c>
      <c r="F1279" s="3" t="s">
        <v>80</v>
      </c>
      <c r="G1279" s="3" t="s">
        <v>689</v>
      </c>
      <c r="H1279" s="14" t="s">
        <v>1683</v>
      </c>
      <c r="I1279" s="26" t="s">
        <v>43</v>
      </c>
      <c r="J1279" s="26"/>
      <c r="K1279" s="19"/>
      <c r="L1279" s="19"/>
      <c r="M1279" s="29" t="s">
        <v>1740</v>
      </c>
      <c r="N1279" s="17"/>
      <c r="O1279" s="17" t="s">
        <v>437</v>
      </c>
      <c r="P1279" s="17" t="s">
        <v>520</v>
      </c>
      <c r="Q1279" s="17" t="s">
        <v>592</v>
      </c>
      <c r="R1279" s="16" t="n">
        <v>241.97</v>
      </c>
      <c r="S1279" s="16" t="n">
        <v>479</v>
      </c>
      <c r="T1279" s="136" t="n">
        <v>3</v>
      </c>
      <c r="U1279" s="1" t="str">
        <f aca="false">D1279&amp;"-"&amp;E1279&amp;"-"&amp;M1279&amp;"-"&amp;O1279&amp;"-"&amp;P1279&amp;"-"&amp;Q1279</f>
        <v>Envie-SLEEPING BRA-1022-Black-48-B</v>
      </c>
    </row>
    <row r="1280" customFormat="false" ht="15" hidden="true" customHeight="false" outlineLevel="0" collapsed="false">
      <c r="B1280" s="17" t="s">
        <v>1791</v>
      </c>
      <c r="C1280" s="17" t="s">
        <v>1680</v>
      </c>
      <c r="D1280" s="17" t="s">
        <v>1681</v>
      </c>
      <c r="E1280" s="29" t="s">
        <v>1739</v>
      </c>
      <c r="F1280" s="3" t="s">
        <v>80</v>
      </c>
      <c r="G1280" s="3" t="s">
        <v>689</v>
      </c>
      <c r="H1280" s="14" t="s">
        <v>1683</v>
      </c>
      <c r="I1280" s="26" t="s">
        <v>43</v>
      </c>
      <c r="J1280" s="26"/>
      <c r="K1280" s="19"/>
      <c r="L1280" s="19"/>
      <c r="M1280" s="29" t="s">
        <v>1740</v>
      </c>
      <c r="N1280" s="17"/>
      <c r="O1280" s="29" t="s">
        <v>73</v>
      </c>
      <c r="P1280" s="17" t="s">
        <v>520</v>
      </c>
      <c r="Q1280" s="17" t="s">
        <v>592</v>
      </c>
      <c r="R1280" s="16" t="n">
        <v>241.97</v>
      </c>
      <c r="S1280" s="16" t="n">
        <v>479</v>
      </c>
      <c r="T1280" s="136" t="n">
        <v>3</v>
      </c>
      <c r="U1280" s="1" t="str">
        <f aca="false">D1280&amp;"-"&amp;E1280&amp;"-"&amp;M1280&amp;"-"&amp;O1280&amp;"-"&amp;P1280&amp;"-"&amp;Q1280</f>
        <v>Envie-SLEEPING BRA-1022-White-48-B</v>
      </c>
    </row>
    <row r="1281" customFormat="false" ht="15" hidden="true" customHeight="false" outlineLevel="0" collapsed="false">
      <c r="B1281" s="29" t="s">
        <v>1792</v>
      </c>
      <c r="C1281" s="17" t="s">
        <v>1680</v>
      </c>
      <c r="D1281" s="17" t="s">
        <v>1681</v>
      </c>
      <c r="E1281" s="29" t="s">
        <v>1739</v>
      </c>
      <c r="F1281" s="3" t="s">
        <v>80</v>
      </c>
      <c r="G1281" s="3" t="s">
        <v>689</v>
      </c>
      <c r="H1281" s="14" t="s">
        <v>1683</v>
      </c>
      <c r="I1281" s="26" t="s">
        <v>43</v>
      </c>
      <c r="J1281" s="26"/>
      <c r="K1281" s="19"/>
      <c r="L1281" s="19"/>
      <c r="M1281" s="29" t="s">
        <v>1740</v>
      </c>
      <c r="N1281" s="29"/>
      <c r="O1281" s="29" t="s">
        <v>1730</v>
      </c>
      <c r="P1281" s="29" t="s">
        <v>515</v>
      </c>
      <c r="Q1281" s="17" t="s">
        <v>592</v>
      </c>
      <c r="R1281" s="16" t="n">
        <v>241.97</v>
      </c>
      <c r="S1281" s="16" t="n">
        <v>419</v>
      </c>
      <c r="T1281" s="136" t="n">
        <v>1</v>
      </c>
      <c r="U1281" s="1" t="str">
        <f aca="false">D1281&amp;"-"&amp;E1281&amp;"-"&amp;M1281&amp;"-"&amp;O1281&amp;"-"&amp;P1281&amp;"-"&amp;Q1281</f>
        <v>Envie-SLEEPING BRA-1022-Woodrose-46-B</v>
      </c>
    </row>
    <row r="1282" customFormat="false" ht="15" hidden="true" customHeight="false" outlineLevel="0" collapsed="false">
      <c r="B1282" s="29" t="s">
        <v>1786</v>
      </c>
      <c r="C1282" s="17" t="s">
        <v>1680</v>
      </c>
      <c r="D1282" s="17" t="s">
        <v>1681</v>
      </c>
      <c r="E1282" s="29" t="s">
        <v>1739</v>
      </c>
      <c r="F1282" s="3" t="s">
        <v>80</v>
      </c>
      <c r="G1282" s="3" t="s">
        <v>689</v>
      </c>
      <c r="H1282" s="14" t="s">
        <v>1683</v>
      </c>
      <c r="I1282" s="26" t="s">
        <v>43</v>
      </c>
      <c r="J1282" s="26"/>
      <c r="K1282" s="19"/>
      <c r="L1282" s="19"/>
      <c r="M1282" s="29" t="s">
        <v>1740</v>
      </c>
      <c r="N1282" s="29"/>
      <c r="O1282" s="17" t="s">
        <v>437</v>
      </c>
      <c r="P1282" s="29" t="s">
        <v>515</v>
      </c>
      <c r="Q1282" s="17" t="s">
        <v>592</v>
      </c>
      <c r="R1282" s="16" t="n">
        <v>241.97</v>
      </c>
      <c r="S1282" s="16" t="n">
        <v>419</v>
      </c>
      <c r="T1282" s="136" t="n">
        <v>2</v>
      </c>
      <c r="U1282" s="1" t="str">
        <f aca="false">D1282&amp;"-"&amp;E1282&amp;"-"&amp;M1282&amp;"-"&amp;O1282&amp;"-"&amp;P1282&amp;"-"&amp;Q1282</f>
        <v>Envie-SLEEPING BRA-1022-Black-46-B</v>
      </c>
    </row>
    <row r="1283" customFormat="false" ht="15" hidden="true" customHeight="false" outlineLevel="0" collapsed="false">
      <c r="B1283" s="29" t="s">
        <v>1793</v>
      </c>
      <c r="C1283" s="17" t="s">
        <v>1680</v>
      </c>
      <c r="D1283" s="17" t="s">
        <v>1681</v>
      </c>
      <c r="E1283" s="29" t="s">
        <v>1794</v>
      </c>
      <c r="F1283" s="3" t="s">
        <v>80</v>
      </c>
      <c r="G1283" s="3" t="s">
        <v>689</v>
      </c>
      <c r="H1283" s="14" t="s">
        <v>1683</v>
      </c>
      <c r="I1283" s="26" t="s">
        <v>43</v>
      </c>
      <c r="J1283" s="26"/>
      <c r="K1283" s="19"/>
      <c r="L1283" s="19"/>
      <c r="M1283" s="29" t="s">
        <v>1740</v>
      </c>
      <c r="N1283" s="29"/>
      <c r="O1283" s="29" t="s">
        <v>73</v>
      </c>
      <c r="P1283" s="29" t="s">
        <v>92</v>
      </c>
      <c r="Q1283" s="29" t="s">
        <v>1795</v>
      </c>
      <c r="R1283" s="16" t="n">
        <v>411.95</v>
      </c>
      <c r="S1283" s="16" t="n">
        <v>749</v>
      </c>
      <c r="T1283" s="136" t="n">
        <v>3</v>
      </c>
      <c r="U1283" s="1" t="str">
        <f aca="false">D1283&amp;"-"&amp;E1283&amp;"-"&amp;M1283&amp;"-"&amp;O1283&amp;"-"&amp;P1283&amp;"-"&amp;Q1283</f>
        <v>Envie-KIRAKA 1022 LOUNGE BRA-1022-White-32-EF</v>
      </c>
    </row>
    <row r="1284" customFormat="false" ht="15" hidden="true" customHeight="false" outlineLevel="0" collapsed="false">
      <c r="B1284" s="29" t="s">
        <v>1796</v>
      </c>
      <c r="C1284" s="17" t="s">
        <v>1680</v>
      </c>
      <c r="D1284" s="17" t="s">
        <v>1681</v>
      </c>
      <c r="E1284" s="29" t="s">
        <v>1794</v>
      </c>
      <c r="F1284" s="3" t="s">
        <v>80</v>
      </c>
      <c r="G1284" s="3" t="s">
        <v>689</v>
      </c>
      <c r="H1284" s="14" t="s">
        <v>1683</v>
      </c>
      <c r="I1284" s="26" t="s">
        <v>43</v>
      </c>
      <c r="J1284" s="26"/>
      <c r="K1284" s="19"/>
      <c r="L1284" s="19"/>
      <c r="M1284" s="29" t="s">
        <v>1740</v>
      </c>
      <c r="N1284" s="29"/>
      <c r="O1284" s="29" t="s">
        <v>1687</v>
      </c>
      <c r="P1284" s="29" t="s">
        <v>92</v>
      </c>
      <c r="Q1284" s="29" t="s">
        <v>1795</v>
      </c>
      <c r="R1284" s="16" t="n">
        <v>411.95</v>
      </c>
      <c r="S1284" s="16" t="n">
        <v>749</v>
      </c>
      <c r="T1284" s="136" t="n">
        <v>6</v>
      </c>
      <c r="U1284" s="1" t="str">
        <f aca="false">D1284&amp;"-"&amp;E1284&amp;"-"&amp;M1284&amp;"-"&amp;O1284&amp;"-"&amp;P1284&amp;"-"&amp;Q1284</f>
        <v>Envie-KIRAKA 1022 LOUNGE BRA-1022-Nude-32-EF</v>
      </c>
    </row>
    <row r="1285" customFormat="false" ht="15" hidden="true" customHeight="false" outlineLevel="0" collapsed="false">
      <c r="B1285" s="29" t="s">
        <v>1797</v>
      </c>
      <c r="C1285" s="17" t="s">
        <v>1680</v>
      </c>
      <c r="D1285" s="17" t="s">
        <v>1681</v>
      </c>
      <c r="E1285" s="29" t="s">
        <v>1794</v>
      </c>
      <c r="F1285" s="3" t="s">
        <v>80</v>
      </c>
      <c r="G1285" s="3" t="s">
        <v>689</v>
      </c>
      <c r="H1285" s="14" t="s">
        <v>1683</v>
      </c>
      <c r="I1285" s="26" t="s">
        <v>43</v>
      </c>
      <c r="J1285" s="26"/>
      <c r="K1285" s="19"/>
      <c r="L1285" s="19"/>
      <c r="M1285" s="29" t="s">
        <v>1740</v>
      </c>
      <c r="N1285" s="29"/>
      <c r="O1285" s="17" t="s">
        <v>437</v>
      </c>
      <c r="P1285" s="29" t="s">
        <v>92</v>
      </c>
      <c r="Q1285" s="29" t="s">
        <v>1795</v>
      </c>
      <c r="R1285" s="16" t="n">
        <v>411.95</v>
      </c>
      <c r="S1285" s="16" t="n">
        <v>749</v>
      </c>
      <c r="T1285" s="136" t="n">
        <v>6</v>
      </c>
      <c r="U1285" s="1" t="str">
        <f aca="false">D1285&amp;"-"&amp;E1285&amp;"-"&amp;M1285&amp;"-"&amp;O1285&amp;"-"&amp;P1285&amp;"-"&amp;Q1285</f>
        <v>Envie-KIRAKA 1022 LOUNGE BRA-1022-Black-32-EF</v>
      </c>
    </row>
    <row r="1286" customFormat="false" ht="15" hidden="true" customHeight="false" outlineLevel="0" collapsed="false">
      <c r="B1286" s="17" t="s">
        <v>1798</v>
      </c>
      <c r="C1286" s="17" t="s">
        <v>1680</v>
      </c>
      <c r="D1286" s="17" t="s">
        <v>1681</v>
      </c>
      <c r="E1286" s="29" t="s">
        <v>1794</v>
      </c>
      <c r="F1286" s="3" t="s">
        <v>80</v>
      </c>
      <c r="G1286" s="3" t="s">
        <v>689</v>
      </c>
      <c r="H1286" s="14" t="s">
        <v>1683</v>
      </c>
      <c r="I1286" s="26" t="s">
        <v>43</v>
      </c>
      <c r="J1286" s="26"/>
      <c r="K1286" s="19"/>
      <c r="L1286" s="19"/>
      <c r="M1286" s="29" t="s">
        <v>1740</v>
      </c>
      <c r="N1286" s="17"/>
      <c r="O1286" s="17" t="s">
        <v>437</v>
      </c>
      <c r="P1286" s="17" t="s">
        <v>92</v>
      </c>
      <c r="Q1286" s="17" t="s">
        <v>1799</v>
      </c>
      <c r="R1286" s="16" t="n">
        <v>411.95</v>
      </c>
      <c r="S1286" s="16" t="n">
        <v>749</v>
      </c>
      <c r="T1286" s="136" t="n">
        <v>3</v>
      </c>
      <c r="U1286" s="1" t="str">
        <f aca="false">D1286&amp;"-"&amp;E1286&amp;"-"&amp;M1286&amp;"-"&amp;O1286&amp;"-"&amp;P1286&amp;"-"&amp;Q1286</f>
        <v>Envie-KIRAKA 1022 LOUNGE BRA-1022-Black-32-GH</v>
      </c>
    </row>
    <row r="1287" customFormat="false" ht="15" hidden="true" customHeight="false" outlineLevel="0" collapsed="false">
      <c r="B1287" s="17" t="s">
        <v>1800</v>
      </c>
      <c r="C1287" s="17" t="s">
        <v>1680</v>
      </c>
      <c r="D1287" s="17" t="s">
        <v>1681</v>
      </c>
      <c r="E1287" s="29" t="s">
        <v>1794</v>
      </c>
      <c r="F1287" s="3" t="s">
        <v>80</v>
      </c>
      <c r="G1287" s="3" t="s">
        <v>689</v>
      </c>
      <c r="H1287" s="14" t="s">
        <v>1683</v>
      </c>
      <c r="I1287" s="26" t="s">
        <v>43</v>
      </c>
      <c r="J1287" s="26"/>
      <c r="K1287" s="19"/>
      <c r="L1287" s="19"/>
      <c r="M1287" s="29" t="s">
        <v>1740</v>
      </c>
      <c r="N1287" s="17"/>
      <c r="O1287" s="29" t="s">
        <v>73</v>
      </c>
      <c r="P1287" s="17" t="s">
        <v>92</v>
      </c>
      <c r="Q1287" s="17" t="s">
        <v>1799</v>
      </c>
      <c r="R1287" s="16" t="n">
        <v>411.95</v>
      </c>
      <c r="S1287" s="16" t="n">
        <v>749</v>
      </c>
      <c r="T1287" s="136" t="n">
        <v>4</v>
      </c>
      <c r="U1287" s="1" t="str">
        <f aca="false">D1287&amp;"-"&amp;E1287&amp;"-"&amp;M1287&amp;"-"&amp;O1287&amp;"-"&amp;P1287&amp;"-"&amp;Q1287</f>
        <v>Envie-KIRAKA 1022 LOUNGE BRA-1022-White-32-GH</v>
      </c>
    </row>
    <row r="1288" customFormat="false" ht="15" hidden="true" customHeight="false" outlineLevel="0" collapsed="false">
      <c r="B1288" s="17" t="s">
        <v>1801</v>
      </c>
      <c r="C1288" s="17" t="s">
        <v>1680</v>
      </c>
      <c r="D1288" s="17" t="s">
        <v>1681</v>
      </c>
      <c r="E1288" s="29" t="s">
        <v>1794</v>
      </c>
      <c r="F1288" s="3" t="s">
        <v>80</v>
      </c>
      <c r="G1288" s="3" t="s">
        <v>689</v>
      </c>
      <c r="H1288" s="14" t="s">
        <v>1683</v>
      </c>
      <c r="I1288" s="26" t="s">
        <v>43</v>
      </c>
      <c r="J1288" s="26"/>
      <c r="K1288" s="19"/>
      <c r="L1288" s="19"/>
      <c r="M1288" s="29" t="s">
        <v>1740</v>
      </c>
      <c r="N1288" s="17"/>
      <c r="O1288" s="17" t="s">
        <v>1687</v>
      </c>
      <c r="P1288" s="17" t="s">
        <v>92</v>
      </c>
      <c r="Q1288" s="17" t="s">
        <v>1799</v>
      </c>
      <c r="R1288" s="16" t="n">
        <v>411.95</v>
      </c>
      <c r="S1288" s="16" t="n">
        <v>749</v>
      </c>
      <c r="T1288" s="136" t="n">
        <v>3</v>
      </c>
      <c r="U1288" s="1" t="str">
        <f aca="false">D1288&amp;"-"&amp;E1288&amp;"-"&amp;M1288&amp;"-"&amp;O1288&amp;"-"&amp;P1288&amp;"-"&amp;Q1288</f>
        <v>Envie-KIRAKA 1022 LOUNGE BRA-1022-Nude-32-GH</v>
      </c>
    </row>
    <row r="1289" customFormat="false" ht="15" hidden="true" customHeight="false" outlineLevel="0" collapsed="false">
      <c r="B1289" s="29" t="s">
        <v>1802</v>
      </c>
      <c r="C1289" s="17" t="s">
        <v>1680</v>
      </c>
      <c r="D1289" s="17" t="s">
        <v>1681</v>
      </c>
      <c r="E1289" s="29" t="s">
        <v>1794</v>
      </c>
      <c r="F1289" s="3" t="s">
        <v>80</v>
      </c>
      <c r="G1289" s="3" t="s">
        <v>689</v>
      </c>
      <c r="H1289" s="14" t="s">
        <v>1683</v>
      </c>
      <c r="I1289" s="26" t="s">
        <v>43</v>
      </c>
      <c r="J1289" s="26"/>
      <c r="K1289" s="19"/>
      <c r="L1289" s="19"/>
      <c r="M1289" s="29" t="s">
        <v>1740</v>
      </c>
      <c r="N1289" s="29"/>
      <c r="O1289" s="17" t="s">
        <v>437</v>
      </c>
      <c r="P1289" s="29" t="s">
        <v>134</v>
      </c>
      <c r="Q1289" s="29" t="s">
        <v>1795</v>
      </c>
      <c r="R1289" s="16" t="n">
        <v>411.95</v>
      </c>
      <c r="S1289" s="16" t="n">
        <v>749</v>
      </c>
      <c r="T1289" s="136" t="n">
        <v>4</v>
      </c>
      <c r="U1289" s="1" t="str">
        <f aca="false">D1289&amp;"-"&amp;E1289&amp;"-"&amp;M1289&amp;"-"&amp;O1289&amp;"-"&amp;P1289&amp;"-"&amp;Q1289</f>
        <v>Envie-KIRAKA 1022 LOUNGE BRA-1022-Black-34-EF</v>
      </c>
    </row>
    <row r="1290" customFormat="false" ht="15" hidden="true" customHeight="false" outlineLevel="0" collapsed="false">
      <c r="B1290" s="29" t="s">
        <v>1803</v>
      </c>
      <c r="C1290" s="17" t="s">
        <v>1680</v>
      </c>
      <c r="D1290" s="17" t="s">
        <v>1681</v>
      </c>
      <c r="E1290" s="29" t="s">
        <v>1794</v>
      </c>
      <c r="F1290" s="3" t="s">
        <v>80</v>
      </c>
      <c r="G1290" s="3" t="s">
        <v>689</v>
      </c>
      <c r="H1290" s="14" t="s">
        <v>1683</v>
      </c>
      <c r="I1290" s="26" t="s">
        <v>43</v>
      </c>
      <c r="J1290" s="26"/>
      <c r="K1290" s="19"/>
      <c r="L1290" s="19"/>
      <c r="M1290" s="29" t="s">
        <v>1740</v>
      </c>
      <c r="N1290" s="29"/>
      <c r="O1290" s="29" t="s">
        <v>73</v>
      </c>
      <c r="P1290" s="29" t="s">
        <v>134</v>
      </c>
      <c r="Q1290" s="29" t="s">
        <v>1795</v>
      </c>
      <c r="R1290" s="16" t="n">
        <v>411.95</v>
      </c>
      <c r="S1290" s="16" t="n">
        <v>749</v>
      </c>
      <c r="T1290" s="136" t="n">
        <v>1</v>
      </c>
      <c r="U1290" s="1" t="str">
        <f aca="false">D1290&amp;"-"&amp;E1290&amp;"-"&amp;M1290&amp;"-"&amp;O1290&amp;"-"&amp;P1290&amp;"-"&amp;Q1290</f>
        <v>Envie-KIRAKA 1022 LOUNGE BRA-1022-White-34-EF</v>
      </c>
    </row>
    <row r="1291" customFormat="false" ht="15" hidden="true" customHeight="false" outlineLevel="0" collapsed="false">
      <c r="B1291" s="17" t="s">
        <v>1804</v>
      </c>
      <c r="C1291" s="17" t="s">
        <v>1680</v>
      </c>
      <c r="D1291" s="17" t="s">
        <v>1681</v>
      </c>
      <c r="E1291" s="29" t="s">
        <v>1794</v>
      </c>
      <c r="F1291" s="3" t="s">
        <v>80</v>
      </c>
      <c r="G1291" s="3" t="s">
        <v>689</v>
      </c>
      <c r="H1291" s="14" t="s">
        <v>1683</v>
      </c>
      <c r="I1291" s="26" t="s">
        <v>43</v>
      </c>
      <c r="J1291" s="26"/>
      <c r="K1291" s="19"/>
      <c r="L1291" s="19"/>
      <c r="M1291" s="29" t="s">
        <v>1740</v>
      </c>
      <c r="N1291" s="17"/>
      <c r="O1291" s="17" t="s">
        <v>1687</v>
      </c>
      <c r="P1291" s="17" t="s">
        <v>134</v>
      </c>
      <c r="Q1291" s="17" t="s">
        <v>1795</v>
      </c>
      <c r="R1291" s="16" t="n">
        <v>411.95</v>
      </c>
      <c r="S1291" s="16" t="n">
        <v>749</v>
      </c>
      <c r="T1291" s="136" t="n">
        <v>4</v>
      </c>
      <c r="U1291" s="1" t="str">
        <f aca="false">D1291&amp;"-"&amp;E1291&amp;"-"&amp;M1291&amp;"-"&amp;O1291&amp;"-"&amp;P1291&amp;"-"&amp;Q1291</f>
        <v>Envie-KIRAKA 1022 LOUNGE BRA-1022-Nude-34-EF</v>
      </c>
    </row>
    <row r="1292" customFormat="false" ht="15" hidden="true" customHeight="false" outlineLevel="0" collapsed="false">
      <c r="B1292" s="17" t="s">
        <v>1805</v>
      </c>
      <c r="C1292" s="17" t="s">
        <v>1680</v>
      </c>
      <c r="D1292" s="17" t="s">
        <v>1681</v>
      </c>
      <c r="E1292" s="29" t="s">
        <v>1794</v>
      </c>
      <c r="F1292" s="3" t="s">
        <v>80</v>
      </c>
      <c r="G1292" s="3" t="s">
        <v>689</v>
      </c>
      <c r="H1292" s="14" t="s">
        <v>1683</v>
      </c>
      <c r="I1292" s="26" t="s">
        <v>43</v>
      </c>
      <c r="J1292" s="26"/>
      <c r="K1292" s="19"/>
      <c r="L1292" s="19"/>
      <c r="M1292" s="29" t="s">
        <v>1740</v>
      </c>
      <c r="N1292" s="17"/>
      <c r="O1292" s="17" t="s">
        <v>437</v>
      </c>
      <c r="P1292" s="17" t="s">
        <v>134</v>
      </c>
      <c r="Q1292" s="17" t="s">
        <v>1799</v>
      </c>
      <c r="R1292" s="16" t="n">
        <v>411.95</v>
      </c>
      <c r="S1292" s="16" t="n">
        <v>749</v>
      </c>
      <c r="T1292" s="136" t="n">
        <v>3</v>
      </c>
      <c r="U1292" s="1" t="str">
        <f aca="false">D1292&amp;"-"&amp;E1292&amp;"-"&amp;M1292&amp;"-"&amp;O1292&amp;"-"&amp;P1292&amp;"-"&amp;Q1292</f>
        <v>Envie-KIRAKA 1022 LOUNGE BRA-1022-Black-34-GH</v>
      </c>
    </row>
    <row r="1293" customFormat="false" ht="15" hidden="true" customHeight="false" outlineLevel="0" collapsed="false">
      <c r="B1293" s="17" t="s">
        <v>1806</v>
      </c>
      <c r="C1293" s="17" t="s">
        <v>1680</v>
      </c>
      <c r="D1293" s="17" t="s">
        <v>1681</v>
      </c>
      <c r="E1293" s="29" t="s">
        <v>1794</v>
      </c>
      <c r="F1293" s="3" t="s">
        <v>80</v>
      </c>
      <c r="G1293" s="3" t="s">
        <v>689</v>
      </c>
      <c r="H1293" s="14" t="s">
        <v>1683</v>
      </c>
      <c r="I1293" s="26" t="s">
        <v>43</v>
      </c>
      <c r="J1293" s="26"/>
      <c r="K1293" s="19"/>
      <c r="L1293" s="19"/>
      <c r="M1293" s="29" t="s">
        <v>1740</v>
      </c>
      <c r="N1293" s="17"/>
      <c r="O1293" s="29" t="s">
        <v>73</v>
      </c>
      <c r="P1293" s="17" t="s">
        <v>134</v>
      </c>
      <c r="Q1293" s="17" t="s">
        <v>1799</v>
      </c>
      <c r="R1293" s="16" t="n">
        <v>411.95</v>
      </c>
      <c r="S1293" s="16" t="n">
        <v>749</v>
      </c>
      <c r="T1293" s="136" t="n">
        <v>3</v>
      </c>
      <c r="U1293" s="1" t="str">
        <f aca="false">D1293&amp;"-"&amp;E1293&amp;"-"&amp;M1293&amp;"-"&amp;O1293&amp;"-"&amp;P1293&amp;"-"&amp;Q1293</f>
        <v>Envie-KIRAKA 1022 LOUNGE BRA-1022-White-34-GH</v>
      </c>
    </row>
    <row r="1294" customFormat="false" ht="15" hidden="true" customHeight="false" outlineLevel="0" collapsed="false">
      <c r="B1294" s="29" t="s">
        <v>1807</v>
      </c>
      <c r="C1294" s="17" t="s">
        <v>1680</v>
      </c>
      <c r="D1294" s="17" t="s">
        <v>1681</v>
      </c>
      <c r="E1294" s="29" t="s">
        <v>1794</v>
      </c>
      <c r="F1294" s="3" t="s">
        <v>80</v>
      </c>
      <c r="G1294" s="3" t="s">
        <v>689</v>
      </c>
      <c r="H1294" s="14" t="s">
        <v>1683</v>
      </c>
      <c r="I1294" s="26" t="s">
        <v>43</v>
      </c>
      <c r="J1294" s="26"/>
      <c r="K1294" s="19"/>
      <c r="L1294" s="19"/>
      <c r="M1294" s="29" t="s">
        <v>1740</v>
      </c>
      <c r="N1294" s="29"/>
      <c r="O1294" s="29" t="s">
        <v>1687</v>
      </c>
      <c r="P1294" s="29" t="s">
        <v>134</v>
      </c>
      <c r="Q1294" s="29" t="s">
        <v>1799</v>
      </c>
      <c r="R1294" s="16" t="n">
        <v>411.95</v>
      </c>
      <c r="S1294" s="16" t="n">
        <v>749</v>
      </c>
      <c r="T1294" s="136" t="n">
        <v>2</v>
      </c>
      <c r="U1294" s="1" t="str">
        <f aca="false">D1294&amp;"-"&amp;E1294&amp;"-"&amp;M1294&amp;"-"&amp;O1294&amp;"-"&amp;P1294&amp;"-"&amp;Q1294</f>
        <v>Envie-KIRAKA 1022 LOUNGE BRA-1022-Nude-34-GH</v>
      </c>
    </row>
    <row r="1295" customFormat="false" ht="15" hidden="true" customHeight="false" outlineLevel="0" collapsed="false">
      <c r="B1295" s="17" t="s">
        <v>1808</v>
      </c>
      <c r="C1295" s="17" t="s">
        <v>1680</v>
      </c>
      <c r="D1295" s="17" t="s">
        <v>1681</v>
      </c>
      <c r="E1295" s="29" t="s">
        <v>1794</v>
      </c>
      <c r="F1295" s="3" t="s">
        <v>80</v>
      </c>
      <c r="G1295" s="3" t="s">
        <v>689</v>
      </c>
      <c r="H1295" s="14" t="s">
        <v>1683</v>
      </c>
      <c r="I1295" s="26" t="s">
        <v>43</v>
      </c>
      <c r="J1295" s="26"/>
      <c r="K1295" s="19"/>
      <c r="L1295" s="19"/>
      <c r="M1295" s="29" t="s">
        <v>1740</v>
      </c>
      <c r="N1295" s="17"/>
      <c r="O1295" s="17" t="s">
        <v>437</v>
      </c>
      <c r="P1295" s="17" t="s">
        <v>65</v>
      </c>
      <c r="Q1295" s="17" t="s">
        <v>1795</v>
      </c>
      <c r="R1295" s="16" t="n">
        <v>411.95</v>
      </c>
      <c r="S1295" s="16" t="n">
        <v>749</v>
      </c>
      <c r="T1295" s="136" t="n">
        <v>1</v>
      </c>
      <c r="U1295" s="1" t="str">
        <f aca="false">D1295&amp;"-"&amp;E1295&amp;"-"&amp;M1295&amp;"-"&amp;O1295&amp;"-"&amp;P1295&amp;"-"&amp;Q1295</f>
        <v>Envie-KIRAKA 1022 LOUNGE BRA-1022-Black-36-EF</v>
      </c>
    </row>
    <row r="1296" customFormat="false" ht="15" hidden="true" customHeight="false" outlineLevel="0" collapsed="false">
      <c r="B1296" s="17" t="s">
        <v>1809</v>
      </c>
      <c r="C1296" s="17" t="s">
        <v>1680</v>
      </c>
      <c r="D1296" s="17" t="s">
        <v>1681</v>
      </c>
      <c r="E1296" s="29" t="s">
        <v>1794</v>
      </c>
      <c r="F1296" s="3" t="s">
        <v>80</v>
      </c>
      <c r="G1296" s="3" t="s">
        <v>689</v>
      </c>
      <c r="H1296" s="14" t="s">
        <v>1683</v>
      </c>
      <c r="I1296" s="26" t="s">
        <v>43</v>
      </c>
      <c r="J1296" s="26"/>
      <c r="K1296" s="19"/>
      <c r="L1296" s="19"/>
      <c r="M1296" s="29" t="s">
        <v>1740</v>
      </c>
      <c r="N1296" s="17"/>
      <c r="O1296" s="29" t="s">
        <v>73</v>
      </c>
      <c r="P1296" s="17" t="s">
        <v>65</v>
      </c>
      <c r="Q1296" s="17" t="s">
        <v>1795</v>
      </c>
      <c r="R1296" s="16" t="n">
        <v>411.95</v>
      </c>
      <c r="S1296" s="16" t="n">
        <v>749</v>
      </c>
      <c r="T1296" s="136" t="n">
        <v>3</v>
      </c>
      <c r="U1296" s="1" t="str">
        <f aca="false">D1296&amp;"-"&amp;E1296&amp;"-"&amp;M1296&amp;"-"&amp;O1296&amp;"-"&amp;P1296&amp;"-"&amp;Q1296</f>
        <v>Envie-KIRAKA 1022 LOUNGE BRA-1022-White-36-EF</v>
      </c>
    </row>
    <row r="1297" customFormat="false" ht="15" hidden="true" customHeight="false" outlineLevel="0" collapsed="false">
      <c r="B1297" s="17" t="s">
        <v>1810</v>
      </c>
      <c r="C1297" s="17" t="s">
        <v>1680</v>
      </c>
      <c r="D1297" s="17" t="s">
        <v>1681</v>
      </c>
      <c r="E1297" s="29" t="s">
        <v>1794</v>
      </c>
      <c r="F1297" s="3" t="s">
        <v>80</v>
      </c>
      <c r="G1297" s="3" t="s">
        <v>689</v>
      </c>
      <c r="H1297" s="14" t="s">
        <v>1683</v>
      </c>
      <c r="I1297" s="26" t="s">
        <v>43</v>
      </c>
      <c r="J1297" s="26"/>
      <c r="K1297" s="19"/>
      <c r="L1297" s="19"/>
      <c r="M1297" s="29" t="s">
        <v>1740</v>
      </c>
      <c r="N1297" s="17"/>
      <c r="O1297" s="17" t="s">
        <v>1687</v>
      </c>
      <c r="P1297" s="17" t="s">
        <v>65</v>
      </c>
      <c r="Q1297" s="17" t="s">
        <v>1795</v>
      </c>
      <c r="R1297" s="16" t="n">
        <v>411.95</v>
      </c>
      <c r="S1297" s="16" t="n">
        <v>749</v>
      </c>
      <c r="T1297" s="136" t="n">
        <v>0</v>
      </c>
      <c r="U1297" s="1" t="str">
        <f aca="false">D1297&amp;"-"&amp;E1297&amp;"-"&amp;M1297&amp;"-"&amp;O1297&amp;"-"&amp;P1297&amp;"-"&amp;Q1297</f>
        <v>Envie-KIRAKA 1022 LOUNGE BRA-1022-Nude-36-EF</v>
      </c>
    </row>
    <row r="1298" customFormat="false" ht="15" hidden="true" customHeight="false" outlineLevel="0" collapsed="false">
      <c r="B1298" s="29" t="s">
        <v>1811</v>
      </c>
      <c r="C1298" s="17" t="s">
        <v>1680</v>
      </c>
      <c r="D1298" s="17" t="s">
        <v>1681</v>
      </c>
      <c r="E1298" s="29" t="s">
        <v>1794</v>
      </c>
      <c r="F1298" s="3" t="s">
        <v>80</v>
      </c>
      <c r="G1298" s="3" t="s">
        <v>689</v>
      </c>
      <c r="H1298" s="14" t="s">
        <v>1683</v>
      </c>
      <c r="I1298" s="26" t="s">
        <v>43</v>
      </c>
      <c r="J1298" s="26"/>
      <c r="K1298" s="19"/>
      <c r="L1298" s="19"/>
      <c r="M1298" s="29" t="s">
        <v>1740</v>
      </c>
      <c r="N1298" s="29"/>
      <c r="O1298" s="17" t="s">
        <v>437</v>
      </c>
      <c r="P1298" s="29" t="s">
        <v>65</v>
      </c>
      <c r="Q1298" s="17" t="s">
        <v>1799</v>
      </c>
      <c r="R1298" s="16" t="n">
        <v>411.95</v>
      </c>
      <c r="S1298" s="16" t="n">
        <v>749</v>
      </c>
      <c r="T1298" s="136" t="n">
        <v>0</v>
      </c>
      <c r="U1298" s="1" t="str">
        <f aca="false">D1298&amp;"-"&amp;E1298&amp;"-"&amp;M1298&amp;"-"&amp;O1298&amp;"-"&amp;P1298&amp;"-"&amp;Q1298</f>
        <v>Envie-KIRAKA 1022 LOUNGE BRA-1022-Black-36-GH</v>
      </c>
    </row>
    <row r="1299" customFormat="false" ht="15" hidden="true" customHeight="false" outlineLevel="0" collapsed="false">
      <c r="B1299" s="29" t="s">
        <v>1812</v>
      </c>
      <c r="C1299" s="17" t="s">
        <v>1680</v>
      </c>
      <c r="D1299" s="17" t="s">
        <v>1681</v>
      </c>
      <c r="E1299" s="29" t="s">
        <v>1794</v>
      </c>
      <c r="F1299" s="3" t="s">
        <v>80</v>
      </c>
      <c r="G1299" s="3" t="s">
        <v>689</v>
      </c>
      <c r="H1299" s="14" t="s">
        <v>1683</v>
      </c>
      <c r="I1299" s="26" t="s">
        <v>43</v>
      </c>
      <c r="J1299" s="26"/>
      <c r="K1299" s="19"/>
      <c r="L1299" s="19"/>
      <c r="M1299" s="29" t="s">
        <v>1740</v>
      </c>
      <c r="N1299" s="29"/>
      <c r="O1299" s="29" t="s">
        <v>73</v>
      </c>
      <c r="P1299" s="29" t="s">
        <v>65</v>
      </c>
      <c r="Q1299" s="29" t="s">
        <v>1799</v>
      </c>
      <c r="R1299" s="16" t="n">
        <v>411.95</v>
      </c>
      <c r="S1299" s="16" t="n">
        <v>749</v>
      </c>
      <c r="T1299" s="136" t="n">
        <v>3</v>
      </c>
      <c r="U1299" s="1" t="str">
        <f aca="false">D1299&amp;"-"&amp;E1299&amp;"-"&amp;M1299&amp;"-"&amp;O1299&amp;"-"&amp;P1299&amp;"-"&amp;Q1299</f>
        <v>Envie-KIRAKA 1022 LOUNGE BRA-1022-White-36-GH</v>
      </c>
    </row>
    <row r="1300" customFormat="false" ht="15" hidden="true" customHeight="false" outlineLevel="0" collapsed="false">
      <c r="B1300" s="29" t="s">
        <v>1813</v>
      </c>
      <c r="C1300" s="17" t="s">
        <v>1680</v>
      </c>
      <c r="D1300" s="17" t="s">
        <v>1681</v>
      </c>
      <c r="E1300" s="29" t="s">
        <v>1794</v>
      </c>
      <c r="F1300" s="3" t="s">
        <v>80</v>
      </c>
      <c r="G1300" s="3" t="s">
        <v>689</v>
      </c>
      <c r="H1300" s="14" t="s">
        <v>1683</v>
      </c>
      <c r="I1300" s="26" t="s">
        <v>43</v>
      </c>
      <c r="J1300" s="26"/>
      <c r="K1300" s="19"/>
      <c r="L1300" s="19"/>
      <c r="M1300" s="29" t="s">
        <v>1740</v>
      </c>
      <c r="N1300" s="29"/>
      <c r="O1300" s="29" t="s">
        <v>1687</v>
      </c>
      <c r="P1300" s="29" t="s">
        <v>65</v>
      </c>
      <c r="Q1300" s="29" t="s">
        <v>1799</v>
      </c>
      <c r="R1300" s="16" t="n">
        <v>411.95</v>
      </c>
      <c r="S1300" s="16" t="n">
        <v>749</v>
      </c>
      <c r="T1300" s="136" t="n">
        <v>5</v>
      </c>
      <c r="U1300" s="1" t="str">
        <f aca="false">D1300&amp;"-"&amp;E1300&amp;"-"&amp;M1300&amp;"-"&amp;O1300&amp;"-"&amp;P1300&amp;"-"&amp;Q1300</f>
        <v>Envie-KIRAKA 1022 LOUNGE BRA-1022-Nude-36-GH</v>
      </c>
    </row>
    <row r="1301" customFormat="false" ht="15" hidden="true" customHeight="false" outlineLevel="0" collapsed="false">
      <c r="B1301" s="29" t="s">
        <v>1814</v>
      </c>
      <c r="C1301" s="17" t="s">
        <v>1680</v>
      </c>
      <c r="D1301" s="17" t="s">
        <v>1681</v>
      </c>
      <c r="E1301" s="29" t="s">
        <v>1794</v>
      </c>
      <c r="F1301" s="3" t="s">
        <v>80</v>
      </c>
      <c r="G1301" s="3" t="s">
        <v>689</v>
      </c>
      <c r="H1301" s="14" t="s">
        <v>1683</v>
      </c>
      <c r="I1301" s="26" t="s">
        <v>43</v>
      </c>
      <c r="J1301" s="26"/>
      <c r="K1301" s="19"/>
      <c r="L1301" s="19"/>
      <c r="M1301" s="29" t="s">
        <v>1740</v>
      </c>
      <c r="N1301" s="29"/>
      <c r="O1301" s="17" t="s">
        <v>437</v>
      </c>
      <c r="P1301" s="29" t="s">
        <v>154</v>
      </c>
      <c r="Q1301" s="17" t="s">
        <v>1795</v>
      </c>
      <c r="R1301" s="16" t="n">
        <v>411.95</v>
      </c>
      <c r="S1301" s="16" t="n">
        <v>749</v>
      </c>
      <c r="T1301" s="136" t="n">
        <v>3</v>
      </c>
      <c r="U1301" s="1" t="str">
        <f aca="false">D1301&amp;"-"&amp;E1301&amp;"-"&amp;M1301&amp;"-"&amp;O1301&amp;"-"&amp;P1301&amp;"-"&amp;Q1301</f>
        <v>Envie-KIRAKA 1022 LOUNGE BRA-1022-Black-38-EF</v>
      </c>
    </row>
    <row r="1302" customFormat="false" ht="15" hidden="true" customHeight="false" outlineLevel="0" collapsed="false">
      <c r="B1302" s="29" t="s">
        <v>1815</v>
      </c>
      <c r="C1302" s="17" t="s">
        <v>1680</v>
      </c>
      <c r="D1302" s="17" t="s">
        <v>1681</v>
      </c>
      <c r="E1302" s="29" t="s">
        <v>1794</v>
      </c>
      <c r="F1302" s="3" t="s">
        <v>80</v>
      </c>
      <c r="G1302" s="3" t="s">
        <v>689</v>
      </c>
      <c r="H1302" s="14" t="s">
        <v>1683</v>
      </c>
      <c r="I1302" s="26" t="s">
        <v>43</v>
      </c>
      <c r="J1302" s="26"/>
      <c r="K1302" s="19"/>
      <c r="L1302" s="19"/>
      <c r="M1302" s="29" t="s">
        <v>1740</v>
      </c>
      <c r="N1302" s="29"/>
      <c r="O1302" s="29" t="s">
        <v>73</v>
      </c>
      <c r="P1302" s="29" t="s">
        <v>154</v>
      </c>
      <c r="Q1302" s="29" t="s">
        <v>1795</v>
      </c>
      <c r="R1302" s="16" t="n">
        <v>411.95</v>
      </c>
      <c r="S1302" s="16" t="n">
        <v>749</v>
      </c>
      <c r="T1302" s="136" t="n">
        <v>0</v>
      </c>
      <c r="U1302" s="1" t="str">
        <f aca="false">D1302&amp;"-"&amp;E1302&amp;"-"&amp;M1302&amp;"-"&amp;O1302&amp;"-"&amp;P1302&amp;"-"&amp;Q1302</f>
        <v>Envie-KIRAKA 1022 LOUNGE BRA-1022-White-38-EF</v>
      </c>
    </row>
    <row r="1303" customFormat="false" ht="15" hidden="true" customHeight="false" outlineLevel="0" collapsed="false">
      <c r="B1303" s="29" t="s">
        <v>1816</v>
      </c>
      <c r="C1303" s="17" t="s">
        <v>1680</v>
      </c>
      <c r="D1303" s="17" t="s">
        <v>1681</v>
      </c>
      <c r="E1303" s="29" t="s">
        <v>1794</v>
      </c>
      <c r="F1303" s="3" t="s">
        <v>80</v>
      </c>
      <c r="G1303" s="3" t="s">
        <v>689</v>
      </c>
      <c r="H1303" s="14" t="s">
        <v>1683</v>
      </c>
      <c r="I1303" s="26" t="s">
        <v>43</v>
      </c>
      <c r="J1303" s="26"/>
      <c r="K1303" s="19"/>
      <c r="L1303" s="19"/>
      <c r="M1303" s="29" t="s">
        <v>1740</v>
      </c>
      <c r="N1303" s="29"/>
      <c r="O1303" s="29" t="s">
        <v>1687</v>
      </c>
      <c r="P1303" s="29" t="s">
        <v>154</v>
      </c>
      <c r="Q1303" s="29" t="s">
        <v>1795</v>
      </c>
      <c r="R1303" s="16" t="n">
        <v>411.95</v>
      </c>
      <c r="S1303" s="16" t="n">
        <v>749</v>
      </c>
      <c r="T1303" s="136" t="n">
        <v>2</v>
      </c>
      <c r="U1303" s="1" t="str">
        <f aca="false">D1303&amp;"-"&amp;E1303&amp;"-"&amp;M1303&amp;"-"&amp;O1303&amp;"-"&amp;P1303&amp;"-"&amp;Q1303</f>
        <v>Envie-KIRAKA 1022 LOUNGE BRA-1022-Nude-38-EF</v>
      </c>
    </row>
    <row r="1304" customFormat="false" ht="15" hidden="true" customHeight="false" outlineLevel="0" collapsed="false">
      <c r="B1304" s="17" t="s">
        <v>1817</v>
      </c>
      <c r="C1304" s="17" t="s">
        <v>1680</v>
      </c>
      <c r="D1304" s="17" t="s">
        <v>1681</v>
      </c>
      <c r="E1304" s="29" t="s">
        <v>1794</v>
      </c>
      <c r="F1304" s="3" t="s">
        <v>80</v>
      </c>
      <c r="G1304" s="3" t="s">
        <v>689</v>
      </c>
      <c r="H1304" s="14" t="s">
        <v>1683</v>
      </c>
      <c r="I1304" s="26" t="s">
        <v>43</v>
      </c>
      <c r="J1304" s="26"/>
      <c r="K1304" s="19"/>
      <c r="L1304" s="19"/>
      <c r="M1304" s="29" t="s">
        <v>1740</v>
      </c>
      <c r="N1304" s="17"/>
      <c r="O1304" s="17" t="s">
        <v>437</v>
      </c>
      <c r="P1304" s="17" t="s">
        <v>154</v>
      </c>
      <c r="Q1304" s="17" t="s">
        <v>1799</v>
      </c>
      <c r="R1304" s="16" t="n">
        <v>411.95</v>
      </c>
      <c r="S1304" s="16" t="n">
        <v>749</v>
      </c>
      <c r="T1304" s="136" t="n">
        <v>5</v>
      </c>
      <c r="U1304" s="1" t="str">
        <f aca="false">D1304&amp;"-"&amp;E1304&amp;"-"&amp;M1304&amp;"-"&amp;O1304&amp;"-"&amp;P1304&amp;"-"&amp;Q1304</f>
        <v>Envie-KIRAKA 1022 LOUNGE BRA-1022-Black-38-GH</v>
      </c>
    </row>
    <row r="1305" customFormat="false" ht="15" hidden="true" customHeight="false" outlineLevel="0" collapsed="false">
      <c r="B1305" s="17" t="s">
        <v>1818</v>
      </c>
      <c r="C1305" s="17" t="s">
        <v>1680</v>
      </c>
      <c r="D1305" s="17" t="s">
        <v>1681</v>
      </c>
      <c r="E1305" s="29" t="s">
        <v>1794</v>
      </c>
      <c r="F1305" s="3" t="s">
        <v>80</v>
      </c>
      <c r="G1305" s="3" t="s">
        <v>689</v>
      </c>
      <c r="H1305" s="14" t="s">
        <v>1683</v>
      </c>
      <c r="I1305" s="26" t="s">
        <v>43</v>
      </c>
      <c r="J1305" s="26"/>
      <c r="K1305" s="19"/>
      <c r="L1305" s="19"/>
      <c r="M1305" s="29" t="s">
        <v>1740</v>
      </c>
      <c r="N1305" s="17"/>
      <c r="O1305" s="29" t="s">
        <v>73</v>
      </c>
      <c r="P1305" s="17" t="s">
        <v>154</v>
      </c>
      <c r="Q1305" s="17" t="s">
        <v>1799</v>
      </c>
      <c r="R1305" s="16" t="n">
        <v>411.95</v>
      </c>
      <c r="S1305" s="16" t="n">
        <v>749</v>
      </c>
      <c r="T1305" s="136" t="n">
        <v>6</v>
      </c>
      <c r="U1305" s="1" t="str">
        <f aca="false">D1305&amp;"-"&amp;E1305&amp;"-"&amp;M1305&amp;"-"&amp;O1305&amp;"-"&amp;P1305&amp;"-"&amp;Q1305</f>
        <v>Envie-KIRAKA 1022 LOUNGE BRA-1022-White-38-GH</v>
      </c>
    </row>
    <row r="1306" customFormat="false" ht="15" hidden="true" customHeight="false" outlineLevel="0" collapsed="false">
      <c r="B1306" s="17" t="s">
        <v>1819</v>
      </c>
      <c r="C1306" s="17" t="s">
        <v>1680</v>
      </c>
      <c r="D1306" s="17" t="s">
        <v>1681</v>
      </c>
      <c r="E1306" s="29" t="s">
        <v>1794</v>
      </c>
      <c r="F1306" s="3" t="s">
        <v>80</v>
      </c>
      <c r="G1306" s="3" t="s">
        <v>689</v>
      </c>
      <c r="H1306" s="14" t="s">
        <v>1683</v>
      </c>
      <c r="I1306" s="26" t="s">
        <v>43</v>
      </c>
      <c r="J1306" s="26"/>
      <c r="K1306" s="19"/>
      <c r="L1306" s="19"/>
      <c r="M1306" s="29" t="s">
        <v>1740</v>
      </c>
      <c r="N1306" s="17"/>
      <c r="O1306" s="17" t="s">
        <v>1687</v>
      </c>
      <c r="P1306" s="17" t="s">
        <v>154</v>
      </c>
      <c r="Q1306" s="17" t="s">
        <v>1799</v>
      </c>
      <c r="R1306" s="16" t="n">
        <v>411.95</v>
      </c>
      <c r="S1306" s="16" t="n">
        <v>749</v>
      </c>
      <c r="T1306" s="136" t="n">
        <v>1</v>
      </c>
      <c r="U1306" s="1" t="str">
        <f aca="false">D1306&amp;"-"&amp;E1306&amp;"-"&amp;M1306&amp;"-"&amp;O1306&amp;"-"&amp;P1306&amp;"-"&amp;Q1306</f>
        <v>Envie-KIRAKA 1022 LOUNGE BRA-1022-Nude-38-GH</v>
      </c>
    </row>
    <row r="1307" customFormat="false" ht="15" hidden="true" customHeight="false" outlineLevel="0" collapsed="false">
      <c r="B1307" s="29" t="s">
        <v>1820</v>
      </c>
      <c r="C1307" s="17" t="s">
        <v>1680</v>
      </c>
      <c r="D1307" s="17" t="s">
        <v>1681</v>
      </c>
      <c r="E1307" s="29" t="s">
        <v>1794</v>
      </c>
      <c r="F1307" s="3" t="s">
        <v>80</v>
      </c>
      <c r="G1307" s="3" t="s">
        <v>689</v>
      </c>
      <c r="H1307" s="14" t="s">
        <v>1683</v>
      </c>
      <c r="I1307" s="26" t="s">
        <v>43</v>
      </c>
      <c r="J1307" s="26"/>
      <c r="K1307" s="19"/>
      <c r="L1307" s="19"/>
      <c r="M1307" s="29" t="s">
        <v>1740</v>
      </c>
      <c r="N1307" s="29"/>
      <c r="O1307" s="29" t="s">
        <v>73</v>
      </c>
      <c r="P1307" s="29" t="s">
        <v>417</v>
      </c>
      <c r="Q1307" s="29" t="s">
        <v>1795</v>
      </c>
      <c r="R1307" s="16" t="n">
        <v>411.95</v>
      </c>
      <c r="S1307" s="16" t="n">
        <v>749</v>
      </c>
      <c r="T1307" s="136" t="n">
        <v>6</v>
      </c>
      <c r="U1307" s="1" t="str">
        <f aca="false">D1307&amp;"-"&amp;E1307&amp;"-"&amp;M1307&amp;"-"&amp;O1307&amp;"-"&amp;P1307&amp;"-"&amp;Q1307</f>
        <v>Envie-KIRAKA 1022 LOUNGE BRA-1022-White-40-EF</v>
      </c>
    </row>
    <row r="1308" customFormat="false" ht="15" hidden="true" customHeight="false" outlineLevel="0" collapsed="false">
      <c r="A1308" s="137"/>
      <c r="B1308" s="141" t="n">
        <v>8904426738689</v>
      </c>
      <c r="C1308" s="17" t="s">
        <v>1680</v>
      </c>
      <c r="D1308" s="17" t="s">
        <v>1681</v>
      </c>
      <c r="E1308" s="29" t="s">
        <v>1794</v>
      </c>
      <c r="F1308" s="3" t="s">
        <v>80</v>
      </c>
      <c r="G1308" s="3" t="s">
        <v>689</v>
      </c>
      <c r="H1308" s="14" t="s">
        <v>1683</v>
      </c>
      <c r="I1308" s="26" t="s">
        <v>43</v>
      </c>
      <c r="J1308" s="131"/>
      <c r="K1308" s="139"/>
      <c r="L1308" s="19"/>
      <c r="M1308" s="29" t="s">
        <v>1740</v>
      </c>
      <c r="N1308" s="29"/>
      <c r="O1308" s="17" t="s">
        <v>437</v>
      </c>
      <c r="P1308" s="29" t="s">
        <v>417</v>
      </c>
      <c r="Q1308" s="29" t="s">
        <v>1795</v>
      </c>
      <c r="R1308" s="16" t="n">
        <v>411.95</v>
      </c>
      <c r="S1308" s="16" t="n">
        <v>749</v>
      </c>
      <c r="T1308" s="136" t="n">
        <v>4</v>
      </c>
      <c r="U1308" s="1" t="str">
        <f aca="false">D1308&amp;"-"&amp;E1308&amp;"-"&amp;M1308&amp;"-"&amp;O1308&amp;"-"&amp;P1308&amp;"-"&amp;Q1308</f>
        <v>Envie-KIRAKA 1022 LOUNGE BRA-1022-Black-40-EF</v>
      </c>
    </row>
    <row r="1309" customFormat="false" ht="15" hidden="true" customHeight="false" outlineLevel="0" collapsed="false">
      <c r="B1309" s="17" t="s">
        <v>1821</v>
      </c>
      <c r="C1309" s="17" t="s">
        <v>1680</v>
      </c>
      <c r="D1309" s="17" t="s">
        <v>1681</v>
      </c>
      <c r="E1309" s="29" t="s">
        <v>1794</v>
      </c>
      <c r="F1309" s="3" t="s">
        <v>80</v>
      </c>
      <c r="G1309" s="3" t="s">
        <v>689</v>
      </c>
      <c r="H1309" s="14" t="s">
        <v>1683</v>
      </c>
      <c r="I1309" s="26" t="s">
        <v>43</v>
      </c>
      <c r="J1309" s="26"/>
      <c r="K1309" s="19"/>
      <c r="L1309" s="19"/>
      <c r="M1309" s="29" t="s">
        <v>1740</v>
      </c>
      <c r="N1309" s="17"/>
      <c r="O1309" s="17" t="s">
        <v>437</v>
      </c>
      <c r="P1309" s="17" t="s">
        <v>417</v>
      </c>
      <c r="Q1309" s="17" t="s">
        <v>1799</v>
      </c>
      <c r="R1309" s="16" t="n">
        <v>411.95</v>
      </c>
      <c r="S1309" s="16" t="n">
        <v>749</v>
      </c>
      <c r="T1309" s="136" t="n">
        <v>1</v>
      </c>
      <c r="U1309" s="1" t="str">
        <f aca="false">D1309&amp;"-"&amp;E1309&amp;"-"&amp;M1309&amp;"-"&amp;O1309&amp;"-"&amp;P1309&amp;"-"&amp;Q1309</f>
        <v>Envie-KIRAKA 1022 LOUNGE BRA-1022-Black-40-GH</v>
      </c>
    </row>
    <row r="1310" customFormat="false" ht="15" hidden="true" customHeight="false" outlineLevel="0" collapsed="false">
      <c r="B1310" s="17" t="s">
        <v>1822</v>
      </c>
      <c r="C1310" s="17" t="s">
        <v>1680</v>
      </c>
      <c r="D1310" s="17" t="s">
        <v>1681</v>
      </c>
      <c r="E1310" s="29" t="s">
        <v>1794</v>
      </c>
      <c r="F1310" s="3" t="s">
        <v>80</v>
      </c>
      <c r="G1310" s="3" t="s">
        <v>689</v>
      </c>
      <c r="H1310" s="14" t="s">
        <v>1683</v>
      </c>
      <c r="I1310" s="26" t="s">
        <v>43</v>
      </c>
      <c r="J1310" s="26"/>
      <c r="K1310" s="19"/>
      <c r="L1310" s="19"/>
      <c r="M1310" s="29" t="s">
        <v>1740</v>
      </c>
      <c r="N1310" s="17"/>
      <c r="O1310" s="29" t="s">
        <v>73</v>
      </c>
      <c r="P1310" s="17" t="s">
        <v>417</v>
      </c>
      <c r="Q1310" s="17" t="s">
        <v>1799</v>
      </c>
      <c r="R1310" s="16" t="n">
        <v>411.95</v>
      </c>
      <c r="S1310" s="16" t="n">
        <v>749</v>
      </c>
      <c r="T1310" s="136" t="n">
        <v>2</v>
      </c>
      <c r="U1310" s="1" t="str">
        <f aca="false">D1310&amp;"-"&amp;E1310&amp;"-"&amp;M1310&amp;"-"&amp;O1310&amp;"-"&amp;P1310&amp;"-"&amp;Q1310</f>
        <v>Envie-KIRAKA 1022 LOUNGE BRA-1022-White-40-GH</v>
      </c>
    </row>
    <row r="1311" customFormat="false" ht="15" hidden="true" customHeight="false" outlineLevel="0" collapsed="false">
      <c r="B1311" s="29" t="s">
        <v>1823</v>
      </c>
      <c r="C1311" s="17" t="s">
        <v>1680</v>
      </c>
      <c r="D1311" s="17" t="s">
        <v>1681</v>
      </c>
      <c r="E1311" s="29" t="s">
        <v>1794</v>
      </c>
      <c r="F1311" s="3" t="s">
        <v>80</v>
      </c>
      <c r="G1311" s="3" t="s">
        <v>689</v>
      </c>
      <c r="H1311" s="14" t="s">
        <v>1683</v>
      </c>
      <c r="I1311" s="26" t="s">
        <v>43</v>
      </c>
      <c r="J1311" s="26"/>
      <c r="K1311" s="19"/>
      <c r="L1311" s="19"/>
      <c r="M1311" s="29" t="s">
        <v>1740</v>
      </c>
      <c r="N1311" s="29"/>
      <c r="O1311" s="17" t="s">
        <v>437</v>
      </c>
      <c r="P1311" s="29" t="s">
        <v>440</v>
      </c>
      <c r="Q1311" s="29" t="s">
        <v>1795</v>
      </c>
      <c r="R1311" s="16" t="n">
        <v>411.95</v>
      </c>
      <c r="S1311" s="16" t="n">
        <v>749</v>
      </c>
      <c r="T1311" s="136" t="n">
        <v>4</v>
      </c>
      <c r="U1311" s="1" t="str">
        <f aca="false">D1311&amp;"-"&amp;E1311&amp;"-"&amp;M1311&amp;"-"&amp;O1311&amp;"-"&amp;P1311&amp;"-"&amp;Q1311</f>
        <v>Envie-KIRAKA 1022 LOUNGE BRA-1022-Black-42-EF</v>
      </c>
    </row>
    <row r="1312" customFormat="false" ht="15" hidden="true" customHeight="false" outlineLevel="0" collapsed="false">
      <c r="B1312" s="29" t="s">
        <v>1824</v>
      </c>
      <c r="C1312" s="17" t="s">
        <v>1680</v>
      </c>
      <c r="D1312" s="17" t="s">
        <v>1681</v>
      </c>
      <c r="E1312" s="29" t="s">
        <v>1794</v>
      </c>
      <c r="F1312" s="3" t="s">
        <v>80</v>
      </c>
      <c r="G1312" s="3" t="s">
        <v>689</v>
      </c>
      <c r="H1312" s="14" t="s">
        <v>1683</v>
      </c>
      <c r="I1312" s="26" t="s">
        <v>43</v>
      </c>
      <c r="J1312" s="26"/>
      <c r="K1312" s="19"/>
      <c r="L1312" s="19"/>
      <c r="M1312" s="29" t="s">
        <v>1740</v>
      </c>
      <c r="N1312" s="29"/>
      <c r="O1312" s="29" t="s">
        <v>73</v>
      </c>
      <c r="P1312" s="29" t="s">
        <v>440</v>
      </c>
      <c r="Q1312" s="29" t="s">
        <v>1795</v>
      </c>
      <c r="R1312" s="16" t="n">
        <v>411.95</v>
      </c>
      <c r="S1312" s="16" t="n">
        <v>749</v>
      </c>
      <c r="T1312" s="136" t="n">
        <v>1</v>
      </c>
      <c r="U1312" s="1" t="str">
        <f aca="false">D1312&amp;"-"&amp;E1312&amp;"-"&amp;M1312&amp;"-"&amp;O1312&amp;"-"&amp;P1312&amp;"-"&amp;Q1312</f>
        <v>Envie-KIRAKA 1022 LOUNGE BRA-1022-White-42-EF</v>
      </c>
    </row>
    <row r="1313" customFormat="false" ht="15" hidden="true" customHeight="false" outlineLevel="0" collapsed="false">
      <c r="B1313" s="17" t="s">
        <v>1825</v>
      </c>
      <c r="C1313" s="17" t="s">
        <v>1680</v>
      </c>
      <c r="D1313" s="17" t="s">
        <v>1681</v>
      </c>
      <c r="E1313" s="29" t="s">
        <v>1794</v>
      </c>
      <c r="F1313" s="3" t="s">
        <v>80</v>
      </c>
      <c r="G1313" s="3" t="s">
        <v>689</v>
      </c>
      <c r="H1313" s="14" t="s">
        <v>1683</v>
      </c>
      <c r="I1313" s="26" t="s">
        <v>43</v>
      </c>
      <c r="J1313" s="26"/>
      <c r="K1313" s="19"/>
      <c r="L1313" s="19"/>
      <c r="M1313" s="29" t="s">
        <v>1740</v>
      </c>
      <c r="N1313" s="17"/>
      <c r="O1313" s="17" t="s">
        <v>437</v>
      </c>
      <c r="P1313" s="17" t="s">
        <v>440</v>
      </c>
      <c r="Q1313" s="17" t="s">
        <v>1799</v>
      </c>
      <c r="R1313" s="16" t="n">
        <v>411.95</v>
      </c>
      <c r="S1313" s="16" t="n">
        <v>749</v>
      </c>
      <c r="T1313" s="136" t="n">
        <v>2</v>
      </c>
      <c r="U1313" s="1" t="str">
        <f aca="false">D1313&amp;"-"&amp;E1313&amp;"-"&amp;M1313&amp;"-"&amp;O1313&amp;"-"&amp;P1313&amp;"-"&amp;Q1313</f>
        <v>Envie-KIRAKA 1022 LOUNGE BRA-1022-Black-42-GH</v>
      </c>
    </row>
    <row r="1314" customFormat="false" ht="15" hidden="true" customHeight="false" outlineLevel="0" collapsed="false">
      <c r="B1314" s="17" t="s">
        <v>1826</v>
      </c>
      <c r="C1314" s="17" t="s">
        <v>1680</v>
      </c>
      <c r="D1314" s="17" t="s">
        <v>1681</v>
      </c>
      <c r="E1314" s="29" t="s">
        <v>1794</v>
      </c>
      <c r="F1314" s="3" t="s">
        <v>80</v>
      </c>
      <c r="G1314" s="3" t="s">
        <v>689</v>
      </c>
      <c r="H1314" s="14" t="s">
        <v>1683</v>
      </c>
      <c r="I1314" s="26" t="s">
        <v>43</v>
      </c>
      <c r="J1314" s="26"/>
      <c r="K1314" s="19"/>
      <c r="L1314" s="19"/>
      <c r="M1314" s="29" t="s">
        <v>1740</v>
      </c>
      <c r="N1314" s="17"/>
      <c r="O1314" s="29" t="s">
        <v>73</v>
      </c>
      <c r="P1314" s="17" t="s">
        <v>440</v>
      </c>
      <c r="Q1314" s="17" t="s">
        <v>1799</v>
      </c>
      <c r="R1314" s="16" t="n">
        <v>411.95</v>
      </c>
      <c r="S1314" s="16" t="n">
        <v>749</v>
      </c>
      <c r="T1314" s="136" t="n">
        <v>4</v>
      </c>
      <c r="U1314" s="1" t="str">
        <f aca="false">D1314&amp;"-"&amp;E1314&amp;"-"&amp;M1314&amp;"-"&amp;O1314&amp;"-"&amp;P1314&amp;"-"&amp;Q1314</f>
        <v>Envie-KIRAKA 1022 LOUNGE BRA-1022-White-42-GH</v>
      </c>
    </row>
    <row r="1315" customFormat="false" ht="15" hidden="true" customHeight="false" outlineLevel="0" collapsed="false">
      <c r="B1315" s="29" t="s">
        <v>1827</v>
      </c>
      <c r="C1315" s="17" t="s">
        <v>1680</v>
      </c>
      <c r="D1315" s="17" t="s">
        <v>1681</v>
      </c>
      <c r="E1315" s="29" t="s">
        <v>1828</v>
      </c>
      <c r="F1315" s="3" t="s">
        <v>80</v>
      </c>
      <c r="G1315" s="3" t="s">
        <v>689</v>
      </c>
      <c r="H1315" s="14" t="s">
        <v>1683</v>
      </c>
      <c r="I1315" s="26" t="s">
        <v>43</v>
      </c>
      <c r="J1315" s="26"/>
      <c r="K1315" s="19"/>
      <c r="L1315" s="19"/>
      <c r="M1315" s="29" t="s">
        <v>1829</v>
      </c>
      <c r="N1315" s="29"/>
      <c r="O1315" s="29" t="s">
        <v>73</v>
      </c>
      <c r="P1315" s="29" t="s">
        <v>1148</v>
      </c>
      <c r="Q1315" s="16"/>
      <c r="R1315" s="16" t="n">
        <v>251.26</v>
      </c>
      <c r="S1315" s="16" t="n">
        <v>399</v>
      </c>
      <c r="T1315" s="136" t="n">
        <v>0</v>
      </c>
      <c r="U1315" s="1" t="str">
        <f aca="false">D1315&amp;"-"&amp;E1315&amp;"-"&amp;M1315&amp;"-"&amp;O1315&amp;"-"&amp;P1315&amp;"-"&amp;Q1315</f>
        <v>Envie-TANK TOP-3006-White-S-</v>
      </c>
    </row>
    <row r="1316" customFormat="false" ht="15" hidden="true" customHeight="false" outlineLevel="0" collapsed="false">
      <c r="B1316" s="29" t="s">
        <v>1830</v>
      </c>
      <c r="C1316" s="17" t="s">
        <v>1680</v>
      </c>
      <c r="D1316" s="17" t="s">
        <v>1681</v>
      </c>
      <c r="E1316" s="29" t="s">
        <v>1828</v>
      </c>
      <c r="F1316" s="3" t="s">
        <v>80</v>
      </c>
      <c r="G1316" s="3" t="s">
        <v>689</v>
      </c>
      <c r="H1316" s="14" t="s">
        <v>1683</v>
      </c>
      <c r="I1316" s="26" t="s">
        <v>43</v>
      </c>
      <c r="J1316" s="26"/>
      <c r="K1316" s="19"/>
      <c r="L1316" s="19"/>
      <c r="M1316" s="29" t="s">
        <v>1829</v>
      </c>
      <c r="N1316" s="29"/>
      <c r="O1316" s="17" t="s">
        <v>437</v>
      </c>
      <c r="P1316" s="29" t="s">
        <v>1148</v>
      </c>
      <c r="Q1316" s="16"/>
      <c r="R1316" s="16" t="n">
        <v>251.26</v>
      </c>
      <c r="S1316" s="16" t="n">
        <v>399</v>
      </c>
      <c r="T1316" s="136" t="n">
        <v>1</v>
      </c>
      <c r="U1316" s="1" t="str">
        <f aca="false">D1316&amp;"-"&amp;E1316&amp;"-"&amp;M1316&amp;"-"&amp;O1316&amp;"-"&amp;P1316&amp;"-"&amp;Q1316</f>
        <v>Envie-TANK TOP-3006-Black-S-</v>
      </c>
    </row>
    <row r="1317" customFormat="false" ht="15" hidden="true" customHeight="false" outlineLevel="0" collapsed="false">
      <c r="A1317" s="137"/>
      <c r="B1317" s="141" t="n">
        <v>8904333935799</v>
      </c>
      <c r="C1317" s="17" t="s">
        <v>1680</v>
      </c>
      <c r="D1317" s="17" t="s">
        <v>1681</v>
      </c>
      <c r="E1317" s="29" t="s">
        <v>1828</v>
      </c>
      <c r="F1317" s="3" t="s">
        <v>80</v>
      </c>
      <c r="G1317" s="3" t="s">
        <v>689</v>
      </c>
      <c r="H1317" s="14" t="s">
        <v>1683</v>
      </c>
      <c r="I1317" s="26" t="s">
        <v>43</v>
      </c>
      <c r="J1317" s="131"/>
      <c r="K1317" s="139"/>
      <c r="L1317" s="19"/>
      <c r="M1317" s="29" t="s">
        <v>1829</v>
      </c>
      <c r="N1317" s="29"/>
      <c r="O1317" s="29" t="s">
        <v>1730</v>
      </c>
      <c r="P1317" s="29" t="s">
        <v>1148</v>
      </c>
      <c r="Q1317" s="142"/>
      <c r="R1317" s="16" t="n">
        <v>251.26</v>
      </c>
      <c r="S1317" s="16" t="n">
        <v>399</v>
      </c>
      <c r="T1317" s="136" t="n">
        <v>1</v>
      </c>
      <c r="U1317" s="1" t="str">
        <f aca="false">D1317&amp;"-"&amp;E1317&amp;"-"&amp;M1317&amp;"-"&amp;O1317&amp;"-"&amp;P1317&amp;"-"&amp;Q1317</f>
        <v>Envie-TANK TOP-3006-Woodrose-S-</v>
      </c>
    </row>
    <row r="1318" customFormat="false" ht="15" hidden="true" customHeight="false" outlineLevel="0" collapsed="false">
      <c r="B1318" s="17" t="s">
        <v>1831</v>
      </c>
      <c r="C1318" s="17" t="s">
        <v>1680</v>
      </c>
      <c r="D1318" s="17" t="s">
        <v>1681</v>
      </c>
      <c r="E1318" s="29" t="s">
        <v>1828</v>
      </c>
      <c r="F1318" s="3" t="s">
        <v>80</v>
      </c>
      <c r="G1318" s="3" t="s">
        <v>689</v>
      </c>
      <c r="H1318" s="14" t="s">
        <v>1683</v>
      </c>
      <c r="I1318" s="26" t="s">
        <v>43</v>
      </c>
      <c r="J1318" s="26"/>
      <c r="K1318" s="19"/>
      <c r="L1318" s="19"/>
      <c r="M1318" s="29" t="s">
        <v>1829</v>
      </c>
      <c r="N1318" s="29"/>
      <c r="O1318" s="17" t="s">
        <v>48</v>
      </c>
      <c r="P1318" s="29" t="s">
        <v>1148</v>
      </c>
      <c r="Q1318" s="16"/>
      <c r="R1318" s="16" t="n">
        <v>251.26</v>
      </c>
      <c r="S1318" s="16" t="n">
        <v>399</v>
      </c>
      <c r="T1318" s="136" t="n">
        <v>0</v>
      </c>
      <c r="U1318" s="1" t="str">
        <f aca="false">D1318&amp;"-"&amp;E1318&amp;"-"&amp;M1318&amp;"-"&amp;O1318&amp;"-"&amp;P1318&amp;"-"&amp;Q1318</f>
        <v>Envie-TANK TOP-3006-Blue-S-</v>
      </c>
    </row>
    <row r="1319" customFormat="false" ht="15" hidden="true" customHeight="false" outlineLevel="0" collapsed="false">
      <c r="A1319" s="137"/>
      <c r="B1319" s="141" t="n">
        <v>8904333921785</v>
      </c>
      <c r="C1319" s="17" t="s">
        <v>1680</v>
      </c>
      <c r="D1319" s="17" t="s">
        <v>1681</v>
      </c>
      <c r="E1319" s="29" t="s">
        <v>1828</v>
      </c>
      <c r="F1319" s="3" t="s">
        <v>80</v>
      </c>
      <c r="G1319" s="3" t="s">
        <v>689</v>
      </c>
      <c r="H1319" s="14" t="s">
        <v>1683</v>
      </c>
      <c r="I1319" s="26" t="s">
        <v>43</v>
      </c>
      <c r="J1319" s="131"/>
      <c r="K1319" s="139"/>
      <c r="L1319" s="140"/>
      <c r="M1319" s="29" t="s">
        <v>1829</v>
      </c>
      <c r="N1319" s="29"/>
      <c r="O1319" s="72" t="s">
        <v>1832</v>
      </c>
      <c r="P1319" s="29" t="s">
        <v>1148</v>
      </c>
      <c r="Q1319" s="142"/>
      <c r="R1319" s="16" t="n">
        <v>251.26</v>
      </c>
      <c r="S1319" s="16" t="n">
        <v>399</v>
      </c>
      <c r="T1319" s="136" t="n">
        <v>1</v>
      </c>
      <c r="U1319" s="1" t="str">
        <f aca="false">D1319&amp;"-"&amp;E1319&amp;"-"&amp;M1319&amp;"-"&amp;O1319&amp;"-"&amp;P1319&amp;"-"&amp;Q1319</f>
        <v>Envie-TANK TOP-3006-purpe-S-</v>
      </c>
    </row>
    <row r="1320" customFormat="false" ht="15" hidden="true" customHeight="false" outlineLevel="0" collapsed="false">
      <c r="B1320" s="29" t="s">
        <v>1833</v>
      </c>
      <c r="C1320" s="17" t="s">
        <v>1680</v>
      </c>
      <c r="D1320" s="17" t="s">
        <v>1681</v>
      </c>
      <c r="E1320" s="29" t="s">
        <v>1828</v>
      </c>
      <c r="F1320" s="3" t="s">
        <v>80</v>
      </c>
      <c r="G1320" s="3" t="s">
        <v>689</v>
      </c>
      <c r="H1320" s="14" t="s">
        <v>1683</v>
      </c>
      <c r="I1320" s="26" t="s">
        <v>43</v>
      </c>
      <c r="J1320" s="26"/>
      <c r="K1320" s="19"/>
      <c r="L1320" s="19"/>
      <c r="M1320" s="29" t="s">
        <v>1829</v>
      </c>
      <c r="N1320" s="29"/>
      <c r="O1320" s="29" t="s">
        <v>1730</v>
      </c>
      <c r="P1320" s="29" t="s">
        <v>1145</v>
      </c>
      <c r="Q1320" s="16"/>
      <c r="R1320" s="16" t="n">
        <v>251.26</v>
      </c>
      <c r="S1320" s="16" t="n">
        <v>399</v>
      </c>
      <c r="T1320" s="136" t="n">
        <v>3</v>
      </c>
      <c r="U1320" s="1" t="str">
        <f aca="false">D1320&amp;"-"&amp;E1320&amp;"-"&amp;M1320&amp;"-"&amp;O1320&amp;"-"&amp;P1320&amp;"-"&amp;Q1320</f>
        <v>Envie-TANK TOP-3006-Woodrose-M-</v>
      </c>
    </row>
    <row r="1321" customFormat="false" ht="15" hidden="true" customHeight="false" outlineLevel="0" collapsed="false">
      <c r="B1321" s="17" t="s">
        <v>1834</v>
      </c>
      <c r="C1321" s="17" t="s">
        <v>1680</v>
      </c>
      <c r="D1321" s="17" t="s">
        <v>1681</v>
      </c>
      <c r="E1321" s="29" t="s">
        <v>1828</v>
      </c>
      <c r="F1321" s="3" t="s">
        <v>80</v>
      </c>
      <c r="G1321" s="3" t="s">
        <v>689</v>
      </c>
      <c r="H1321" s="14" t="s">
        <v>1683</v>
      </c>
      <c r="I1321" s="26" t="s">
        <v>43</v>
      </c>
      <c r="J1321" s="26"/>
      <c r="K1321" s="19"/>
      <c r="L1321" s="19"/>
      <c r="M1321" s="29" t="s">
        <v>1829</v>
      </c>
      <c r="N1321" s="17"/>
      <c r="O1321" s="29" t="s">
        <v>73</v>
      </c>
      <c r="P1321" s="17" t="s">
        <v>1145</v>
      </c>
      <c r="Q1321" s="16"/>
      <c r="R1321" s="16" t="n">
        <v>251.26</v>
      </c>
      <c r="S1321" s="16" t="n">
        <v>399</v>
      </c>
      <c r="T1321" s="136" t="n">
        <v>5</v>
      </c>
      <c r="U1321" s="1" t="str">
        <f aca="false">D1321&amp;"-"&amp;E1321&amp;"-"&amp;M1321&amp;"-"&amp;O1321&amp;"-"&amp;P1321&amp;"-"&amp;Q1321</f>
        <v>Envie-TANK TOP-3006-White-M-</v>
      </c>
    </row>
    <row r="1322" customFormat="false" ht="15" hidden="true" customHeight="false" outlineLevel="0" collapsed="false">
      <c r="B1322" s="17" t="s">
        <v>1835</v>
      </c>
      <c r="C1322" s="17" t="s">
        <v>1680</v>
      </c>
      <c r="D1322" s="17" t="s">
        <v>1681</v>
      </c>
      <c r="E1322" s="29" t="s">
        <v>1828</v>
      </c>
      <c r="F1322" s="3" t="s">
        <v>80</v>
      </c>
      <c r="G1322" s="3" t="s">
        <v>689</v>
      </c>
      <c r="H1322" s="14" t="s">
        <v>1683</v>
      </c>
      <c r="I1322" s="26" t="s">
        <v>43</v>
      </c>
      <c r="J1322" s="26"/>
      <c r="K1322" s="19"/>
      <c r="L1322" s="19"/>
      <c r="M1322" s="29" t="s">
        <v>1829</v>
      </c>
      <c r="N1322" s="17"/>
      <c r="O1322" s="17" t="s">
        <v>912</v>
      </c>
      <c r="P1322" s="17" t="s">
        <v>1145</v>
      </c>
      <c r="Q1322" s="16"/>
      <c r="R1322" s="16" t="n">
        <v>251.26</v>
      </c>
      <c r="S1322" s="16" t="n">
        <v>399</v>
      </c>
      <c r="T1322" s="136" t="n">
        <v>3</v>
      </c>
      <c r="U1322" s="1" t="str">
        <f aca="false">D1322&amp;"-"&amp;E1322&amp;"-"&amp;M1322&amp;"-"&amp;O1322&amp;"-"&amp;P1322&amp;"-"&amp;Q1322</f>
        <v>Envie-TANK TOP-3006-Purple-M-</v>
      </c>
    </row>
    <row r="1323" customFormat="false" ht="15" hidden="true" customHeight="false" outlineLevel="0" collapsed="false">
      <c r="B1323" s="29" t="s">
        <v>1836</v>
      </c>
      <c r="C1323" s="17" t="s">
        <v>1680</v>
      </c>
      <c r="D1323" s="17" t="s">
        <v>1681</v>
      </c>
      <c r="E1323" s="29" t="s">
        <v>1828</v>
      </c>
      <c r="F1323" s="3" t="s">
        <v>80</v>
      </c>
      <c r="G1323" s="3" t="s">
        <v>689</v>
      </c>
      <c r="H1323" s="14" t="s">
        <v>1683</v>
      </c>
      <c r="I1323" s="26" t="s">
        <v>43</v>
      </c>
      <c r="J1323" s="26"/>
      <c r="K1323" s="19"/>
      <c r="L1323" s="19"/>
      <c r="M1323" s="29" t="s">
        <v>1829</v>
      </c>
      <c r="N1323" s="29"/>
      <c r="O1323" s="17" t="s">
        <v>437</v>
      </c>
      <c r="P1323" s="29" t="s">
        <v>1145</v>
      </c>
      <c r="Q1323" s="16"/>
      <c r="R1323" s="16" t="n">
        <v>251.26</v>
      </c>
      <c r="S1323" s="16" t="n">
        <v>399</v>
      </c>
      <c r="T1323" s="136" t="n">
        <v>2</v>
      </c>
      <c r="U1323" s="1" t="str">
        <f aca="false">D1323&amp;"-"&amp;E1323&amp;"-"&amp;M1323&amp;"-"&amp;O1323&amp;"-"&amp;P1323&amp;"-"&amp;Q1323</f>
        <v>Envie-TANK TOP-3006-Black-M-</v>
      </c>
    </row>
    <row r="1324" customFormat="false" ht="15" hidden="true" customHeight="false" outlineLevel="0" collapsed="false">
      <c r="B1324" s="29" t="s">
        <v>1837</v>
      </c>
      <c r="C1324" s="17" t="s">
        <v>1680</v>
      </c>
      <c r="D1324" s="17" t="s">
        <v>1681</v>
      </c>
      <c r="E1324" s="29" t="s">
        <v>1828</v>
      </c>
      <c r="F1324" s="3" t="s">
        <v>80</v>
      </c>
      <c r="G1324" s="3" t="s">
        <v>689</v>
      </c>
      <c r="H1324" s="14" t="s">
        <v>1683</v>
      </c>
      <c r="I1324" s="26" t="s">
        <v>43</v>
      </c>
      <c r="J1324" s="26"/>
      <c r="K1324" s="19"/>
      <c r="L1324" s="19"/>
      <c r="M1324" s="29" t="s">
        <v>1829</v>
      </c>
      <c r="N1324" s="29"/>
      <c r="O1324" s="29" t="s">
        <v>48</v>
      </c>
      <c r="P1324" s="29" t="s">
        <v>1145</v>
      </c>
      <c r="Q1324" s="16"/>
      <c r="R1324" s="16" t="n">
        <v>251.26</v>
      </c>
      <c r="S1324" s="16" t="n">
        <v>399</v>
      </c>
      <c r="T1324" s="136" t="n">
        <v>2</v>
      </c>
      <c r="U1324" s="1" t="str">
        <f aca="false">D1324&amp;"-"&amp;E1324&amp;"-"&amp;M1324&amp;"-"&amp;O1324&amp;"-"&amp;P1324&amp;"-"&amp;Q1324</f>
        <v>Envie-TANK TOP-3006-Blue-M-</v>
      </c>
    </row>
    <row r="1325" customFormat="false" ht="15" hidden="true" customHeight="false" outlineLevel="0" collapsed="false">
      <c r="B1325" s="17" t="s">
        <v>1838</v>
      </c>
      <c r="C1325" s="17" t="s">
        <v>1680</v>
      </c>
      <c r="D1325" s="17" t="s">
        <v>1681</v>
      </c>
      <c r="E1325" s="29" t="s">
        <v>1828</v>
      </c>
      <c r="F1325" s="3" t="s">
        <v>80</v>
      </c>
      <c r="G1325" s="3" t="s">
        <v>689</v>
      </c>
      <c r="H1325" s="14" t="s">
        <v>1683</v>
      </c>
      <c r="I1325" s="26" t="s">
        <v>43</v>
      </c>
      <c r="J1325" s="26"/>
      <c r="K1325" s="19"/>
      <c r="L1325" s="19"/>
      <c r="M1325" s="29" t="s">
        <v>1829</v>
      </c>
      <c r="N1325" s="17"/>
      <c r="O1325" s="17" t="s">
        <v>437</v>
      </c>
      <c r="P1325" s="17" t="s">
        <v>1142</v>
      </c>
      <c r="Q1325" s="16"/>
      <c r="R1325" s="16" t="n">
        <v>251.26</v>
      </c>
      <c r="S1325" s="16" t="n">
        <v>399</v>
      </c>
      <c r="T1325" s="136" t="n">
        <v>2</v>
      </c>
      <c r="U1325" s="1" t="str">
        <f aca="false">D1325&amp;"-"&amp;E1325&amp;"-"&amp;M1325&amp;"-"&amp;O1325&amp;"-"&amp;P1325&amp;"-"&amp;Q1325</f>
        <v>Envie-TANK TOP-3006-Black-L-</v>
      </c>
    </row>
    <row r="1326" customFormat="false" ht="15" hidden="true" customHeight="false" outlineLevel="0" collapsed="false">
      <c r="B1326" s="29" t="s">
        <v>1839</v>
      </c>
      <c r="C1326" s="17" t="s">
        <v>1680</v>
      </c>
      <c r="D1326" s="17" t="s">
        <v>1681</v>
      </c>
      <c r="E1326" s="29" t="s">
        <v>1828</v>
      </c>
      <c r="F1326" s="3" t="s">
        <v>80</v>
      </c>
      <c r="G1326" s="3" t="s">
        <v>689</v>
      </c>
      <c r="H1326" s="14" t="s">
        <v>1683</v>
      </c>
      <c r="I1326" s="26" t="s">
        <v>43</v>
      </c>
      <c r="J1326" s="26"/>
      <c r="K1326" s="19"/>
      <c r="L1326" s="19"/>
      <c r="M1326" s="29" t="s">
        <v>1829</v>
      </c>
      <c r="N1326" s="29"/>
      <c r="O1326" s="29" t="s">
        <v>89</v>
      </c>
      <c r="P1326" s="29" t="s">
        <v>1142</v>
      </c>
      <c r="Q1326" s="16"/>
      <c r="R1326" s="16" t="n">
        <v>251.26</v>
      </c>
      <c r="S1326" s="16" t="n">
        <v>399</v>
      </c>
      <c r="T1326" s="136" t="n">
        <v>1</v>
      </c>
      <c r="U1326" s="1" t="str">
        <f aca="false">D1326&amp;"-"&amp;E1326&amp;"-"&amp;M1326&amp;"-"&amp;O1326&amp;"-"&amp;P1326&amp;"-"&amp;Q1326</f>
        <v>Envie-TANK TOP-3006-BLUE-L-</v>
      </c>
    </row>
    <row r="1327" customFormat="false" ht="15" hidden="true" customHeight="false" outlineLevel="0" collapsed="false">
      <c r="B1327" s="29" t="s">
        <v>1840</v>
      </c>
      <c r="C1327" s="17" t="s">
        <v>1680</v>
      </c>
      <c r="D1327" s="17" t="s">
        <v>1681</v>
      </c>
      <c r="E1327" s="29" t="s">
        <v>1828</v>
      </c>
      <c r="F1327" s="3" t="s">
        <v>80</v>
      </c>
      <c r="G1327" s="3" t="s">
        <v>689</v>
      </c>
      <c r="H1327" s="14" t="s">
        <v>1683</v>
      </c>
      <c r="I1327" s="26" t="s">
        <v>43</v>
      </c>
      <c r="J1327" s="26"/>
      <c r="K1327" s="19"/>
      <c r="L1327" s="19"/>
      <c r="M1327" s="29" t="s">
        <v>1829</v>
      </c>
      <c r="N1327" s="29"/>
      <c r="O1327" s="29" t="s">
        <v>1841</v>
      </c>
      <c r="P1327" s="29" t="s">
        <v>1142</v>
      </c>
      <c r="Q1327" s="16"/>
      <c r="R1327" s="16" t="n">
        <v>251.26</v>
      </c>
      <c r="S1327" s="16" t="n">
        <v>399</v>
      </c>
      <c r="T1327" s="136" t="n">
        <v>3</v>
      </c>
      <c r="U1327" s="1" t="str">
        <f aca="false">D1327&amp;"-"&amp;E1327&amp;"-"&amp;M1327&amp;"-"&amp;O1327&amp;"-"&amp;P1327&amp;"-"&amp;Q1327</f>
        <v>Envie-TANK TOP-3006-Perple-L-</v>
      </c>
    </row>
    <row r="1328" customFormat="false" ht="15" hidden="true" customHeight="false" outlineLevel="0" collapsed="false">
      <c r="B1328" s="17" t="s">
        <v>1842</v>
      </c>
      <c r="C1328" s="17" t="s">
        <v>1680</v>
      </c>
      <c r="D1328" s="17" t="s">
        <v>1681</v>
      </c>
      <c r="E1328" s="29" t="s">
        <v>1828</v>
      </c>
      <c r="F1328" s="3" t="s">
        <v>80</v>
      </c>
      <c r="G1328" s="3" t="s">
        <v>689</v>
      </c>
      <c r="H1328" s="14" t="s">
        <v>1683</v>
      </c>
      <c r="I1328" s="26" t="s">
        <v>43</v>
      </c>
      <c r="J1328" s="26"/>
      <c r="K1328" s="19"/>
      <c r="L1328" s="19"/>
      <c r="M1328" s="29" t="s">
        <v>1829</v>
      </c>
      <c r="N1328" s="17"/>
      <c r="O1328" s="17" t="s">
        <v>73</v>
      </c>
      <c r="P1328" s="17" t="s">
        <v>1142</v>
      </c>
      <c r="Q1328" s="16"/>
      <c r="R1328" s="16" t="n">
        <v>251.26</v>
      </c>
      <c r="S1328" s="16" t="n">
        <v>399</v>
      </c>
      <c r="T1328" s="136" t="n">
        <v>1</v>
      </c>
      <c r="U1328" s="1" t="str">
        <f aca="false">D1328&amp;"-"&amp;E1328&amp;"-"&amp;M1328&amp;"-"&amp;O1328&amp;"-"&amp;P1328&amp;"-"&amp;Q1328</f>
        <v>Envie-TANK TOP-3006-White-L-</v>
      </c>
    </row>
    <row r="1329" customFormat="false" ht="15" hidden="true" customHeight="false" outlineLevel="0" collapsed="false">
      <c r="B1329" s="29" t="s">
        <v>1843</v>
      </c>
      <c r="C1329" s="17" t="s">
        <v>1680</v>
      </c>
      <c r="D1329" s="17" t="s">
        <v>1681</v>
      </c>
      <c r="E1329" s="29" t="s">
        <v>1828</v>
      </c>
      <c r="F1329" s="3" t="s">
        <v>80</v>
      </c>
      <c r="G1329" s="3" t="s">
        <v>689</v>
      </c>
      <c r="H1329" s="14" t="s">
        <v>1683</v>
      </c>
      <c r="I1329" s="26" t="s">
        <v>43</v>
      </c>
      <c r="J1329" s="26"/>
      <c r="K1329" s="19"/>
      <c r="L1329" s="19"/>
      <c r="M1329" s="29" t="s">
        <v>1829</v>
      </c>
      <c r="N1329" s="29"/>
      <c r="O1329" s="29" t="s">
        <v>1730</v>
      </c>
      <c r="P1329" s="29" t="s">
        <v>1142</v>
      </c>
      <c r="Q1329" s="16"/>
      <c r="R1329" s="16" t="n">
        <v>251.26</v>
      </c>
      <c r="S1329" s="16" t="n">
        <v>399</v>
      </c>
      <c r="T1329" s="136" t="n">
        <v>5</v>
      </c>
      <c r="U1329" s="1" t="str">
        <f aca="false">D1329&amp;"-"&amp;E1329&amp;"-"&amp;M1329&amp;"-"&amp;O1329&amp;"-"&amp;P1329&amp;"-"&amp;Q1329</f>
        <v>Envie-TANK TOP-3006-Woodrose-L-</v>
      </c>
    </row>
    <row r="1330" customFormat="false" ht="15" hidden="true" customHeight="false" outlineLevel="0" collapsed="false">
      <c r="B1330" s="29" t="s">
        <v>1844</v>
      </c>
      <c r="C1330" s="17" t="s">
        <v>1680</v>
      </c>
      <c r="D1330" s="17" t="s">
        <v>1681</v>
      </c>
      <c r="E1330" s="29" t="s">
        <v>1828</v>
      </c>
      <c r="F1330" s="3" t="s">
        <v>80</v>
      </c>
      <c r="G1330" s="3" t="s">
        <v>689</v>
      </c>
      <c r="H1330" s="14" t="s">
        <v>1683</v>
      </c>
      <c r="I1330" s="26" t="s">
        <v>43</v>
      </c>
      <c r="J1330" s="26"/>
      <c r="K1330" s="19"/>
      <c r="L1330" s="19"/>
      <c r="M1330" s="29" t="s">
        <v>1829</v>
      </c>
      <c r="N1330" s="29"/>
      <c r="O1330" s="17" t="s">
        <v>437</v>
      </c>
      <c r="P1330" s="29" t="s">
        <v>1159</v>
      </c>
      <c r="Q1330" s="16"/>
      <c r="R1330" s="16" t="n">
        <v>251.26</v>
      </c>
      <c r="S1330" s="16" t="n">
        <v>399</v>
      </c>
      <c r="T1330" s="136" t="n">
        <v>3</v>
      </c>
      <c r="U1330" s="1" t="str">
        <f aca="false">D1330&amp;"-"&amp;E1330&amp;"-"&amp;M1330&amp;"-"&amp;O1330&amp;"-"&amp;P1330&amp;"-"&amp;Q1330</f>
        <v>Envie-TANK TOP-3006-Black-XL-</v>
      </c>
    </row>
    <row r="1331" customFormat="false" ht="15" hidden="true" customHeight="false" outlineLevel="0" collapsed="false">
      <c r="B1331" s="17" t="s">
        <v>1845</v>
      </c>
      <c r="C1331" s="17" t="s">
        <v>1680</v>
      </c>
      <c r="D1331" s="17" t="s">
        <v>1681</v>
      </c>
      <c r="E1331" s="29" t="s">
        <v>1828</v>
      </c>
      <c r="F1331" s="3" t="s">
        <v>80</v>
      </c>
      <c r="G1331" s="3" t="s">
        <v>689</v>
      </c>
      <c r="H1331" s="14" t="s">
        <v>1683</v>
      </c>
      <c r="I1331" s="26" t="s">
        <v>43</v>
      </c>
      <c r="J1331" s="26"/>
      <c r="K1331" s="19"/>
      <c r="L1331" s="19"/>
      <c r="M1331" s="29" t="s">
        <v>1829</v>
      </c>
      <c r="N1331" s="17"/>
      <c r="O1331" s="17" t="s">
        <v>48</v>
      </c>
      <c r="P1331" s="17" t="s">
        <v>1159</v>
      </c>
      <c r="Q1331" s="16"/>
      <c r="R1331" s="16" t="n">
        <v>251.26</v>
      </c>
      <c r="S1331" s="16" t="n">
        <v>399</v>
      </c>
      <c r="T1331" s="136" t="n">
        <v>0</v>
      </c>
      <c r="U1331" s="1" t="str">
        <f aca="false">D1331&amp;"-"&amp;E1331&amp;"-"&amp;M1331&amp;"-"&amp;O1331&amp;"-"&amp;P1331&amp;"-"&amp;Q1331</f>
        <v>Envie-TANK TOP-3006-Blue-XL-</v>
      </c>
    </row>
    <row r="1332" customFormat="false" ht="15" hidden="true" customHeight="false" outlineLevel="0" collapsed="false">
      <c r="B1332" s="29" t="s">
        <v>1846</v>
      </c>
      <c r="C1332" s="17" t="s">
        <v>1680</v>
      </c>
      <c r="D1332" s="17" t="s">
        <v>1681</v>
      </c>
      <c r="E1332" s="29" t="s">
        <v>1828</v>
      </c>
      <c r="F1332" s="3" t="s">
        <v>80</v>
      </c>
      <c r="G1332" s="3" t="s">
        <v>689</v>
      </c>
      <c r="H1332" s="14" t="s">
        <v>1683</v>
      </c>
      <c r="I1332" s="26" t="s">
        <v>43</v>
      </c>
      <c r="J1332" s="26"/>
      <c r="K1332" s="19"/>
      <c r="L1332" s="19"/>
      <c r="M1332" s="29" t="s">
        <v>1829</v>
      </c>
      <c r="N1332" s="29"/>
      <c r="O1332" s="29" t="s">
        <v>912</v>
      </c>
      <c r="P1332" s="29" t="s">
        <v>1159</v>
      </c>
      <c r="Q1332" s="16"/>
      <c r="R1332" s="16" t="n">
        <v>251.26</v>
      </c>
      <c r="S1332" s="16" t="n">
        <v>399</v>
      </c>
      <c r="T1332" s="136" t="n">
        <v>1</v>
      </c>
      <c r="U1332" s="1" t="str">
        <f aca="false">D1332&amp;"-"&amp;E1332&amp;"-"&amp;M1332&amp;"-"&amp;O1332&amp;"-"&amp;P1332&amp;"-"&amp;Q1332</f>
        <v>Envie-TANK TOP-3006-Purple-XL-</v>
      </c>
    </row>
    <row r="1333" customFormat="false" ht="15" hidden="true" customHeight="false" outlineLevel="0" collapsed="false">
      <c r="B1333" s="17" t="s">
        <v>1847</v>
      </c>
      <c r="C1333" s="17" t="s">
        <v>1680</v>
      </c>
      <c r="D1333" s="17" t="s">
        <v>1681</v>
      </c>
      <c r="E1333" s="29" t="s">
        <v>1828</v>
      </c>
      <c r="F1333" s="3" t="s">
        <v>80</v>
      </c>
      <c r="G1333" s="3" t="s">
        <v>689</v>
      </c>
      <c r="H1333" s="14" t="s">
        <v>1683</v>
      </c>
      <c r="I1333" s="26" t="s">
        <v>43</v>
      </c>
      <c r="J1333" s="26"/>
      <c r="K1333" s="19"/>
      <c r="L1333" s="19"/>
      <c r="M1333" s="29" t="s">
        <v>1829</v>
      </c>
      <c r="N1333" s="17"/>
      <c r="O1333" s="17" t="s">
        <v>73</v>
      </c>
      <c r="P1333" s="17" t="s">
        <v>1159</v>
      </c>
      <c r="Q1333" s="16"/>
      <c r="R1333" s="16" t="n">
        <v>251.26</v>
      </c>
      <c r="S1333" s="16" t="n">
        <v>399</v>
      </c>
      <c r="T1333" s="136" t="n">
        <v>3</v>
      </c>
      <c r="U1333" s="1" t="str">
        <f aca="false">D1333&amp;"-"&amp;E1333&amp;"-"&amp;M1333&amp;"-"&amp;O1333&amp;"-"&amp;P1333&amp;"-"&amp;Q1333</f>
        <v>Envie-TANK TOP-3006-White-XL-</v>
      </c>
    </row>
    <row r="1334" customFormat="false" ht="15" hidden="true" customHeight="false" outlineLevel="0" collapsed="false">
      <c r="B1334" s="29" t="s">
        <v>1848</v>
      </c>
      <c r="C1334" s="17" t="s">
        <v>1680</v>
      </c>
      <c r="D1334" s="17" t="s">
        <v>1681</v>
      </c>
      <c r="E1334" s="29" t="s">
        <v>1828</v>
      </c>
      <c r="F1334" s="3" t="s">
        <v>80</v>
      </c>
      <c r="G1334" s="3" t="s">
        <v>689</v>
      </c>
      <c r="H1334" s="14" t="s">
        <v>1683</v>
      </c>
      <c r="I1334" s="26" t="s">
        <v>43</v>
      </c>
      <c r="J1334" s="26"/>
      <c r="K1334" s="19"/>
      <c r="L1334" s="19"/>
      <c r="M1334" s="29" t="s">
        <v>1829</v>
      </c>
      <c r="N1334" s="29"/>
      <c r="O1334" s="29" t="s">
        <v>1730</v>
      </c>
      <c r="P1334" s="29" t="s">
        <v>1159</v>
      </c>
      <c r="Q1334" s="16"/>
      <c r="R1334" s="16" t="n">
        <v>251.26</v>
      </c>
      <c r="S1334" s="16" t="n">
        <v>399</v>
      </c>
      <c r="T1334" s="136" t="n">
        <v>4</v>
      </c>
      <c r="U1334" s="1" t="str">
        <f aca="false">D1334&amp;"-"&amp;E1334&amp;"-"&amp;M1334&amp;"-"&amp;O1334&amp;"-"&amp;P1334&amp;"-"&amp;Q1334</f>
        <v>Envie-TANK TOP-3006-Woodrose-XL-</v>
      </c>
    </row>
    <row r="1335" customFormat="false" ht="15" hidden="true" customHeight="false" outlineLevel="0" collapsed="false">
      <c r="B1335" s="17" t="s">
        <v>1849</v>
      </c>
      <c r="C1335" s="17" t="s">
        <v>1680</v>
      </c>
      <c r="D1335" s="17" t="s">
        <v>1681</v>
      </c>
      <c r="E1335" s="29" t="s">
        <v>1828</v>
      </c>
      <c r="F1335" s="3" t="s">
        <v>80</v>
      </c>
      <c r="G1335" s="3" t="s">
        <v>689</v>
      </c>
      <c r="H1335" s="14" t="s">
        <v>1683</v>
      </c>
      <c r="I1335" s="26" t="s">
        <v>43</v>
      </c>
      <c r="J1335" s="26"/>
      <c r="K1335" s="19"/>
      <c r="L1335" s="19"/>
      <c r="M1335" s="29" t="s">
        <v>1829</v>
      </c>
      <c r="N1335" s="17"/>
      <c r="O1335" s="17" t="s">
        <v>437</v>
      </c>
      <c r="P1335" s="17" t="s">
        <v>1850</v>
      </c>
      <c r="Q1335" s="16"/>
      <c r="R1335" s="16" t="n">
        <v>251.26</v>
      </c>
      <c r="S1335" s="16" t="n">
        <v>399</v>
      </c>
      <c r="T1335" s="136" t="n">
        <v>6</v>
      </c>
      <c r="U1335" s="1" t="str">
        <f aca="false">D1335&amp;"-"&amp;E1335&amp;"-"&amp;M1335&amp;"-"&amp;O1335&amp;"-"&amp;P1335&amp;"-"&amp;Q1335</f>
        <v>Envie-TANK TOP-3006-Black-XXL-</v>
      </c>
    </row>
    <row r="1336" customFormat="false" ht="15" hidden="true" customHeight="false" outlineLevel="0" collapsed="false">
      <c r="B1336" s="17" t="s">
        <v>1851</v>
      </c>
      <c r="C1336" s="17" t="s">
        <v>1680</v>
      </c>
      <c r="D1336" s="17" t="s">
        <v>1681</v>
      </c>
      <c r="E1336" s="29" t="s">
        <v>1828</v>
      </c>
      <c r="F1336" s="3" t="s">
        <v>80</v>
      </c>
      <c r="G1336" s="3" t="s">
        <v>689</v>
      </c>
      <c r="H1336" s="14" t="s">
        <v>1683</v>
      </c>
      <c r="I1336" s="26" t="s">
        <v>43</v>
      </c>
      <c r="J1336" s="26"/>
      <c r="K1336" s="19"/>
      <c r="L1336" s="19"/>
      <c r="M1336" s="29" t="s">
        <v>1829</v>
      </c>
      <c r="N1336" s="17"/>
      <c r="O1336" s="17" t="s">
        <v>48</v>
      </c>
      <c r="P1336" s="17" t="s">
        <v>1850</v>
      </c>
      <c r="Q1336" s="16"/>
      <c r="R1336" s="16" t="n">
        <v>251.26</v>
      </c>
      <c r="S1336" s="16" t="n">
        <v>399</v>
      </c>
      <c r="T1336" s="136" t="n">
        <v>2</v>
      </c>
      <c r="U1336" s="1" t="str">
        <f aca="false">D1336&amp;"-"&amp;E1336&amp;"-"&amp;M1336&amp;"-"&amp;O1336&amp;"-"&amp;P1336&amp;"-"&amp;Q1336</f>
        <v>Envie-TANK TOP-3006-Blue-XXL-</v>
      </c>
    </row>
    <row r="1337" customFormat="false" ht="15" hidden="true" customHeight="false" outlineLevel="0" collapsed="false">
      <c r="B1337" s="17" t="s">
        <v>1852</v>
      </c>
      <c r="C1337" s="17" t="s">
        <v>1680</v>
      </c>
      <c r="D1337" s="17" t="s">
        <v>1681</v>
      </c>
      <c r="E1337" s="29" t="s">
        <v>1828</v>
      </c>
      <c r="F1337" s="3" t="s">
        <v>80</v>
      </c>
      <c r="G1337" s="3" t="s">
        <v>689</v>
      </c>
      <c r="H1337" s="14" t="s">
        <v>1683</v>
      </c>
      <c r="I1337" s="26" t="s">
        <v>43</v>
      </c>
      <c r="J1337" s="26"/>
      <c r="K1337" s="19"/>
      <c r="L1337" s="19"/>
      <c r="M1337" s="29" t="s">
        <v>1829</v>
      </c>
      <c r="N1337" s="17"/>
      <c r="O1337" s="17" t="s">
        <v>912</v>
      </c>
      <c r="P1337" s="17" t="s">
        <v>1850</v>
      </c>
      <c r="Q1337" s="16"/>
      <c r="R1337" s="16" t="n">
        <v>251.26</v>
      </c>
      <c r="S1337" s="16" t="n">
        <v>399</v>
      </c>
      <c r="T1337" s="136" t="n">
        <v>5</v>
      </c>
      <c r="U1337" s="1" t="str">
        <f aca="false">D1337&amp;"-"&amp;E1337&amp;"-"&amp;M1337&amp;"-"&amp;O1337&amp;"-"&amp;P1337&amp;"-"&amp;Q1337</f>
        <v>Envie-TANK TOP-3006-Purple-XXL-</v>
      </c>
    </row>
    <row r="1338" customFormat="false" ht="15" hidden="true" customHeight="false" outlineLevel="0" collapsed="false">
      <c r="B1338" s="29" t="s">
        <v>1853</v>
      </c>
      <c r="C1338" s="17" t="s">
        <v>1680</v>
      </c>
      <c r="D1338" s="17" t="s">
        <v>1681</v>
      </c>
      <c r="E1338" s="29" t="s">
        <v>1828</v>
      </c>
      <c r="F1338" s="3" t="s">
        <v>80</v>
      </c>
      <c r="G1338" s="3" t="s">
        <v>689</v>
      </c>
      <c r="H1338" s="14" t="s">
        <v>1683</v>
      </c>
      <c r="I1338" s="26" t="s">
        <v>43</v>
      </c>
      <c r="J1338" s="26"/>
      <c r="K1338" s="19"/>
      <c r="L1338" s="19"/>
      <c r="M1338" s="29" t="s">
        <v>1829</v>
      </c>
      <c r="N1338" s="29"/>
      <c r="O1338" s="17" t="s">
        <v>73</v>
      </c>
      <c r="P1338" s="29" t="s">
        <v>1850</v>
      </c>
      <c r="Q1338" s="16"/>
      <c r="R1338" s="16" t="n">
        <v>251.26</v>
      </c>
      <c r="S1338" s="16" t="n">
        <v>399</v>
      </c>
      <c r="T1338" s="136" t="n">
        <v>2</v>
      </c>
      <c r="U1338" s="1" t="str">
        <f aca="false">D1338&amp;"-"&amp;E1338&amp;"-"&amp;M1338&amp;"-"&amp;O1338&amp;"-"&amp;P1338&amp;"-"&amp;Q1338</f>
        <v>Envie-TANK TOP-3006-White-XXL-</v>
      </c>
    </row>
    <row r="1339" customFormat="false" ht="15" hidden="true" customHeight="false" outlineLevel="0" collapsed="false">
      <c r="B1339" s="29" t="s">
        <v>1854</v>
      </c>
      <c r="C1339" s="17" t="s">
        <v>1680</v>
      </c>
      <c r="D1339" s="17" t="s">
        <v>1681</v>
      </c>
      <c r="E1339" s="29" t="s">
        <v>1828</v>
      </c>
      <c r="F1339" s="3" t="s">
        <v>80</v>
      </c>
      <c r="G1339" s="3" t="s">
        <v>689</v>
      </c>
      <c r="H1339" s="14" t="s">
        <v>1683</v>
      </c>
      <c r="I1339" s="26" t="s">
        <v>43</v>
      </c>
      <c r="J1339" s="26"/>
      <c r="K1339" s="19"/>
      <c r="L1339" s="19"/>
      <c r="M1339" s="29" t="s">
        <v>1829</v>
      </c>
      <c r="N1339" s="29"/>
      <c r="O1339" s="29" t="s">
        <v>1730</v>
      </c>
      <c r="P1339" s="29" t="s">
        <v>1850</v>
      </c>
      <c r="Q1339" s="16"/>
      <c r="R1339" s="16" t="n">
        <v>251.26</v>
      </c>
      <c r="S1339" s="16" t="n">
        <v>399</v>
      </c>
      <c r="T1339" s="136" t="n">
        <v>5</v>
      </c>
      <c r="U1339" s="1" t="str">
        <f aca="false">D1339&amp;"-"&amp;E1339&amp;"-"&amp;M1339&amp;"-"&amp;O1339&amp;"-"&amp;P1339&amp;"-"&amp;Q1339</f>
        <v>Envie-TANK TOP-3006-Woodrose-XXL-</v>
      </c>
    </row>
    <row r="1340" customFormat="false" ht="15" hidden="true" customHeight="false" outlineLevel="0" collapsed="false">
      <c r="B1340" s="29" t="s">
        <v>1855</v>
      </c>
      <c r="C1340" s="29" t="s">
        <v>1856</v>
      </c>
      <c r="D1340" s="29" t="s">
        <v>1857</v>
      </c>
      <c r="E1340" s="29" t="s">
        <v>1858</v>
      </c>
      <c r="F1340" s="26" t="s">
        <v>1089</v>
      </c>
      <c r="G1340" s="143" t="s">
        <v>573</v>
      </c>
      <c r="H1340" s="143" t="s">
        <v>1424</v>
      </c>
      <c r="I1340" s="26" t="s">
        <v>43</v>
      </c>
      <c r="J1340" s="26"/>
      <c r="K1340" s="19"/>
      <c r="L1340" s="19"/>
      <c r="M1340" s="29" t="s">
        <v>1859</v>
      </c>
      <c r="N1340" s="17"/>
      <c r="O1340" s="29" t="s">
        <v>89</v>
      </c>
      <c r="P1340" s="17" t="s">
        <v>92</v>
      </c>
      <c r="Q1340" s="29" t="s">
        <v>592</v>
      </c>
      <c r="R1340" s="16" t="n">
        <v>1194.64</v>
      </c>
      <c r="S1340" s="16" t="n">
        <v>1849</v>
      </c>
      <c r="T1340" s="16" t="n">
        <v>2</v>
      </c>
      <c r="U1340" s="1" t="str">
        <f aca="false">D1340&amp;"-"&amp;E1340&amp;"-"&amp;M1340&amp;"-"&amp;O1340&amp;"-"&amp;P1340&amp;"-"&amp;Q1340</f>
        <v>ENAMOR-F0-91 PLUNGE PUSH-UP PADDED WIERD COVERAGE-FO-91-BLUE-32-B</v>
      </c>
    </row>
    <row r="1341" customFormat="false" ht="15" hidden="true" customHeight="false" outlineLevel="0" collapsed="false">
      <c r="B1341" s="17" t="s">
        <v>1860</v>
      </c>
      <c r="C1341" s="29" t="s">
        <v>1856</v>
      </c>
      <c r="D1341" s="29" t="s">
        <v>1857</v>
      </c>
      <c r="E1341" s="29" t="s">
        <v>1858</v>
      </c>
      <c r="F1341" s="26" t="s">
        <v>1089</v>
      </c>
      <c r="G1341" s="143" t="s">
        <v>573</v>
      </c>
      <c r="H1341" s="143" t="s">
        <v>1424</v>
      </c>
      <c r="I1341" s="26" t="s">
        <v>43</v>
      </c>
      <c r="J1341" s="26"/>
      <c r="K1341" s="19"/>
      <c r="L1341" s="19"/>
      <c r="M1341" s="29" t="s">
        <v>1859</v>
      </c>
      <c r="N1341" s="17"/>
      <c r="O1341" s="17" t="s">
        <v>607</v>
      </c>
      <c r="P1341" s="17" t="s">
        <v>92</v>
      </c>
      <c r="Q1341" s="17" t="s">
        <v>592</v>
      </c>
      <c r="R1341" s="16" t="n">
        <v>1194.64</v>
      </c>
      <c r="S1341" s="16" t="n">
        <v>1849</v>
      </c>
      <c r="T1341" s="16" t="n">
        <v>1</v>
      </c>
      <c r="U1341" s="1" t="str">
        <f aca="false">D1341&amp;"-"&amp;E1341&amp;"-"&amp;M1341&amp;"-"&amp;O1341&amp;"-"&amp;P1341&amp;"-"&amp;Q1341</f>
        <v>ENAMOR-F0-91 PLUNGE PUSH-UP PADDED WIERD COVERAGE-FO-91-MAROON-32-B</v>
      </c>
    </row>
    <row r="1342" customFormat="false" ht="15" hidden="true" customHeight="false" outlineLevel="0" collapsed="false">
      <c r="B1342" s="17" t="s">
        <v>1861</v>
      </c>
      <c r="C1342" s="29" t="s">
        <v>1856</v>
      </c>
      <c r="D1342" s="29" t="s">
        <v>1857</v>
      </c>
      <c r="E1342" s="29" t="s">
        <v>1858</v>
      </c>
      <c r="F1342" s="26" t="s">
        <v>1089</v>
      </c>
      <c r="G1342" s="143" t="s">
        <v>573</v>
      </c>
      <c r="H1342" s="143" t="s">
        <v>1424</v>
      </c>
      <c r="I1342" s="26" t="s">
        <v>43</v>
      </c>
      <c r="J1342" s="26"/>
      <c r="K1342" s="19"/>
      <c r="L1342" s="19"/>
      <c r="M1342" s="29" t="s">
        <v>1859</v>
      </c>
      <c r="N1342" s="17"/>
      <c r="O1342" s="29" t="s">
        <v>89</v>
      </c>
      <c r="P1342" s="17" t="s">
        <v>92</v>
      </c>
      <c r="Q1342" s="17" t="s">
        <v>595</v>
      </c>
      <c r="R1342" s="16" t="n">
        <v>1194.64</v>
      </c>
      <c r="S1342" s="16" t="n">
        <v>1849</v>
      </c>
      <c r="T1342" s="16" t="n">
        <v>2</v>
      </c>
      <c r="U1342" s="1" t="str">
        <f aca="false">D1342&amp;"-"&amp;E1342&amp;"-"&amp;M1342&amp;"-"&amp;O1342&amp;"-"&amp;P1342&amp;"-"&amp;Q1342</f>
        <v>ENAMOR-F0-91 PLUNGE PUSH-UP PADDED WIERD COVERAGE-FO-91-BLUE-32-C</v>
      </c>
    </row>
    <row r="1343" customFormat="false" ht="15" hidden="true" customHeight="false" outlineLevel="0" collapsed="false">
      <c r="B1343" s="29" t="s">
        <v>1862</v>
      </c>
      <c r="C1343" s="29" t="s">
        <v>1856</v>
      </c>
      <c r="D1343" s="29" t="s">
        <v>1857</v>
      </c>
      <c r="E1343" s="29" t="s">
        <v>1858</v>
      </c>
      <c r="F1343" s="26" t="s">
        <v>1089</v>
      </c>
      <c r="G1343" s="143" t="s">
        <v>573</v>
      </c>
      <c r="H1343" s="143" t="s">
        <v>1424</v>
      </c>
      <c r="I1343" s="26" t="s">
        <v>43</v>
      </c>
      <c r="J1343" s="26"/>
      <c r="K1343" s="19"/>
      <c r="L1343" s="19"/>
      <c r="M1343" s="29" t="s">
        <v>1859</v>
      </c>
      <c r="N1343" s="29"/>
      <c r="O1343" s="17" t="s">
        <v>607</v>
      </c>
      <c r="P1343" s="17" t="s">
        <v>92</v>
      </c>
      <c r="Q1343" s="29" t="s">
        <v>595</v>
      </c>
      <c r="R1343" s="16" t="n">
        <v>1194.64</v>
      </c>
      <c r="S1343" s="16" t="n">
        <v>1849</v>
      </c>
      <c r="T1343" s="16" t="n">
        <v>2</v>
      </c>
      <c r="U1343" s="1" t="str">
        <f aca="false">D1343&amp;"-"&amp;E1343&amp;"-"&amp;M1343&amp;"-"&amp;O1343&amp;"-"&amp;P1343&amp;"-"&amp;Q1343</f>
        <v>ENAMOR-F0-91 PLUNGE PUSH-UP PADDED WIERD COVERAGE-FO-91-MAROON-32-C</v>
      </c>
    </row>
    <row r="1344" customFormat="false" ht="15" hidden="true" customHeight="false" outlineLevel="0" collapsed="false">
      <c r="B1344" s="29" t="s">
        <v>1863</v>
      </c>
      <c r="C1344" s="29" t="s">
        <v>1856</v>
      </c>
      <c r="D1344" s="29" t="s">
        <v>1857</v>
      </c>
      <c r="E1344" s="29" t="s">
        <v>1858</v>
      </c>
      <c r="F1344" s="26" t="s">
        <v>1089</v>
      </c>
      <c r="G1344" s="143" t="s">
        <v>573</v>
      </c>
      <c r="H1344" s="143" t="s">
        <v>1424</v>
      </c>
      <c r="I1344" s="26" t="s">
        <v>43</v>
      </c>
      <c r="J1344" s="26"/>
      <c r="K1344" s="19"/>
      <c r="L1344" s="19"/>
      <c r="M1344" s="29" t="s">
        <v>1859</v>
      </c>
      <c r="N1344" s="29"/>
      <c r="O1344" s="29" t="s">
        <v>104</v>
      </c>
      <c r="P1344" s="17" t="s">
        <v>92</v>
      </c>
      <c r="Q1344" s="29" t="s">
        <v>595</v>
      </c>
      <c r="R1344" s="16" t="n">
        <v>1194.64</v>
      </c>
      <c r="S1344" s="16" t="n">
        <v>1849</v>
      </c>
      <c r="T1344" s="16" t="n">
        <v>1</v>
      </c>
      <c r="U1344" s="1" t="str">
        <f aca="false">D1344&amp;"-"&amp;E1344&amp;"-"&amp;M1344&amp;"-"&amp;O1344&amp;"-"&amp;P1344&amp;"-"&amp;Q1344</f>
        <v>ENAMOR-F0-91 PLUNGE PUSH-UP PADDED WIERD COVERAGE-FO-91-Light Pink-32-C</v>
      </c>
    </row>
    <row r="1345" customFormat="false" ht="15" hidden="true" customHeight="false" outlineLevel="0" collapsed="false">
      <c r="B1345" s="29" t="s">
        <v>1864</v>
      </c>
      <c r="C1345" s="29" t="s">
        <v>1856</v>
      </c>
      <c r="D1345" s="29" t="s">
        <v>1857</v>
      </c>
      <c r="E1345" s="29" t="s">
        <v>1858</v>
      </c>
      <c r="F1345" s="26" t="s">
        <v>1089</v>
      </c>
      <c r="G1345" s="143" t="s">
        <v>573</v>
      </c>
      <c r="H1345" s="143" t="s">
        <v>1424</v>
      </c>
      <c r="I1345" s="26" t="s">
        <v>43</v>
      </c>
      <c r="J1345" s="26"/>
      <c r="K1345" s="19"/>
      <c r="L1345" s="19"/>
      <c r="M1345" s="29" t="s">
        <v>1859</v>
      </c>
      <c r="N1345" s="29"/>
      <c r="O1345" s="29" t="s">
        <v>104</v>
      </c>
      <c r="P1345" s="17" t="s">
        <v>92</v>
      </c>
      <c r="Q1345" s="29" t="s">
        <v>97</v>
      </c>
      <c r="R1345" s="16" t="n">
        <v>1194.64</v>
      </c>
      <c r="S1345" s="16" t="n">
        <v>1849</v>
      </c>
      <c r="T1345" s="16" t="n">
        <v>2</v>
      </c>
      <c r="U1345" s="1" t="str">
        <f aca="false">D1345&amp;"-"&amp;E1345&amp;"-"&amp;M1345&amp;"-"&amp;O1345&amp;"-"&amp;P1345&amp;"-"&amp;Q1345</f>
        <v>ENAMOR-F0-91 PLUNGE PUSH-UP PADDED WIERD COVERAGE-FO-91-Light Pink-32-D</v>
      </c>
    </row>
    <row r="1346" customFormat="false" ht="15" hidden="true" customHeight="false" outlineLevel="0" collapsed="false">
      <c r="B1346" s="17" t="s">
        <v>1865</v>
      </c>
      <c r="C1346" s="29" t="s">
        <v>1856</v>
      </c>
      <c r="D1346" s="29" t="s">
        <v>1857</v>
      </c>
      <c r="E1346" s="29" t="s">
        <v>1858</v>
      </c>
      <c r="F1346" s="26" t="s">
        <v>1089</v>
      </c>
      <c r="G1346" s="143" t="s">
        <v>573</v>
      </c>
      <c r="H1346" s="143" t="s">
        <v>1424</v>
      </c>
      <c r="I1346" s="26" t="s">
        <v>43</v>
      </c>
      <c r="J1346" s="26"/>
      <c r="K1346" s="19"/>
      <c r="L1346" s="19"/>
      <c r="M1346" s="29" t="s">
        <v>1859</v>
      </c>
      <c r="N1346" s="17"/>
      <c r="O1346" s="29" t="s">
        <v>89</v>
      </c>
      <c r="P1346" s="17" t="s">
        <v>92</v>
      </c>
      <c r="Q1346" s="17" t="s">
        <v>97</v>
      </c>
      <c r="R1346" s="16" t="n">
        <v>1194.64</v>
      </c>
      <c r="S1346" s="16" t="n">
        <v>1849</v>
      </c>
      <c r="T1346" s="16" t="n">
        <v>2</v>
      </c>
      <c r="U1346" s="1" t="str">
        <f aca="false">D1346&amp;"-"&amp;E1346&amp;"-"&amp;M1346&amp;"-"&amp;O1346&amp;"-"&amp;P1346&amp;"-"&amp;Q1346</f>
        <v>ENAMOR-F0-91 PLUNGE PUSH-UP PADDED WIERD COVERAGE-FO-91-BLUE-32-D</v>
      </c>
    </row>
    <row r="1347" customFormat="false" ht="15" hidden="true" customHeight="false" outlineLevel="0" collapsed="false">
      <c r="B1347" s="29" t="s">
        <v>1866</v>
      </c>
      <c r="C1347" s="29" t="s">
        <v>1856</v>
      </c>
      <c r="D1347" s="29" t="s">
        <v>1857</v>
      </c>
      <c r="E1347" s="29" t="s">
        <v>1858</v>
      </c>
      <c r="F1347" s="26" t="s">
        <v>1089</v>
      </c>
      <c r="G1347" s="143" t="s">
        <v>573</v>
      </c>
      <c r="H1347" s="143" t="s">
        <v>1424</v>
      </c>
      <c r="I1347" s="26" t="s">
        <v>43</v>
      </c>
      <c r="J1347" s="26"/>
      <c r="K1347" s="19"/>
      <c r="L1347" s="19"/>
      <c r="M1347" s="29" t="s">
        <v>1859</v>
      </c>
      <c r="N1347" s="29"/>
      <c r="O1347" s="17" t="s">
        <v>607</v>
      </c>
      <c r="P1347" s="17" t="s">
        <v>92</v>
      </c>
      <c r="Q1347" s="29" t="s">
        <v>97</v>
      </c>
      <c r="R1347" s="16" t="n">
        <v>1194.64</v>
      </c>
      <c r="S1347" s="16" t="n">
        <v>1849</v>
      </c>
      <c r="T1347" s="16" t="n">
        <v>1</v>
      </c>
      <c r="U1347" s="1" t="str">
        <f aca="false">D1347&amp;"-"&amp;E1347&amp;"-"&amp;M1347&amp;"-"&amp;O1347&amp;"-"&amp;P1347&amp;"-"&amp;Q1347</f>
        <v>ENAMOR-F0-91 PLUNGE PUSH-UP PADDED WIERD COVERAGE-FO-91-MAROON-32-D</v>
      </c>
    </row>
    <row r="1348" customFormat="false" ht="15" hidden="true" customHeight="false" outlineLevel="0" collapsed="false">
      <c r="B1348" s="29" t="s">
        <v>1867</v>
      </c>
      <c r="C1348" s="29" t="s">
        <v>1856</v>
      </c>
      <c r="D1348" s="29" t="s">
        <v>1857</v>
      </c>
      <c r="E1348" s="29" t="s">
        <v>1858</v>
      </c>
      <c r="F1348" s="26" t="s">
        <v>1089</v>
      </c>
      <c r="G1348" s="143" t="s">
        <v>573</v>
      </c>
      <c r="H1348" s="143" t="s">
        <v>1424</v>
      </c>
      <c r="I1348" s="26" t="s">
        <v>43</v>
      </c>
      <c r="J1348" s="26"/>
      <c r="K1348" s="19"/>
      <c r="L1348" s="19"/>
      <c r="M1348" s="29" t="s">
        <v>1859</v>
      </c>
      <c r="N1348" s="29"/>
      <c r="O1348" s="17" t="s">
        <v>607</v>
      </c>
      <c r="P1348" s="29" t="s">
        <v>134</v>
      </c>
      <c r="Q1348" s="29" t="s">
        <v>592</v>
      </c>
      <c r="R1348" s="16" t="n">
        <v>1194.64</v>
      </c>
      <c r="S1348" s="16" t="n">
        <v>1849</v>
      </c>
      <c r="T1348" s="16" t="n">
        <v>1</v>
      </c>
      <c r="U1348" s="1" t="str">
        <f aca="false">D1348&amp;"-"&amp;E1348&amp;"-"&amp;M1348&amp;"-"&amp;O1348&amp;"-"&amp;P1348&amp;"-"&amp;Q1348</f>
        <v>ENAMOR-F0-91 PLUNGE PUSH-UP PADDED WIERD COVERAGE-FO-91-MAROON-34-B</v>
      </c>
    </row>
    <row r="1349" customFormat="false" ht="15" hidden="true" customHeight="false" outlineLevel="0" collapsed="false">
      <c r="B1349" s="17" t="s">
        <v>1868</v>
      </c>
      <c r="C1349" s="29" t="s">
        <v>1856</v>
      </c>
      <c r="D1349" s="29" t="s">
        <v>1857</v>
      </c>
      <c r="E1349" s="29" t="s">
        <v>1858</v>
      </c>
      <c r="F1349" s="26" t="s">
        <v>1089</v>
      </c>
      <c r="G1349" s="143" t="s">
        <v>573</v>
      </c>
      <c r="H1349" s="143" t="s">
        <v>1424</v>
      </c>
      <c r="I1349" s="26" t="s">
        <v>43</v>
      </c>
      <c r="J1349" s="26"/>
      <c r="K1349" s="19"/>
      <c r="L1349" s="19"/>
      <c r="M1349" s="29" t="s">
        <v>1859</v>
      </c>
      <c r="N1349" s="17"/>
      <c r="O1349" s="29" t="s">
        <v>89</v>
      </c>
      <c r="P1349" s="17" t="s">
        <v>134</v>
      </c>
      <c r="Q1349" s="17" t="s">
        <v>592</v>
      </c>
      <c r="R1349" s="16" t="n">
        <v>1194.64</v>
      </c>
      <c r="S1349" s="16" t="n">
        <v>1849</v>
      </c>
      <c r="T1349" s="16" t="n">
        <v>2</v>
      </c>
      <c r="U1349" s="1" t="str">
        <f aca="false">D1349&amp;"-"&amp;E1349&amp;"-"&amp;M1349&amp;"-"&amp;O1349&amp;"-"&amp;P1349&amp;"-"&amp;Q1349</f>
        <v>ENAMOR-F0-91 PLUNGE PUSH-UP PADDED WIERD COVERAGE-FO-91-BLUE-34-B</v>
      </c>
    </row>
    <row r="1350" customFormat="false" ht="15" hidden="true" customHeight="false" outlineLevel="0" collapsed="false">
      <c r="B1350" s="29" t="s">
        <v>1869</v>
      </c>
      <c r="C1350" s="29" t="s">
        <v>1856</v>
      </c>
      <c r="D1350" s="29" t="s">
        <v>1857</v>
      </c>
      <c r="E1350" s="29" t="s">
        <v>1858</v>
      </c>
      <c r="F1350" s="26" t="s">
        <v>1089</v>
      </c>
      <c r="G1350" s="143" t="s">
        <v>573</v>
      </c>
      <c r="H1350" s="143" t="s">
        <v>1424</v>
      </c>
      <c r="I1350" s="26" t="s">
        <v>43</v>
      </c>
      <c r="J1350" s="26"/>
      <c r="K1350" s="19"/>
      <c r="L1350" s="19"/>
      <c r="M1350" s="29" t="s">
        <v>1859</v>
      </c>
      <c r="N1350" s="29"/>
      <c r="O1350" s="29" t="s">
        <v>104</v>
      </c>
      <c r="P1350" s="29" t="s">
        <v>134</v>
      </c>
      <c r="Q1350" s="29" t="s">
        <v>592</v>
      </c>
      <c r="R1350" s="16" t="n">
        <v>1194.64</v>
      </c>
      <c r="S1350" s="16" t="n">
        <v>1849</v>
      </c>
      <c r="T1350" s="16" t="n">
        <v>1</v>
      </c>
      <c r="U1350" s="1" t="str">
        <f aca="false">D1350&amp;"-"&amp;E1350&amp;"-"&amp;M1350&amp;"-"&amp;O1350&amp;"-"&amp;P1350&amp;"-"&amp;Q1350</f>
        <v>ENAMOR-F0-91 PLUNGE PUSH-UP PADDED WIERD COVERAGE-FO-91-Light Pink-34-B</v>
      </c>
    </row>
    <row r="1351" customFormat="false" ht="15" hidden="true" customHeight="false" outlineLevel="0" collapsed="false">
      <c r="B1351" s="29" t="s">
        <v>1870</v>
      </c>
      <c r="C1351" s="29" t="s">
        <v>1856</v>
      </c>
      <c r="D1351" s="29" t="s">
        <v>1857</v>
      </c>
      <c r="E1351" s="29" t="s">
        <v>1858</v>
      </c>
      <c r="F1351" s="26" t="s">
        <v>1089</v>
      </c>
      <c r="G1351" s="143" t="s">
        <v>573</v>
      </c>
      <c r="H1351" s="143" t="s">
        <v>1424</v>
      </c>
      <c r="I1351" s="26" t="s">
        <v>43</v>
      </c>
      <c r="J1351" s="26"/>
      <c r="K1351" s="19"/>
      <c r="L1351" s="19"/>
      <c r="M1351" s="29" t="s">
        <v>1859</v>
      </c>
      <c r="N1351" s="29"/>
      <c r="O1351" s="29" t="s">
        <v>104</v>
      </c>
      <c r="P1351" s="29" t="s">
        <v>134</v>
      </c>
      <c r="Q1351" s="29" t="s">
        <v>595</v>
      </c>
      <c r="R1351" s="16" t="n">
        <v>1194.64</v>
      </c>
      <c r="S1351" s="16" t="n">
        <v>1849</v>
      </c>
      <c r="T1351" s="16" t="n">
        <v>2</v>
      </c>
      <c r="U1351" s="1" t="str">
        <f aca="false">D1351&amp;"-"&amp;E1351&amp;"-"&amp;M1351&amp;"-"&amp;O1351&amp;"-"&amp;P1351&amp;"-"&amp;Q1351</f>
        <v>ENAMOR-F0-91 PLUNGE PUSH-UP PADDED WIERD COVERAGE-FO-91-Light Pink-34-C</v>
      </c>
    </row>
    <row r="1352" customFormat="false" ht="15" hidden="true" customHeight="false" outlineLevel="0" collapsed="false">
      <c r="B1352" s="29" t="s">
        <v>1871</v>
      </c>
      <c r="C1352" s="29" t="s">
        <v>1856</v>
      </c>
      <c r="D1352" s="29" t="s">
        <v>1857</v>
      </c>
      <c r="E1352" s="29" t="s">
        <v>1858</v>
      </c>
      <c r="F1352" s="26" t="s">
        <v>1089</v>
      </c>
      <c r="G1352" s="143" t="s">
        <v>573</v>
      </c>
      <c r="H1352" s="143" t="s">
        <v>1424</v>
      </c>
      <c r="I1352" s="26" t="s">
        <v>43</v>
      </c>
      <c r="J1352" s="26"/>
      <c r="K1352" s="19"/>
      <c r="L1352" s="19"/>
      <c r="M1352" s="29" t="s">
        <v>1859</v>
      </c>
      <c r="N1352" s="29"/>
      <c r="O1352" s="29" t="s">
        <v>89</v>
      </c>
      <c r="P1352" s="29" t="s">
        <v>134</v>
      </c>
      <c r="Q1352" s="29" t="s">
        <v>595</v>
      </c>
      <c r="R1352" s="16" t="n">
        <v>1194.64</v>
      </c>
      <c r="S1352" s="16" t="n">
        <v>1849</v>
      </c>
      <c r="T1352" s="16" t="n">
        <v>1</v>
      </c>
      <c r="U1352" s="1" t="str">
        <f aca="false">D1352&amp;"-"&amp;E1352&amp;"-"&amp;M1352&amp;"-"&amp;O1352&amp;"-"&amp;P1352&amp;"-"&amp;Q1352</f>
        <v>ENAMOR-F0-91 PLUNGE PUSH-UP PADDED WIERD COVERAGE-FO-91-BLUE-34-C</v>
      </c>
    </row>
    <row r="1353" customFormat="false" ht="15" hidden="true" customHeight="false" outlineLevel="0" collapsed="false">
      <c r="B1353" s="17" t="s">
        <v>1872</v>
      </c>
      <c r="C1353" s="29" t="s">
        <v>1856</v>
      </c>
      <c r="D1353" s="29" t="s">
        <v>1857</v>
      </c>
      <c r="E1353" s="29" t="s">
        <v>1858</v>
      </c>
      <c r="F1353" s="26" t="s">
        <v>1089</v>
      </c>
      <c r="G1353" s="143" t="s">
        <v>573</v>
      </c>
      <c r="H1353" s="143" t="s">
        <v>1424</v>
      </c>
      <c r="I1353" s="26" t="s">
        <v>43</v>
      </c>
      <c r="J1353" s="26"/>
      <c r="K1353" s="19"/>
      <c r="L1353" s="19"/>
      <c r="M1353" s="29" t="s">
        <v>1859</v>
      </c>
      <c r="N1353" s="17"/>
      <c r="O1353" s="17" t="s">
        <v>607</v>
      </c>
      <c r="P1353" s="17" t="s">
        <v>134</v>
      </c>
      <c r="Q1353" s="17" t="s">
        <v>595</v>
      </c>
      <c r="R1353" s="16" t="n">
        <v>1194.64</v>
      </c>
      <c r="S1353" s="16" t="n">
        <v>1849</v>
      </c>
      <c r="T1353" s="16" t="n">
        <v>1</v>
      </c>
      <c r="U1353" s="1" t="str">
        <f aca="false">D1353&amp;"-"&amp;E1353&amp;"-"&amp;M1353&amp;"-"&amp;O1353&amp;"-"&amp;P1353&amp;"-"&amp;Q1353</f>
        <v>ENAMOR-F0-91 PLUNGE PUSH-UP PADDED WIERD COVERAGE-FO-91-MAROON-34-C</v>
      </c>
    </row>
    <row r="1354" customFormat="false" ht="15" hidden="true" customHeight="false" outlineLevel="0" collapsed="false">
      <c r="B1354" s="17" t="s">
        <v>1873</v>
      </c>
      <c r="C1354" s="29" t="s">
        <v>1856</v>
      </c>
      <c r="D1354" s="29" t="s">
        <v>1857</v>
      </c>
      <c r="E1354" s="29" t="s">
        <v>1858</v>
      </c>
      <c r="F1354" s="26" t="s">
        <v>1089</v>
      </c>
      <c r="G1354" s="143" t="s">
        <v>573</v>
      </c>
      <c r="H1354" s="143" t="s">
        <v>1424</v>
      </c>
      <c r="I1354" s="26" t="s">
        <v>43</v>
      </c>
      <c r="J1354" s="26"/>
      <c r="K1354" s="19"/>
      <c r="L1354" s="19"/>
      <c r="M1354" s="29" t="s">
        <v>1859</v>
      </c>
      <c r="N1354" s="17"/>
      <c r="O1354" s="29" t="s">
        <v>89</v>
      </c>
      <c r="P1354" s="17" t="s">
        <v>134</v>
      </c>
      <c r="Q1354" s="17" t="s">
        <v>97</v>
      </c>
      <c r="R1354" s="16" t="n">
        <v>1194.64</v>
      </c>
      <c r="S1354" s="16" t="n">
        <v>1849</v>
      </c>
      <c r="T1354" s="16" t="n">
        <v>1</v>
      </c>
      <c r="U1354" s="1" t="str">
        <f aca="false">D1354&amp;"-"&amp;E1354&amp;"-"&amp;M1354&amp;"-"&amp;O1354&amp;"-"&amp;P1354&amp;"-"&amp;Q1354</f>
        <v>ENAMOR-F0-91 PLUNGE PUSH-UP PADDED WIERD COVERAGE-FO-91-BLUE-34-D</v>
      </c>
    </row>
    <row r="1355" customFormat="false" ht="15" hidden="true" customHeight="false" outlineLevel="0" collapsed="false">
      <c r="B1355" s="31" t="n">
        <v>8902625583376</v>
      </c>
      <c r="C1355" s="29" t="s">
        <v>1856</v>
      </c>
      <c r="D1355" s="29" t="s">
        <v>1857</v>
      </c>
      <c r="E1355" s="29" t="s">
        <v>1858</v>
      </c>
      <c r="F1355" s="26" t="s">
        <v>1089</v>
      </c>
      <c r="G1355" s="143" t="s">
        <v>573</v>
      </c>
      <c r="H1355" s="143" t="s">
        <v>1424</v>
      </c>
      <c r="I1355" s="26" t="s">
        <v>43</v>
      </c>
      <c r="J1355" s="26"/>
      <c r="K1355" s="28"/>
      <c r="L1355" s="19"/>
      <c r="M1355" s="29" t="s">
        <v>1859</v>
      </c>
      <c r="N1355" s="17"/>
      <c r="O1355" s="29" t="s">
        <v>607</v>
      </c>
      <c r="P1355" s="17" t="s">
        <v>134</v>
      </c>
      <c r="Q1355" s="17" t="s">
        <v>97</v>
      </c>
      <c r="R1355" s="16" t="n">
        <v>1194.64</v>
      </c>
      <c r="S1355" s="16" t="n">
        <v>1849</v>
      </c>
      <c r="T1355" s="16" t="n">
        <v>2</v>
      </c>
      <c r="U1355" s="1" t="str">
        <f aca="false">D1355&amp;"-"&amp;E1355&amp;"-"&amp;M1355&amp;"-"&amp;O1355&amp;"-"&amp;P1355&amp;"-"&amp;Q1355</f>
        <v>ENAMOR-F0-91 PLUNGE PUSH-UP PADDED WIERD COVERAGE-FO-91-MAROON-34-D</v>
      </c>
    </row>
    <row r="1356" customFormat="false" ht="15" hidden="true" customHeight="false" outlineLevel="0" collapsed="false">
      <c r="B1356" s="31" t="n">
        <v>8902625828033</v>
      </c>
      <c r="C1356" s="29" t="s">
        <v>1856</v>
      </c>
      <c r="D1356" s="29" t="s">
        <v>1857</v>
      </c>
      <c r="E1356" s="29" t="s">
        <v>1858</v>
      </c>
      <c r="F1356" s="26" t="s">
        <v>1089</v>
      </c>
      <c r="G1356" s="143" t="s">
        <v>573</v>
      </c>
      <c r="H1356" s="143" t="s">
        <v>1424</v>
      </c>
      <c r="I1356" s="26" t="s">
        <v>43</v>
      </c>
      <c r="J1356" s="26"/>
      <c r="K1356" s="28"/>
      <c r="L1356" s="19"/>
      <c r="M1356" s="29" t="s">
        <v>1859</v>
      </c>
      <c r="N1356" s="17"/>
      <c r="O1356" s="29" t="s">
        <v>104</v>
      </c>
      <c r="P1356" s="17" t="s">
        <v>134</v>
      </c>
      <c r="Q1356" s="17" t="s">
        <v>97</v>
      </c>
      <c r="R1356" s="16" t="n">
        <v>1194.64</v>
      </c>
      <c r="S1356" s="16" t="n">
        <v>1849</v>
      </c>
      <c r="T1356" s="16" t="n">
        <v>1</v>
      </c>
      <c r="U1356" s="1" t="str">
        <f aca="false">D1356&amp;"-"&amp;E1356&amp;"-"&amp;M1356&amp;"-"&amp;O1356&amp;"-"&amp;P1356&amp;"-"&amp;Q1356</f>
        <v>ENAMOR-F0-91 PLUNGE PUSH-UP PADDED WIERD COVERAGE-FO-91-Light Pink-34-D</v>
      </c>
    </row>
    <row r="1357" customFormat="false" ht="15" hidden="true" customHeight="false" outlineLevel="0" collapsed="false">
      <c r="B1357" s="29" t="s">
        <v>1874</v>
      </c>
      <c r="C1357" s="29" t="s">
        <v>1856</v>
      </c>
      <c r="D1357" s="29" t="s">
        <v>1857</v>
      </c>
      <c r="E1357" s="29" t="s">
        <v>1858</v>
      </c>
      <c r="F1357" s="26" t="s">
        <v>1089</v>
      </c>
      <c r="G1357" s="143" t="s">
        <v>573</v>
      </c>
      <c r="H1357" s="143" t="s">
        <v>1424</v>
      </c>
      <c r="I1357" s="26" t="s">
        <v>43</v>
      </c>
      <c r="J1357" s="26"/>
      <c r="K1357" s="19"/>
      <c r="L1357" s="19"/>
      <c r="M1357" s="29" t="s">
        <v>1859</v>
      </c>
      <c r="N1357" s="29"/>
      <c r="O1357" s="29" t="s">
        <v>104</v>
      </c>
      <c r="P1357" s="29" t="s">
        <v>65</v>
      </c>
      <c r="Q1357" s="29" t="s">
        <v>595</v>
      </c>
      <c r="R1357" s="16" t="n">
        <v>1194.64</v>
      </c>
      <c r="S1357" s="16" t="n">
        <v>1849</v>
      </c>
      <c r="T1357" s="16" t="n">
        <v>2</v>
      </c>
      <c r="U1357" s="1" t="str">
        <f aca="false">D1357&amp;"-"&amp;E1357&amp;"-"&amp;M1357&amp;"-"&amp;O1357&amp;"-"&amp;P1357&amp;"-"&amp;Q1357</f>
        <v>ENAMOR-F0-91 PLUNGE PUSH-UP PADDED WIERD COVERAGE-FO-91-Light Pink-36-C</v>
      </c>
    </row>
    <row r="1358" customFormat="false" ht="15" hidden="true" customHeight="false" outlineLevel="0" collapsed="false">
      <c r="B1358" s="17" t="s">
        <v>1875</v>
      </c>
      <c r="C1358" s="29" t="s">
        <v>1856</v>
      </c>
      <c r="D1358" s="29" t="s">
        <v>1857</v>
      </c>
      <c r="E1358" s="29" t="s">
        <v>1858</v>
      </c>
      <c r="F1358" s="26" t="s">
        <v>1089</v>
      </c>
      <c r="G1358" s="143" t="s">
        <v>573</v>
      </c>
      <c r="H1358" s="143" t="s">
        <v>1424</v>
      </c>
      <c r="I1358" s="26" t="s">
        <v>43</v>
      </c>
      <c r="J1358" s="26"/>
      <c r="K1358" s="19"/>
      <c r="L1358" s="19"/>
      <c r="M1358" s="29" t="s">
        <v>1859</v>
      </c>
      <c r="N1358" s="17"/>
      <c r="O1358" s="29" t="s">
        <v>89</v>
      </c>
      <c r="P1358" s="17" t="s">
        <v>65</v>
      </c>
      <c r="Q1358" s="17" t="s">
        <v>595</v>
      </c>
      <c r="R1358" s="16" t="n">
        <v>1194.64</v>
      </c>
      <c r="S1358" s="16" t="n">
        <v>1849</v>
      </c>
      <c r="T1358" s="16" t="n">
        <v>1</v>
      </c>
      <c r="U1358" s="1" t="str">
        <f aca="false">D1358&amp;"-"&amp;E1358&amp;"-"&amp;M1358&amp;"-"&amp;O1358&amp;"-"&amp;P1358&amp;"-"&amp;Q1358</f>
        <v>ENAMOR-F0-91 PLUNGE PUSH-UP PADDED WIERD COVERAGE-FO-91-BLUE-36-C</v>
      </c>
    </row>
    <row r="1359" customFormat="false" ht="15" hidden="true" customHeight="false" outlineLevel="0" collapsed="false">
      <c r="B1359" s="17" t="s">
        <v>1876</v>
      </c>
      <c r="C1359" s="29" t="s">
        <v>1856</v>
      </c>
      <c r="D1359" s="29" t="s">
        <v>1857</v>
      </c>
      <c r="E1359" s="29" t="s">
        <v>1858</v>
      </c>
      <c r="F1359" s="26" t="s">
        <v>1089</v>
      </c>
      <c r="G1359" s="143" t="s">
        <v>573</v>
      </c>
      <c r="H1359" s="143" t="s">
        <v>1424</v>
      </c>
      <c r="I1359" s="26" t="s">
        <v>43</v>
      </c>
      <c r="J1359" s="26"/>
      <c r="K1359" s="19"/>
      <c r="L1359" s="19"/>
      <c r="M1359" s="29" t="s">
        <v>1859</v>
      </c>
      <c r="N1359" s="17"/>
      <c r="O1359" s="29" t="s">
        <v>89</v>
      </c>
      <c r="P1359" s="17" t="s">
        <v>154</v>
      </c>
      <c r="Q1359" s="17" t="s">
        <v>595</v>
      </c>
      <c r="R1359" s="16" t="n">
        <v>1194.64</v>
      </c>
      <c r="S1359" s="16" t="n">
        <v>1849</v>
      </c>
      <c r="T1359" s="16" t="n">
        <v>1</v>
      </c>
      <c r="U1359" s="1" t="str">
        <f aca="false">D1359&amp;"-"&amp;E1359&amp;"-"&amp;M1359&amp;"-"&amp;O1359&amp;"-"&amp;P1359&amp;"-"&amp;Q1359</f>
        <v>ENAMOR-F0-91 PLUNGE PUSH-UP PADDED WIERD COVERAGE-FO-91-BLUE-38-C</v>
      </c>
    </row>
    <row r="1360" customFormat="false" ht="15" hidden="true" customHeight="false" outlineLevel="0" collapsed="false">
      <c r="B1360" s="29" t="s">
        <v>1877</v>
      </c>
      <c r="C1360" s="29" t="s">
        <v>1856</v>
      </c>
      <c r="D1360" s="29" t="s">
        <v>1857</v>
      </c>
      <c r="E1360" s="29" t="s">
        <v>1858</v>
      </c>
      <c r="F1360" s="26" t="s">
        <v>1089</v>
      </c>
      <c r="G1360" s="143" t="s">
        <v>573</v>
      </c>
      <c r="H1360" s="143" t="s">
        <v>1424</v>
      </c>
      <c r="I1360" s="26" t="s">
        <v>43</v>
      </c>
      <c r="J1360" s="26"/>
      <c r="K1360" s="19"/>
      <c r="L1360" s="19"/>
      <c r="M1360" s="29" t="s">
        <v>1859</v>
      </c>
      <c r="N1360" s="29"/>
      <c r="O1360" s="29" t="s">
        <v>104</v>
      </c>
      <c r="P1360" s="29" t="s">
        <v>154</v>
      </c>
      <c r="Q1360" s="29" t="s">
        <v>595</v>
      </c>
      <c r="R1360" s="16" t="n">
        <v>1194.64</v>
      </c>
      <c r="S1360" s="16" t="n">
        <v>1849</v>
      </c>
      <c r="T1360" s="16" t="n">
        <v>1</v>
      </c>
      <c r="U1360" s="1" t="str">
        <f aca="false">D1360&amp;"-"&amp;E1360&amp;"-"&amp;M1360&amp;"-"&amp;O1360&amp;"-"&amp;P1360&amp;"-"&amp;Q1360</f>
        <v>ENAMOR-F0-91 PLUNGE PUSH-UP PADDED WIERD COVERAGE-FO-91-Light Pink-38-C</v>
      </c>
    </row>
    <row r="1361" customFormat="false" ht="15" hidden="true" customHeight="false" outlineLevel="0" collapsed="false">
      <c r="B1361" s="17" t="s">
        <v>1878</v>
      </c>
      <c r="C1361" s="29" t="s">
        <v>1856</v>
      </c>
      <c r="D1361" s="29" t="s">
        <v>1857</v>
      </c>
      <c r="E1361" s="17" t="s">
        <v>1879</v>
      </c>
      <c r="F1361" s="3" t="s">
        <v>1672</v>
      </c>
      <c r="G1361" s="14" t="s">
        <v>689</v>
      </c>
      <c r="H1361" s="143" t="s">
        <v>1424</v>
      </c>
      <c r="I1361" s="26" t="s">
        <v>43</v>
      </c>
      <c r="J1361" s="26"/>
      <c r="K1361" s="19"/>
      <c r="L1361" s="19"/>
      <c r="M1361" s="17" t="s">
        <v>1880</v>
      </c>
      <c r="N1361" s="17"/>
      <c r="O1361" s="17" t="s">
        <v>76</v>
      </c>
      <c r="P1361" s="17" t="s">
        <v>92</v>
      </c>
      <c r="Q1361" s="17" t="s">
        <v>592</v>
      </c>
      <c r="R1361" s="16" t="n">
        <v>1259.25</v>
      </c>
      <c r="S1361" s="16" t="n">
        <v>1949</v>
      </c>
      <c r="T1361" s="16" t="n">
        <v>1</v>
      </c>
      <c r="U1361" s="1" t="str">
        <f aca="false">D1361&amp;"-"&amp;E1361&amp;"-"&amp;M1361&amp;"-"&amp;O1361&amp;"-"&amp;P1361&amp;"-"&amp;Q1361</f>
        <v>ENAMOR-SB18 PADDED WIREFREE FULL COVERAGE-SB-18-BLK-32-B</v>
      </c>
    </row>
    <row r="1362" customFormat="false" ht="15" hidden="true" customHeight="false" outlineLevel="0" collapsed="false">
      <c r="B1362" s="17" t="s">
        <v>1881</v>
      </c>
      <c r="C1362" s="29" t="s">
        <v>1856</v>
      </c>
      <c r="D1362" s="29" t="s">
        <v>1857</v>
      </c>
      <c r="E1362" s="17" t="s">
        <v>1882</v>
      </c>
      <c r="F1362" s="3" t="s">
        <v>1672</v>
      </c>
      <c r="G1362" s="14" t="s">
        <v>689</v>
      </c>
      <c r="H1362" s="143" t="s">
        <v>1424</v>
      </c>
      <c r="I1362" s="26" t="s">
        <v>43</v>
      </c>
      <c r="J1362" s="26"/>
      <c r="K1362" s="19"/>
      <c r="L1362" s="19"/>
      <c r="M1362" s="17" t="s">
        <v>1880</v>
      </c>
      <c r="N1362" s="17"/>
      <c r="O1362" s="17" t="s">
        <v>755</v>
      </c>
      <c r="P1362" s="17" t="s">
        <v>92</v>
      </c>
      <c r="Q1362" s="17" t="s">
        <v>592</v>
      </c>
      <c r="R1362" s="16" t="n">
        <v>1259.25</v>
      </c>
      <c r="S1362" s="16" t="n">
        <v>1949</v>
      </c>
      <c r="T1362" s="16" t="n">
        <v>1</v>
      </c>
      <c r="U1362" s="1" t="str">
        <f aca="false">D1362&amp;"-"&amp;E1362&amp;"-"&amp;M1362&amp;"-"&amp;O1362&amp;"-"&amp;P1362&amp;"-"&amp;Q1362</f>
        <v>ENAMOR-SB18  PADDED WIREFREE FULL COVERAGE-SB-18-GREY-32-B</v>
      </c>
    </row>
    <row r="1363" customFormat="false" ht="15" hidden="true" customHeight="false" outlineLevel="0" collapsed="false">
      <c r="B1363" s="17" t="s">
        <v>1883</v>
      </c>
      <c r="C1363" s="29" t="s">
        <v>1856</v>
      </c>
      <c r="D1363" s="29" t="s">
        <v>1857</v>
      </c>
      <c r="E1363" s="17" t="s">
        <v>1884</v>
      </c>
      <c r="F1363" s="3" t="s">
        <v>1672</v>
      </c>
      <c r="G1363" s="14" t="s">
        <v>689</v>
      </c>
      <c r="H1363" s="143" t="s">
        <v>1424</v>
      </c>
      <c r="I1363" s="26" t="s">
        <v>43</v>
      </c>
      <c r="J1363" s="26"/>
      <c r="K1363" s="19"/>
      <c r="L1363" s="19"/>
      <c r="M1363" s="17" t="s">
        <v>1880</v>
      </c>
      <c r="N1363" s="17"/>
      <c r="O1363" s="17" t="s">
        <v>588</v>
      </c>
      <c r="P1363" s="17" t="s">
        <v>92</v>
      </c>
      <c r="Q1363" s="17" t="s">
        <v>595</v>
      </c>
      <c r="R1363" s="16" t="n">
        <v>1259.25</v>
      </c>
      <c r="S1363" s="16" t="n">
        <v>1949</v>
      </c>
      <c r="T1363" s="16" t="n">
        <v>1</v>
      </c>
      <c r="U1363" s="1" t="str">
        <f aca="false">D1363&amp;"-"&amp;E1363&amp;"-"&amp;M1363&amp;"-"&amp;O1363&amp;"-"&amp;P1363&amp;"-"&amp;Q1363</f>
        <v>ENAMOR-SB18-PADDED WIREFREE FULL COVERAGE-SB-18-PURPLE-32-C</v>
      </c>
    </row>
    <row r="1364" customFormat="false" ht="15" hidden="true" customHeight="false" outlineLevel="0" collapsed="false">
      <c r="B1364" s="29" t="s">
        <v>1885</v>
      </c>
      <c r="C1364" s="29" t="s">
        <v>1856</v>
      </c>
      <c r="D1364" s="29" t="s">
        <v>1857</v>
      </c>
      <c r="E1364" s="29" t="s">
        <v>1879</v>
      </c>
      <c r="F1364" s="3" t="s">
        <v>1672</v>
      </c>
      <c r="G1364" s="14" t="s">
        <v>689</v>
      </c>
      <c r="H1364" s="143" t="s">
        <v>1424</v>
      </c>
      <c r="I1364" s="26" t="s">
        <v>43</v>
      </c>
      <c r="J1364" s="26"/>
      <c r="K1364" s="19"/>
      <c r="L1364" s="19"/>
      <c r="M1364" s="17" t="s">
        <v>1880</v>
      </c>
      <c r="N1364" s="17"/>
      <c r="O1364" s="17" t="s">
        <v>755</v>
      </c>
      <c r="P1364" s="17" t="s">
        <v>92</v>
      </c>
      <c r="Q1364" s="29" t="s">
        <v>595</v>
      </c>
      <c r="R1364" s="16" t="n">
        <v>1259.25</v>
      </c>
      <c r="S1364" s="16" t="n">
        <v>1949</v>
      </c>
      <c r="T1364" s="16" t="n">
        <v>2</v>
      </c>
      <c r="U1364" s="1" t="str">
        <f aca="false">D1364&amp;"-"&amp;E1364&amp;"-"&amp;M1364&amp;"-"&amp;O1364&amp;"-"&amp;P1364&amp;"-"&amp;Q1364</f>
        <v>ENAMOR-SB18 PADDED WIREFREE FULL COVERAGE-SB-18-GREY-32-C</v>
      </c>
    </row>
    <row r="1365" customFormat="false" ht="15" hidden="true" customHeight="false" outlineLevel="0" collapsed="false">
      <c r="B1365" s="17" t="s">
        <v>1886</v>
      </c>
      <c r="C1365" s="29" t="s">
        <v>1856</v>
      </c>
      <c r="D1365" s="29" t="s">
        <v>1857</v>
      </c>
      <c r="E1365" s="17" t="s">
        <v>1882</v>
      </c>
      <c r="F1365" s="3" t="s">
        <v>1672</v>
      </c>
      <c r="G1365" s="14" t="s">
        <v>689</v>
      </c>
      <c r="H1365" s="143" t="s">
        <v>1424</v>
      </c>
      <c r="I1365" s="26" t="s">
        <v>43</v>
      </c>
      <c r="J1365" s="26"/>
      <c r="K1365" s="19"/>
      <c r="L1365" s="19"/>
      <c r="M1365" s="17" t="s">
        <v>1880</v>
      </c>
      <c r="N1365" s="17"/>
      <c r="O1365" s="17" t="s">
        <v>755</v>
      </c>
      <c r="P1365" s="17" t="s">
        <v>92</v>
      </c>
      <c r="Q1365" s="17" t="s">
        <v>97</v>
      </c>
      <c r="R1365" s="16" t="n">
        <v>1259.25</v>
      </c>
      <c r="S1365" s="16" t="n">
        <v>1949</v>
      </c>
      <c r="T1365" s="16" t="n">
        <v>1</v>
      </c>
      <c r="U1365" s="1" t="str">
        <f aca="false">D1365&amp;"-"&amp;E1365&amp;"-"&amp;M1365&amp;"-"&amp;O1365&amp;"-"&amp;P1365&amp;"-"&amp;Q1365</f>
        <v>ENAMOR-SB18  PADDED WIREFREE FULL COVERAGE-SB-18-GREY-32-D</v>
      </c>
    </row>
    <row r="1366" customFormat="false" ht="15" hidden="true" customHeight="false" outlineLevel="0" collapsed="false">
      <c r="B1366" s="29" t="s">
        <v>1887</v>
      </c>
      <c r="C1366" s="29" t="s">
        <v>1856</v>
      </c>
      <c r="D1366" s="29" t="s">
        <v>1857</v>
      </c>
      <c r="E1366" s="29" t="s">
        <v>1882</v>
      </c>
      <c r="F1366" s="3" t="s">
        <v>1672</v>
      </c>
      <c r="G1366" s="14" t="s">
        <v>689</v>
      </c>
      <c r="H1366" s="143" t="s">
        <v>1424</v>
      </c>
      <c r="I1366" s="26" t="s">
        <v>43</v>
      </c>
      <c r="J1366" s="26"/>
      <c r="K1366" s="19"/>
      <c r="L1366" s="19"/>
      <c r="M1366" s="17" t="s">
        <v>1880</v>
      </c>
      <c r="N1366" s="29"/>
      <c r="O1366" s="17" t="s">
        <v>588</v>
      </c>
      <c r="P1366" s="17" t="s">
        <v>92</v>
      </c>
      <c r="Q1366" s="29" t="s">
        <v>97</v>
      </c>
      <c r="R1366" s="16" t="n">
        <v>1259.25</v>
      </c>
      <c r="S1366" s="16" t="n">
        <v>1949</v>
      </c>
      <c r="T1366" s="16" t="n">
        <v>1</v>
      </c>
      <c r="U1366" s="1" t="str">
        <f aca="false">D1366&amp;"-"&amp;E1366&amp;"-"&amp;M1366&amp;"-"&amp;O1366&amp;"-"&amp;P1366&amp;"-"&amp;Q1366</f>
        <v>ENAMOR-SB18  PADDED WIREFREE FULL COVERAGE-SB-18-PURPLE-32-D</v>
      </c>
    </row>
    <row r="1367" customFormat="false" ht="15" hidden="true" customHeight="false" outlineLevel="0" collapsed="false">
      <c r="B1367" s="29" t="s">
        <v>1888</v>
      </c>
      <c r="C1367" s="29" t="s">
        <v>1856</v>
      </c>
      <c r="D1367" s="29" t="s">
        <v>1857</v>
      </c>
      <c r="E1367" s="29" t="s">
        <v>1879</v>
      </c>
      <c r="F1367" s="3" t="s">
        <v>1672</v>
      </c>
      <c r="G1367" s="14" t="s">
        <v>689</v>
      </c>
      <c r="H1367" s="143" t="s">
        <v>1424</v>
      </c>
      <c r="I1367" s="26" t="s">
        <v>43</v>
      </c>
      <c r="J1367" s="26"/>
      <c r="K1367" s="19"/>
      <c r="L1367" s="19"/>
      <c r="M1367" s="17" t="s">
        <v>1880</v>
      </c>
      <c r="N1367" s="17"/>
      <c r="O1367" s="17" t="s">
        <v>76</v>
      </c>
      <c r="P1367" s="17" t="s">
        <v>92</v>
      </c>
      <c r="Q1367" s="29" t="s">
        <v>97</v>
      </c>
      <c r="R1367" s="16" t="n">
        <v>1259.25</v>
      </c>
      <c r="S1367" s="16" t="n">
        <v>1949</v>
      </c>
      <c r="T1367" s="16" t="n">
        <v>1</v>
      </c>
      <c r="U1367" s="1" t="str">
        <f aca="false">D1367&amp;"-"&amp;E1367&amp;"-"&amp;M1367&amp;"-"&amp;O1367&amp;"-"&amp;P1367&amp;"-"&amp;Q1367</f>
        <v>ENAMOR-SB18 PADDED WIREFREE FULL COVERAGE-SB-18-BLK-32-D</v>
      </c>
    </row>
    <row r="1368" customFormat="false" ht="15" hidden="true" customHeight="false" outlineLevel="0" collapsed="false">
      <c r="B1368" s="29" t="s">
        <v>1889</v>
      </c>
      <c r="C1368" s="29" t="s">
        <v>1856</v>
      </c>
      <c r="D1368" s="29" t="s">
        <v>1857</v>
      </c>
      <c r="E1368" s="29" t="s">
        <v>1884</v>
      </c>
      <c r="F1368" s="3" t="s">
        <v>1672</v>
      </c>
      <c r="G1368" s="14" t="s">
        <v>689</v>
      </c>
      <c r="H1368" s="143" t="s">
        <v>1424</v>
      </c>
      <c r="I1368" s="26" t="s">
        <v>43</v>
      </c>
      <c r="J1368" s="26"/>
      <c r="K1368" s="19"/>
      <c r="L1368" s="19"/>
      <c r="M1368" s="17" t="s">
        <v>1880</v>
      </c>
      <c r="N1368" s="17"/>
      <c r="O1368" s="17" t="s">
        <v>76</v>
      </c>
      <c r="P1368" s="17" t="s">
        <v>92</v>
      </c>
      <c r="Q1368" s="29" t="s">
        <v>1890</v>
      </c>
      <c r="R1368" s="16" t="n">
        <v>1259.25</v>
      </c>
      <c r="S1368" s="16" t="n">
        <v>1949</v>
      </c>
      <c r="T1368" s="16" t="n">
        <v>1</v>
      </c>
      <c r="U1368" s="1" t="str">
        <f aca="false">D1368&amp;"-"&amp;E1368&amp;"-"&amp;M1368&amp;"-"&amp;O1368&amp;"-"&amp;P1368&amp;"-"&amp;Q1368</f>
        <v>ENAMOR-SB18-PADDED WIREFREE FULL COVERAGE-SB-18-BLK-32-Z</v>
      </c>
    </row>
    <row r="1369" customFormat="false" ht="15" hidden="true" customHeight="false" outlineLevel="0" collapsed="false">
      <c r="B1369" s="31" t="n">
        <v>8902625582683</v>
      </c>
      <c r="C1369" s="29" t="s">
        <v>1856</v>
      </c>
      <c r="D1369" s="29" t="s">
        <v>1857</v>
      </c>
      <c r="E1369" s="29" t="s">
        <v>1884</v>
      </c>
      <c r="F1369" s="3" t="s">
        <v>1672</v>
      </c>
      <c r="G1369" s="14" t="s">
        <v>689</v>
      </c>
      <c r="H1369" s="143" t="s">
        <v>1424</v>
      </c>
      <c r="I1369" s="26" t="s">
        <v>43</v>
      </c>
      <c r="J1369" s="26"/>
      <c r="K1369" s="28"/>
      <c r="L1369" s="19"/>
      <c r="M1369" s="17" t="s">
        <v>1880</v>
      </c>
      <c r="N1369" s="29"/>
      <c r="O1369" s="29" t="s">
        <v>1891</v>
      </c>
      <c r="P1369" s="17" t="s">
        <v>92</v>
      </c>
      <c r="Q1369" s="29" t="s">
        <v>1890</v>
      </c>
      <c r="R1369" s="16" t="n">
        <v>1259.25</v>
      </c>
      <c r="S1369" s="16" t="n">
        <v>1949</v>
      </c>
      <c r="T1369" s="16" t="n">
        <v>1</v>
      </c>
      <c r="U1369" s="1" t="str">
        <f aca="false">D1369&amp;"-"&amp;E1369&amp;"-"&amp;M1369&amp;"-"&amp;O1369&amp;"-"&amp;P1369&amp;"-"&amp;Q1369</f>
        <v>ENAMOR-SB18-PADDED WIREFREE FULL COVERAGE-SB-18-PRINT-32-Z</v>
      </c>
    </row>
    <row r="1370" customFormat="false" ht="15" hidden="true" customHeight="false" outlineLevel="0" collapsed="false">
      <c r="B1370" s="17" t="s">
        <v>1892</v>
      </c>
      <c r="C1370" s="29" t="s">
        <v>1856</v>
      </c>
      <c r="D1370" s="29" t="s">
        <v>1857</v>
      </c>
      <c r="E1370" s="29" t="s">
        <v>1884</v>
      </c>
      <c r="F1370" s="3" t="s">
        <v>1672</v>
      </c>
      <c r="G1370" s="14" t="s">
        <v>689</v>
      </c>
      <c r="H1370" s="143" t="s">
        <v>1424</v>
      </c>
      <c r="I1370" s="26" t="s">
        <v>43</v>
      </c>
      <c r="J1370" s="26"/>
      <c r="K1370" s="19"/>
      <c r="L1370" s="19"/>
      <c r="M1370" s="17" t="s">
        <v>1880</v>
      </c>
      <c r="N1370" s="17"/>
      <c r="O1370" s="17" t="s">
        <v>76</v>
      </c>
      <c r="P1370" s="17" t="s">
        <v>134</v>
      </c>
      <c r="Q1370" s="17" t="s">
        <v>592</v>
      </c>
      <c r="R1370" s="16" t="n">
        <v>1259.25</v>
      </c>
      <c r="S1370" s="16" t="n">
        <v>1949</v>
      </c>
      <c r="T1370" s="16" t="n">
        <v>1</v>
      </c>
      <c r="U1370" s="1" t="str">
        <f aca="false">D1370&amp;"-"&amp;E1370&amp;"-"&amp;M1370&amp;"-"&amp;O1370&amp;"-"&amp;P1370&amp;"-"&amp;Q1370</f>
        <v>ENAMOR-SB18-PADDED WIREFREE FULL COVERAGE-SB-18-BLK-34-B</v>
      </c>
    </row>
    <row r="1371" customFormat="false" ht="15" hidden="true" customHeight="false" outlineLevel="0" collapsed="false">
      <c r="B1371" s="17" t="s">
        <v>1893</v>
      </c>
      <c r="C1371" s="29" t="s">
        <v>1856</v>
      </c>
      <c r="D1371" s="29" t="s">
        <v>1857</v>
      </c>
      <c r="E1371" s="29" t="s">
        <v>1884</v>
      </c>
      <c r="F1371" s="3" t="s">
        <v>1672</v>
      </c>
      <c r="G1371" s="14" t="s">
        <v>689</v>
      </c>
      <c r="H1371" s="143" t="s">
        <v>1424</v>
      </c>
      <c r="I1371" s="26" t="s">
        <v>43</v>
      </c>
      <c r="J1371" s="26"/>
      <c r="K1371" s="19"/>
      <c r="L1371" s="19"/>
      <c r="M1371" s="17" t="s">
        <v>1880</v>
      </c>
      <c r="N1371" s="17"/>
      <c r="O1371" s="29" t="s">
        <v>755</v>
      </c>
      <c r="P1371" s="17" t="s">
        <v>134</v>
      </c>
      <c r="Q1371" s="17" t="s">
        <v>592</v>
      </c>
      <c r="R1371" s="16" t="n">
        <v>1259.25</v>
      </c>
      <c r="S1371" s="16" t="n">
        <v>1949</v>
      </c>
      <c r="T1371" s="16" t="n">
        <v>2</v>
      </c>
      <c r="U1371" s="1" t="str">
        <f aca="false">D1371&amp;"-"&amp;E1371&amp;"-"&amp;M1371&amp;"-"&amp;O1371&amp;"-"&amp;P1371&amp;"-"&amp;Q1371</f>
        <v>ENAMOR-SB18-PADDED WIREFREE FULL COVERAGE-SB-18-GREY-34-B</v>
      </c>
    </row>
    <row r="1372" customFormat="false" ht="15" hidden="true" customHeight="false" outlineLevel="0" collapsed="false">
      <c r="B1372" s="29" t="s">
        <v>1894</v>
      </c>
      <c r="C1372" s="29" t="s">
        <v>1856</v>
      </c>
      <c r="D1372" s="29" t="s">
        <v>1857</v>
      </c>
      <c r="E1372" s="29" t="s">
        <v>1884</v>
      </c>
      <c r="F1372" s="3" t="s">
        <v>1672</v>
      </c>
      <c r="G1372" s="14" t="s">
        <v>689</v>
      </c>
      <c r="H1372" s="143" t="s">
        <v>1424</v>
      </c>
      <c r="I1372" s="26" t="s">
        <v>43</v>
      </c>
      <c r="J1372" s="26"/>
      <c r="K1372" s="19"/>
      <c r="L1372" s="19"/>
      <c r="M1372" s="17" t="s">
        <v>1880</v>
      </c>
      <c r="N1372" s="17"/>
      <c r="O1372" s="29" t="s">
        <v>755</v>
      </c>
      <c r="P1372" s="17" t="s">
        <v>134</v>
      </c>
      <c r="Q1372" s="29" t="s">
        <v>595</v>
      </c>
      <c r="R1372" s="16" t="n">
        <v>1259.25</v>
      </c>
      <c r="S1372" s="16" t="n">
        <v>1949</v>
      </c>
      <c r="T1372" s="16" t="n">
        <v>2</v>
      </c>
      <c r="U1372" s="1" t="str">
        <f aca="false">D1372&amp;"-"&amp;E1372&amp;"-"&amp;M1372&amp;"-"&amp;O1372&amp;"-"&amp;P1372&amp;"-"&amp;Q1372</f>
        <v>ENAMOR-SB18-PADDED WIREFREE FULL COVERAGE-SB-18-GREY-34-C</v>
      </c>
    </row>
    <row r="1373" customFormat="false" ht="15" hidden="true" customHeight="false" outlineLevel="0" collapsed="false">
      <c r="B1373" s="31" t="n">
        <v>8902625582706</v>
      </c>
      <c r="C1373" s="29" t="s">
        <v>1856</v>
      </c>
      <c r="D1373" s="29" t="s">
        <v>1857</v>
      </c>
      <c r="E1373" s="29" t="s">
        <v>1884</v>
      </c>
      <c r="F1373" s="3" t="s">
        <v>1672</v>
      </c>
      <c r="G1373" s="14" t="s">
        <v>689</v>
      </c>
      <c r="H1373" s="143" t="s">
        <v>1424</v>
      </c>
      <c r="I1373" s="26" t="s">
        <v>43</v>
      </c>
      <c r="J1373" s="26"/>
      <c r="K1373" s="28"/>
      <c r="L1373" s="19"/>
      <c r="M1373" s="17" t="s">
        <v>1880</v>
      </c>
      <c r="N1373" s="29"/>
      <c r="O1373" s="29" t="s">
        <v>1891</v>
      </c>
      <c r="P1373" s="17" t="s">
        <v>134</v>
      </c>
      <c r="Q1373" s="29" t="s">
        <v>595</v>
      </c>
      <c r="R1373" s="16" t="n">
        <v>1259.25</v>
      </c>
      <c r="S1373" s="16" t="n">
        <v>1949</v>
      </c>
      <c r="T1373" s="16" t="n">
        <v>1</v>
      </c>
      <c r="U1373" s="1" t="str">
        <f aca="false">D1373&amp;"-"&amp;E1373&amp;"-"&amp;M1373&amp;"-"&amp;O1373&amp;"-"&amp;P1373&amp;"-"&amp;Q1373</f>
        <v>ENAMOR-SB18-PADDED WIREFREE FULL COVERAGE-SB-18-PRINT-34-C</v>
      </c>
    </row>
    <row r="1374" customFormat="false" ht="15" hidden="true" customHeight="false" outlineLevel="0" collapsed="false">
      <c r="B1374" s="31" t="n">
        <v>8902625582102</v>
      </c>
      <c r="C1374" s="29" t="s">
        <v>1856</v>
      </c>
      <c r="D1374" s="29" t="s">
        <v>1857</v>
      </c>
      <c r="E1374" s="29" t="s">
        <v>1884</v>
      </c>
      <c r="F1374" s="3" t="s">
        <v>1672</v>
      </c>
      <c r="G1374" s="14" t="s">
        <v>689</v>
      </c>
      <c r="H1374" s="143" t="s">
        <v>1424</v>
      </c>
      <c r="I1374" s="26" t="s">
        <v>43</v>
      </c>
      <c r="J1374" s="26"/>
      <c r="K1374" s="28"/>
      <c r="L1374" s="19"/>
      <c r="M1374" s="17" t="s">
        <v>1880</v>
      </c>
      <c r="N1374" s="17"/>
      <c r="O1374" s="29" t="s">
        <v>76</v>
      </c>
      <c r="P1374" s="17" t="s">
        <v>134</v>
      </c>
      <c r="Q1374" s="29" t="s">
        <v>595</v>
      </c>
      <c r="R1374" s="16" t="n">
        <v>1259.25</v>
      </c>
      <c r="S1374" s="16" t="n">
        <v>1949</v>
      </c>
      <c r="T1374" s="16" t="n">
        <v>1</v>
      </c>
      <c r="U1374" s="1" t="str">
        <f aca="false">D1374&amp;"-"&amp;E1374&amp;"-"&amp;M1374&amp;"-"&amp;O1374&amp;"-"&amp;P1374&amp;"-"&amp;Q1374</f>
        <v>ENAMOR-SB18-PADDED WIREFREE FULL COVERAGE-SB-18-BLK-34-C</v>
      </c>
    </row>
    <row r="1375" customFormat="false" ht="15" hidden="true" customHeight="false" outlineLevel="0" collapsed="false">
      <c r="B1375" s="29" t="s">
        <v>1895</v>
      </c>
      <c r="C1375" s="29" t="s">
        <v>1856</v>
      </c>
      <c r="D1375" s="29" t="s">
        <v>1857</v>
      </c>
      <c r="E1375" s="29" t="s">
        <v>1884</v>
      </c>
      <c r="F1375" s="3" t="s">
        <v>1672</v>
      </c>
      <c r="G1375" s="14" t="s">
        <v>689</v>
      </c>
      <c r="H1375" s="143" t="s">
        <v>1424</v>
      </c>
      <c r="I1375" s="26" t="s">
        <v>43</v>
      </c>
      <c r="J1375" s="26"/>
      <c r="K1375" s="19"/>
      <c r="L1375" s="19"/>
      <c r="M1375" s="17" t="s">
        <v>1880</v>
      </c>
      <c r="N1375" s="29"/>
      <c r="O1375" s="29" t="s">
        <v>755</v>
      </c>
      <c r="P1375" s="17" t="s">
        <v>134</v>
      </c>
      <c r="Q1375" s="29" t="s">
        <v>97</v>
      </c>
      <c r="R1375" s="16" t="n">
        <v>1259.25</v>
      </c>
      <c r="S1375" s="16" t="n">
        <v>1949</v>
      </c>
      <c r="T1375" s="16" t="n">
        <v>2</v>
      </c>
      <c r="U1375" s="1" t="str">
        <f aca="false">D1375&amp;"-"&amp;E1375&amp;"-"&amp;M1375&amp;"-"&amp;O1375&amp;"-"&amp;P1375&amp;"-"&amp;Q1375</f>
        <v>ENAMOR-SB18-PADDED WIREFREE FULL COVERAGE-SB-18-GREY-34-D</v>
      </c>
    </row>
    <row r="1376" customFormat="false" ht="15" hidden="true" customHeight="false" outlineLevel="0" collapsed="false">
      <c r="B1376" s="31" t="n">
        <v>8902625582119</v>
      </c>
      <c r="C1376" s="29" t="s">
        <v>1856</v>
      </c>
      <c r="D1376" s="29" t="s">
        <v>1857</v>
      </c>
      <c r="E1376" s="29" t="s">
        <v>1884</v>
      </c>
      <c r="F1376" s="3" t="s">
        <v>1672</v>
      </c>
      <c r="G1376" s="14" t="s">
        <v>689</v>
      </c>
      <c r="H1376" s="143" t="s">
        <v>1424</v>
      </c>
      <c r="I1376" s="26" t="s">
        <v>43</v>
      </c>
      <c r="J1376" s="26"/>
      <c r="K1376" s="28"/>
      <c r="L1376" s="19"/>
      <c r="M1376" s="17" t="s">
        <v>1880</v>
      </c>
      <c r="N1376" s="17"/>
      <c r="O1376" s="17" t="s">
        <v>76</v>
      </c>
      <c r="P1376" s="17" t="s">
        <v>134</v>
      </c>
      <c r="Q1376" s="29" t="s">
        <v>97</v>
      </c>
      <c r="R1376" s="16" t="n">
        <v>1259.25</v>
      </c>
      <c r="S1376" s="16" t="n">
        <v>1949</v>
      </c>
      <c r="T1376" s="16" t="n">
        <v>1</v>
      </c>
      <c r="U1376" s="1" t="str">
        <f aca="false">D1376&amp;"-"&amp;E1376&amp;"-"&amp;M1376&amp;"-"&amp;O1376&amp;"-"&amp;P1376&amp;"-"&amp;Q1376</f>
        <v>ENAMOR-SB18-PADDED WIREFREE FULL COVERAGE-SB-18-BLK-34-D</v>
      </c>
    </row>
    <row r="1377" customFormat="false" ht="15" hidden="true" customHeight="false" outlineLevel="0" collapsed="false">
      <c r="B1377" s="31" t="n">
        <v>8902625582577</v>
      </c>
      <c r="C1377" s="29" t="s">
        <v>1856</v>
      </c>
      <c r="D1377" s="29" t="s">
        <v>1857</v>
      </c>
      <c r="E1377" s="29" t="s">
        <v>1884</v>
      </c>
      <c r="F1377" s="3" t="s">
        <v>1672</v>
      </c>
      <c r="G1377" s="14" t="s">
        <v>689</v>
      </c>
      <c r="H1377" s="143" t="s">
        <v>1424</v>
      </c>
      <c r="I1377" s="26" t="s">
        <v>43</v>
      </c>
      <c r="J1377" s="26"/>
      <c r="K1377" s="28"/>
      <c r="L1377" s="19"/>
      <c r="M1377" s="17" t="s">
        <v>1880</v>
      </c>
      <c r="N1377" s="29"/>
      <c r="O1377" s="29" t="s">
        <v>755</v>
      </c>
      <c r="P1377" s="17" t="s">
        <v>134</v>
      </c>
      <c r="Q1377" s="29" t="s">
        <v>1890</v>
      </c>
      <c r="R1377" s="16" t="n">
        <v>1259.25</v>
      </c>
      <c r="S1377" s="16" t="n">
        <v>1949</v>
      </c>
      <c r="T1377" s="16" t="n">
        <v>1</v>
      </c>
      <c r="U1377" s="1" t="str">
        <f aca="false">D1377&amp;"-"&amp;E1377&amp;"-"&amp;M1377&amp;"-"&amp;O1377&amp;"-"&amp;P1377&amp;"-"&amp;Q1377</f>
        <v>ENAMOR-SB18-PADDED WIREFREE FULL COVERAGE-SB-18-GREY-34-Z</v>
      </c>
    </row>
    <row r="1378" customFormat="false" ht="15" hidden="true" customHeight="false" outlineLevel="0" collapsed="false">
      <c r="B1378" s="29" t="s">
        <v>1896</v>
      </c>
      <c r="C1378" s="29" t="s">
        <v>1856</v>
      </c>
      <c r="D1378" s="29" t="s">
        <v>1857</v>
      </c>
      <c r="E1378" s="29" t="s">
        <v>1884</v>
      </c>
      <c r="F1378" s="3" t="s">
        <v>1672</v>
      </c>
      <c r="G1378" s="14" t="s">
        <v>689</v>
      </c>
      <c r="H1378" s="143" t="s">
        <v>1424</v>
      </c>
      <c r="I1378" s="26" t="s">
        <v>43</v>
      </c>
      <c r="J1378" s="26"/>
      <c r="K1378" s="19"/>
      <c r="L1378" s="19"/>
      <c r="M1378" s="17" t="s">
        <v>1880</v>
      </c>
      <c r="N1378" s="29"/>
      <c r="O1378" s="29" t="s">
        <v>755</v>
      </c>
      <c r="P1378" s="29" t="s">
        <v>65</v>
      </c>
      <c r="Q1378" s="29" t="s">
        <v>592</v>
      </c>
      <c r="R1378" s="16" t="n">
        <v>1259.25</v>
      </c>
      <c r="S1378" s="16" t="n">
        <v>1949</v>
      </c>
      <c r="T1378" s="16" t="n">
        <v>1</v>
      </c>
      <c r="U1378" s="1" t="str">
        <f aca="false">D1378&amp;"-"&amp;E1378&amp;"-"&amp;M1378&amp;"-"&amp;O1378&amp;"-"&amp;P1378&amp;"-"&amp;Q1378</f>
        <v>ENAMOR-SB18-PADDED WIREFREE FULL COVERAGE-SB-18-GREY-36-B</v>
      </c>
    </row>
    <row r="1379" customFormat="false" ht="15" hidden="true" customHeight="false" outlineLevel="0" collapsed="false">
      <c r="B1379" s="31" t="n">
        <v>8902625582744</v>
      </c>
      <c r="C1379" s="29" t="s">
        <v>1856</v>
      </c>
      <c r="D1379" s="29" t="s">
        <v>1857</v>
      </c>
      <c r="E1379" s="29" t="s">
        <v>1884</v>
      </c>
      <c r="F1379" s="3" t="s">
        <v>1672</v>
      </c>
      <c r="G1379" s="14" t="s">
        <v>689</v>
      </c>
      <c r="H1379" s="143" t="s">
        <v>1424</v>
      </c>
      <c r="I1379" s="26" t="s">
        <v>43</v>
      </c>
      <c r="J1379" s="26"/>
      <c r="K1379" s="28"/>
      <c r="L1379" s="19"/>
      <c r="M1379" s="17" t="s">
        <v>1880</v>
      </c>
      <c r="N1379" s="29"/>
      <c r="O1379" s="29" t="s">
        <v>1891</v>
      </c>
      <c r="P1379" s="29" t="s">
        <v>65</v>
      </c>
      <c r="Q1379" s="29" t="s">
        <v>595</v>
      </c>
      <c r="R1379" s="16" t="n">
        <v>1259.25</v>
      </c>
      <c r="S1379" s="16" t="n">
        <v>1949</v>
      </c>
      <c r="T1379" s="16" t="n">
        <v>1</v>
      </c>
      <c r="U1379" s="1" t="str">
        <f aca="false">D1379&amp;"-"&amp;E1379&amp;"-"&amp;M1379&amp;"-"&amp;O1379&amp;"-"&amp;P1379&amp;"-"&amp;Q1379</f>
        <v>ENAMOR-SB18-PADDED WIREFREE FULL COVERAGE-SB-18-PRINT-36-C</v>
      </c>
    </row>
    <row r="1380" customFormat="false" ht="15" hidden="true" customHeight="false" outlineLevel="0" collapsed="false">
      <c r="B1380" s="31" t="n">
        <v>8902625582607</v>
      </c>
      <c r="C1380" s="29" t="s">
        <v>1856</v>
      </c>
      <c r="D1380" s="29" t="s">
        <v>1857</v>
      </c>
      <c r="E1380" s="29" t="s">
        <v>1884</v>
      </c>
      <c r="F1380" s="3" t="s">
        <v>1672</v>
      </c>
      <c r="G1380" s="14" t="s">
        <v>689</v>
      </c>
      <c r="H1380" s="143" t="s">
        <v>1424</v>
      </c>
      <c r="I1380" s="26" t="s">
        <v>43</v>
      </c>
      <c r="J1380" s="26"/>
      <c r="K1380" s="28"/>
      <c r="L1380" s="19"/>
      <c r="M1380" s="17" t="s">
        <v>1880</v>
      </c>
      <c r="N1380" s="29"/>
      <c r="O1380" s="29" t="s">
        <v>755</v>
      </c>
      <c r="P1380" s="29" t="s">
        <v>65</v>
      </c>
      <c r="Q1380" s="29" t="s">
        <v>97</v>
      </c>
      <c r="R1380" s="16" t="n">
        <v>1259.25</v>
      </c>
      <c r="S1380" s="16" t="n">
        <v>1949</v>
      </c>
      <c r="T1380" s="16" t="n">
        <v>1</v>
      </c>
      <c r="U1380" s="1" t="str">
        <f aca="false">D1380&amp;"-"&amp;E1380&amp;"-"&amp;M1380&amp;"-"&amp;O1380&amp;"-"&amp;P1380&amp;"-"&amp;Q1380</f>
        <v>ENAMOR-SB18-PADDED WIREFREE FULL COVERAGE-SB-18-GREY-36-D</v>
      </c>
    </row>
    <row r="1381" customFormat="false" ht="15" hidden="true" customHeight="false" outlineLevel="0" collapsed="false">
      <c r="B1381" s="31" t="n">
        <v>8902625582614</v>
      </c>
      <c r="C1381" s="29" t="s">
        <v>1856</v>
      </c>
      <c r="D1381" s="29" t="s">
        <v>1857</v>
      </c>
      <c r="E1381" s="29" t="s">
        <v>1884</v>
      </c>
      <c r="F1381" s="3" t="s">
        <v>1672</v>
      </c>
      <c r="G1381" s="14" t="s">
        <v>689</v>
      </c>
      <c r="H1381" s="143" t="s">
        <v>1424</v>
      </c>
      <c r="I1381" s="26" t="s">
        <v>43</v>
      </c>
      <c r="J1381" s="26"/>
      <c r="K1381" s="28"/>
      <c r="L1381" s="19"/>
      <c r="M1381" s="17" t="s">
        <v>1880</v>
      </c>
      <c r="N1381" s="29"/>
      <c r="O1381" s="29" t="s">
        <v>755</v>
      </c>
      <c r="P1381" s="29" t="s">
        <v>65</v>
      </c>
      <c r="Q1381" s="29" t="s">
        <v>1890</v>
      </c>
      <c r="R1381" s="16" t="n">
        <v>1259.25</v>
      </c>
      <c r="S1381" s="16" t="n">
        <v>1949</v>
      </c>
      <c r="T1381" s="16" t="n">
        <v>1</v>
      </c>
      <c r="U1381" s="1" t="str">
        <f aca="false">D1381&amp;"-"&amp;E1381&amp;"-"&amp;M1381&amp;"-"&amp;O1381&amp;"-"&amp;P1381&amp;"-"&amp;Q1381</f>
        <v>ENAMOR-SB18-PADDED WIREFREE FULL COVERAGE-SB-18-GREY-36-Z</v>
      </c>
    </row>
    <row r="1382" customFormat="false" ht="15" hidden="true" customHeight="false" outlineLevel="0" collapsed="false">
      <c r="B1382" s="29" t="s">
        <v>1897</v>
      </c>
      <c r="C1382" s="29" t="s">
        <v>1856</v>
      </c>
      <c r="D1382" s="29" t="s">
        <v>1857</v>
      </c>
      <c r="E1382" s="17" t="s">
        <v>1898</v>
      </c>
      <c r="F1382" s="3" t="s">
        <v>80</v>
      </c>
      <c r="G1382" s="14" t="s">
        <v>689</v>
      </c>
      <c r="H1382" s="143" t="s">
        <v>1683</v>
      </c>
      <c r="I1382" s="26" t="s">
        <v>43</v>
      </c>
      <c r="J1382" s="26"/>
      <c r="K1382" s="19"/>
      <c r="L1382" s="19"/>
      <c r="M1382" s="17" t="s">
        <v>1899</v>
      </c>
      <c r="N1382" s="17"/>
      <c r="O1382" s="17" t="s">
        <v>465</v>
      </c>
      <c r="P1382" s="17" t="s">
        <v>134</v>
      </c>
      <c r="Q1382" s="17" t="s">
        <v>592</v>
      </c>
      <c r="R1382" s="16" t="n">
        <v>774.67</v>
      </c>
      <c r="S1382" s="16" t="n">
        <v>1199</v>
      </c>
      <c r="T1382" s="16" t="n">
        <v>1</v>
      </c>
      <c r="U1382" s="1" t="str">
        <f aca="false">D1382&amp;"-"&amp;E1382&amp;"-"&amp;M1382&amp;"-"&amp;O1382&amp;"-"&amp;P1382&amp;"-"&amp;Q1382</f>
        <v>ENAMOR-FB12 NON PADDED WIREFREE FULL COVERAGE-FB-12-SKIN-34-B</v>
      </c>
    </row>
    <row r="1383" customFormat="false" ht="15" hidden="true" customHeight="false" outlineLevel="0" collapsed="false">
      <c r="B1383" s="17" t="s">
        <v>1900</v>
      </c>
      <c r="C1383" s="29" t="s">
        <v>1856</v>
      </c>
      <c r="D1383" s="29" t="s">
        <v>1857</v>
      </c>
      <c r="E1383" s="17" t="s">
        <v>1898</v>
      </c>
      <c r="F1383" s="3" t="s">
        <v>80</v>
      </c>
      <c r="G1383" s="14" t="s">
        <v>689</v>
      </c>
      <c r="H1383" s="143" t="s">
        <v>1683</v>
      </c>
      <c r="I1383" s="26" t="s">
        <v>43</v>
      </c>
      <c r="J1383" s="26"/>
      <c r="K1383" s="19"/>
      <c r="L1383" s="19"/>
      <c r="M1383" s="17" t="s">
        <v>1899</v>
      </c>
      <c r="N1383" s="29"/>
      <c r="O1383" s="17" t="s">
        <v>72</v>
      </c>
      <c r="P1383" s="17" t="s">
        <v>134</v>
      </c>
      <c r="Q1383" s="17" t="s">
        <v>592</v>
      </c>
      <c r="R1383" s="16" t="n">
        <v>774.67</v>
      </c>
      <c r="S1383" s="16" t="n">
        <v>1199</v>
      </c>
      <c r="T1383" s="16" t="n">
        <v>1</v>
      </c>
      <c r="U1383" s="1" t="str">
        <f aca="false">D1383&amp;"-"&amp;E1383&amp;"-"&amp;M1383&amp;"-"&amp;O1383&amp;"-"&amp;P1383&amp;"-"&amp;Q1383</f>
        <v>ENAMOR-FB12 NON PADDED WIREFREE FULL COVERAGE-FB-12-WHE-34-B</v>
      </c>
    </row>
    <row r="1384" customFormat="false" ht="15" hidden="true" customHeight="false" outlineLevel="0" collapsed="false">
      <c r="B1384" s="29" t="s">
        <v>1901</v>
      </c>
      <c r="C1384" s="29" t="s">
        <v>1856</v>
      </c>
      <c r="D1384" s="29" t="s">
        <v>1857</v>
      </c>
      <c r="E1384" s="17" t="s">
        <v>1898</v>
      </c>
      <c r="F1384" s="3" t="s">
        <v>80</v>
      </c>
      <c r="G1384" s="14" t="s">
        <v>689</v>
      </c>
      <c r="H1384" s="143" t="s">
        <v>1683</v>
      </c>
      <c r="I1384" s="26" t="s">
        <v>43</v>
      </c>
      <c r="J1384" s="26"/>
      <c r="K1384" s="19"/>
      <c r="L1384" s="19"/>
      <c r="M1384" s="17" t="s">
        <v>1899</v>
      </c>
      <c r="N1384" s="29"/>
      <c r="O1384" s="17" t="s">
        <v>465</v>
      </c>
      <c r="P1384" s="17" t="s">
        <v>134</v>
      </c>
      <c r="Q1384" s="29" t="s">
        <v>595</v>
      </c>
      <c r="R1384" s="16" t="n">
        <v>774.67</v>
      </c>
      <c r="S1384" s="16" t="n">
        <v>1199</v>
      </c>
      <c r="T1384" s="16" t="n">
        <v>1</v>
      </c>
      <c r="U1384" s="1" t="str">
        <f aca="false">D1384&amp;"-"&amp;E1384&amp;"-"&amp;M1384&amp;"-"&amp;O1384&amp;"-"&amp;P1384&amp;"-"&amp;Q1384</f>
        <v>ENAMOR-FB12 NON PADDED WIREFREE FULL COVERAGE-FB-12-SKIN-34-C</v>
      </c>
    </row>
    <row r="1385" customFormat="false" ht="15" hidden="true" customHeight="false" outlineLevel="0" collapsed="false">
      <c r="B1385" s="17" t="s">
        <v>1902</v>
      </c>
      <c r="C1385" s="29" t="s">
        <v>1856</v>
      </c>
      <c r="D1385" s="29" t="s">
        <v>1857</v>
      </c>
      <c r="E1385" s="17" t="s">
        <v>1898</v>
      </c>
      <c r="F1385" s="3" t="s">
        <v>80</v>
      </c>
      <c r="G1385" s="14" t="s">
        <v>689</v>
      </c>
      <c r="H1385" s="143" t="s">
        <v>1683</v>
      </c>
      <c r="I1385" s="26" t="s">
        <v>43</v>
      </c>
      <c r="J1385" s="26"/>
      <c r="K1385" s="19"/>
      <c r="L1385" s="19"/>
      <c r="M1385" s="17" t="s">
        <v>1899</v>
      </c>
      <c r="N1385" s="29"/>
      <c r="O1385" s="17" t="s">
        <v>72</v>
      </c>
      <c r="P1385" s="17" t="s">
        <v>134</v>
      </c>
      <c r="Q1385" s="17" t="s">
        <v>595</v>
      </c>
      <c r="R1385" s="16" t="n">
        <v>774.67</v>
      </c>
      <c r="S1385" s="16" t="n">
        <v>1149</v>
      </c>
      <c r="T1385" s="16" t="n">
        <v>1</v>
      </c>
      <c r="U1385" s="1" t="str">
        <f aca="false">D1385&amp;"-"&amp;E1385&amp;"-"&amp;M1385&amp;"-"&amp;O1385&amp;"-"&amp;P1385&amp;"-"&amp;Q1385</f>
        <v>ENAMOR-FB12 NON PADDED WIREFREE FULL COVERAGE-FB-12-WHE-34-C</v>
      </c>
    </row>
    <row r="1386" customFormat="false" ht="15" hidden="true" customHeight="false" outlineLevel="0" collapsed="false">
      <c r="B1386" s="17" t="s">
        <v>1903</v>
      </c>
      <c r="C1386" s="29" t="s">
        <v>1856</v>
      </c>
      <c r="D1386" s="29" t="s">
        <v>1857</v>
      </c>
      <c r="E1386" s="17" t="s">
        <v>1898</v>
      </c>
      <c r="F1386" s="3" t="s">
        <v>80</v>
      </c>
      <c r="G1386" s="14" t="s">
        <v>689</v>
      </c>
      <c r="H1386" s="143" t="s">
        <v>1683</v>
      </c>
      <c r="I1386" s="26" t="s">
        <v>43</v>
      </c>
      <c r="J1386" s="26"/>
      <c r="K1386" s="19"/>
      <c r="L1386" s="19"/>
      <c r="M1386" s="17" t="s">
        <v>1899</v>
      </c>
      <c r="N1386" s="17"/>
      <c r="O1386" s="17" t="s">
        <v>76</v>
      </c>
      <c r="P1386" s="17" t="s">
        <v>134</v>
      </c>
      <c r="Q1386" s="17" t="s">
        <v>595</v>
      </c>
      <c r="R1386" s="16" t="n">
        <v>774.67</v>
      </c>
      <c r="S1386" s="16" t="n">
        <v>1199</v>
      </c>
      <c r="T1386" s="16" t="n">
        <v>1</v>
      </c>
      <c r="U1386" s="1" t="str">
        <f aca="false">D1386&amp;"-"&amp;E1386&amp;"-"&amp;M1386&amp;"-"&amp;O1386&amp;"-"&amp;P1386&amp;"-"&amp;Q1386</f>
        <v>ENAMOR-FB12 NON PADDED WIREFREE FULL COVERAGE-FB-12-BLK-34-C</v>
      </c>
    </row>
    <row r="1387" customFormat="false" ht="15" hidden="true" customHeight="false" outlineLevel="0" collapsed="false">
      <c r="B1387" s="17" t="s">
        <v>1904</v>
      </c>
      <c r="C1387" s="29" t="s">
        <v>1856</v>
      </c>
      <c r="D1387" s="29" t="s">
        <v>1857</v>
      </c>
      <c r="E1387" s="17" t="s">
        <v>1898</v>
      </c>
      <c r="F1387" s="3" t="s">
        <v>80</v>
      </c>
      <c r="G1387" s="14" t="s">
        <v>689</v>
      </c>
      <c r="H1387" s="143" t="s">
        <v>1683</v>
      </c>
      <c r="I1387" s="26" t="s">
        <v>43</v>
      </c>
      <c r="J1387" s="26"/>
      <c r="K1387" s="19"/>
      <c r="L1387" s="19"/>
      <c r="M1387" s="17" t="s">
        <v>1899</v>
      </c>
      <c r="N1387" s="17"/>
      <c r="O1387" s="17" t="s">
        <v>465</v>
      </c>
      <c r="P1387" s="17" t="s">
        <v>134</v>
      </c>
      <c r="Q1387" s="17" t="s">
        <v>97</v>
      </c>
      <c r="R1387" s="16" t="n">
        <v>774.67</v>
      </c>
      <c r="S1387" s="16" t="n">
        <v>1199</v>
      </c>
      <c r="T1387" s="16" t="n">
        <v>2</v>
      </c>
      <c r="U1387" s="1" t="str">
        <f aca="false">D1387&amp;"-"&amp;E1387&amp;"-"&amp;M1387&amp;"-"&amp;O1387&amp;"-"&amp;P1387&amp;"-"&amp;Q1387</f>
        <v>ENAMOR-FB12 NON PADDED WIREFREE FULL COVERAGE-FB-12-SKIN-34-D</v>
      </c>
    </row>
    <row r="1388" customFormat="false" ht="15" hidden="true" customHeight="false" outlineLevel="0" collapsed="false">
      <c r="B1388" s="29" t="s">
        <v>1905</v>
      </c>
      <c r="C1388" s="29" t="s">
        <v>1856</v>
      </c>
      <c r="D1388" s="29" t="s">
        <v>1857</v>
      </c>
      <c r="E1388" s="17" t="s">
        <v>1898</v>
      </c>
      <c r="F1388" s="3" t="s">
        <v>80</v>
      </c>
      <c r="G1388" s="14" t="s">
        <v>689</v>
      </c>
      <c r="H1388" s="143" t="s">
        <v>1683</v>
      </c>
      <c r="I1388" s="26" t="s">
        <v>43</v>
      </c>
      <c r="J1388" s="26"/>
      <c r="K1388" s="19"/>
      <c r="L1388" s="19"/>
      <c r="M1388" s="17" t="s">
        <v>1899</v>
      </c>
      <c r="N1388" s="29"/>
      <c r="O1388" s="17" t="s">
        <v>72</v>
      </c>
      <c r="P1388" s="29" t="s">
        <v>134</v>
      </c>
      <c r="Q1388" s="29" t="s">
        <v>1890</v>
      </c>
      <c r="R1388" s="16" t="n">
        <v>852.21</v>
      </c>
      <c r="S1388" s="16" t="n">
        <v>1319</v>
      </c>
      <c r="T1388" s="16" t="n">
        <v>2</v>
      </c>
      <c r="U1388" s="1" t="str">
        <f aca="false">D1388&amp;"-"&amp;E1388&amp;"-"&amp;M1388&amp;"-"&amp;O1388&amp;"-"&amp;P1388&amp;"-"&amp;Q1388</f>
        <v>ENAMOR-FB12 NON PADDED WIREFREE FULL COVERAGE-FB-12-WHE-34-Z</v>
      </c>
    </row>
    <row r="1389" customFormat="false" ht="15" hidden="true" customHeight="false" outlineLevel="0" collapsed="false">
      <c r="B1389" s="29" t="s">
        <v>1906</v>
      </c>
      <c r="C1389" s="29" t="s">
        <v>1856</v>
      </c>
      <c r="D1389" s="29" t="s">
        <v>1857</v>
      </c>
      <c r="E1389" s="17" t="s">
        <v>1898</v>
      </c>
      <c r="F1389" s="3" t="s">
        <v>80</v>
      </c>
      <c r="G1389" s="14" t="s">
        <v>689</v>
      </c>
      <c r="H1389" s="143" t="s">
        <v>1683</v>
      </c>
      <c r="I1389" s="26" t="s">
        <v>43</v>
      </c>
      <c r="J1389" s="26"/>
      <c r="K1389" s="19"/>
      <c r="L1389" s="19"/>
      <c r="M1389" s="17" t="s">
        <v>1899</v>
      </c>
      <c r="N1389" s="29"/>
      <c r="O1389" s="17" t="s">
        <v>465</v>
      </c>
      <c r="P1389" s="29" t="s">
        <v>134</v>
      </c>
      <c r="Q1389" s="29" t="s">
        <v>1890</v>
      </c>
      <c r="R1389" s="16" t="n">
        <v>852.21</v>
      </c>
      <c r="S1389" s="16" t="n">
        <v>1319</v>
      </c>
      <c r="T1389" s="16" t="n">
        <v>4</v>
      </c>
      <c r="U1389" s="1" t="str">
        <f aca="false">D1389&amp;"-"&amp;E1389&amp;"-"&amp;M1389&amp;"-"&amp;O1389&amp;"-"&amp;P1389&amp;"-"&amp;Q1389</f>
        <v>ENAMOR-FB12 NON PADDED WIREFREE FULL COVERAGE-FB-12-SKIN-34-Z</v>
      </c>
    </row>
    <row r="1390" customFormat="false" ht="15" hidden="true" customHeight="false" outlineLevel="0" collapsed="false">
      <c r="B1390" s="29" t="s">
        <v>1907</v>
      </c>
      <c r="C1390" s="29" t="s">
        <v>1856</v>
      </c>
      <c r="D1390" s="29" t="s">
        <v>1857</v>
      </c>
      <c r="E1390" s="17" t="s">
        <v>1898</v>
      </c>
      <c r="F1390" s="3" t="s">
        <v>80</v>
      </c>
      <c r="G1390" s="14" t="s">
        <v>689</v>
      </c>
      <c r="H1390" s="143" t="s">
        <v>1683</v>
      </c>
      <c r="I1390" s="26" t="s">
        <v>43</v>
      </c>
      <c r="J1390" s="26"/>
      <c r="K1390" s="19"/>
      <c r="L1390" s="19"/>
      <c r="M1390" s="17" t="s">
        <v>1899</v>
      </c>
      <c r="N1390" s="17"/>
      <c r="O1390" s="17" t="s">
        <v>76</v>
      </c>
      <c r="P1390" s="29" t="s">
        <v>134</v>
      </c>
      <c r="Q1390" s="29" t="s">
        <v>1890</v>
      </c>
      <c r="R1390" s="16" t="n">
        <v>852.21</v>
      </c>
      <c r="S1390" s="16" t="n">
        <v>1319</v>
      </c>
      <c r="T1390" s="16" t="n">
        <v>1</v>
      </c>
      <c r="U1390" s="1" t="str">
        <f aca="false">D1390&amp;"-"&amp;E1390&amp;"-"&amp;M1390&amp;"-"&amp;O1390&amp;"-"&amp;P1390&amp;"-"&amp;Q1390</f>
        <v>ENAMOR-FB12 NON PADDED WIREFREE FULL COVERAGE-FB-12-BLK-34-Z</v>
      </c>
    </row>
    <row r="1391" customFormat="false" ht="15" hidden="true" customHeight="false" outlineLevel="0" collapsed="false">
      <c r="B1391" s="17" t="s">
        <v>1908</v>
      </c>
      <c r="C1391" s="29" t="s">
        <v>1856</v>
      </c>
      <c r="D1391" s="29" t="s">
        <v>1857</v>
      </c>
      <c r="E1391" s="17" t="s">
        <v>1898</v>
      </c>
      <c r="F1391" s="3" t="s">
        <v>80</v>
      </c>
      <c r="G1391" s="14" t="s">
        <v>689</v>
      </c>
      <c r="H1391" s="143" t="s">
        <v>1683</v>
      </c>
      <c r="I1391" s="26" t="s">
        <v>43</v>
      </c>
      <c r="J1391" s="26"/>
      <c r="K1391" s="19"/>
      <c r="L1391" s="19"/>
      <c r="M1391" s="17" t="s">
        <v>1899</v>
      </c>
      <c r="N1391" s="29"/>
      <c r="O1391" s="17" t="s">
        <v>72</v>
      </c>
      <c r="P1391" s="29" t="s">
        <v>65</v>
      </c>
      <c r="Q1391" s="17" t="s">
        <v>592</v>
      </c>
      <c r="R1391" s="16" t="n">
        <v>742.25</v>
      </c>
      <c r="S1391" s="16" t="n">
        <v>1149</v>
      </c>
      <c r="T1391" s="16" t="n">
        <v>2</v>
      </c>
      <c r="U1391" s="1" t="str">
        <f aca="false">D1391&amp;"-"&amp;E1391&amp;"-"&amp;M1391&amp;"-"&amp;O1391&amp;"-"&amp;P1391&amp;"-"&amp;Q1391</f>
        <v>ENAMOR-FB12 NON PADDED WIREFREE FULL COVERAGE-FB-12-WHE-36-B</v>
      </c>
    </row>
    <row r="1392" customFormat="false" ht="15" hidden="true" customHeight="false" outlineLevel="0" collapsed="false">
      <c r="B1392" s="17" t="s">
        <v>1909</v>
      </c>
      <c r="C1392" s="29" t="s">
        <v>1856</v>
      </c>
      <c r="D1392" s="29" t="s">
        <v>1857</v>
      </c>
      <c r="E1392" s="17" t="s">
        <v>1898</v>
      </c>
      <c r="F1392" s="3" t="s">
        <v>80</v>
      </c>
      <c r="G1392" s="14" t="s">
        <v>689</v>
      </c>
      <c r="H1392" s="143" t="s">
        <v>1683</v>
      </c>
      <c r="I1392" s="26" t="s">
        <v>43</v>
      </c>
      <c r="J1392" s="26"/>
      <c r="K1392" s="19"/>
      <c r="L1392" s="19"/>
      <c r="M1392" s="17" t="s">
        <v>1899</v>
      </c>
      <c r="N1392" s="17"/>
      <c r="O1392" s="17" t="s">
        <v>465</v>
      </c>
      <c r="P1392" s="29" t="s">
        <v>65</v>
      </c>
      <c r="Q1392" s="17" t="s">
        <v>592</v>
      </c>
      <c r="R1392" s="16" t="n">
        <v>742.25</v>
      </c>
      <c r="S1392" s="16" t="n">
        <v>1149</v>
      </c>
      <c r="T1392" s="16" t="n">
        <v>1</v>
      </c>
      <c r="U1392" s="1" t="str">
        <f aca="false">D1392&amp;"-"&amp;E1392&amp;"-"&amp;M1392&amp;"-"&amp;O1392&amp;"-"&amp;P1392&amp;"-"&amp;Q1392</f>
        <v>ENAMOR-FB12 NON PADDED WIREFREE FULL COVERAGE-FB-12-SKIN-36-B</v>
      </c>
    </row>
    <row r="1393" customFormat="false" ht="15" hidden="true" customHeight="false" outlineLevel="0" collapsed="false">
      <c r="B1393" s="29" t="s">
        <v>1910</v>
      </c>
      <c r="C1393" s="29" t="s">
        <v>1856</v>
      </c>
      <c r="D1393" s="29" t="s">
        <v>1857</v>
      </c>
      <c r="E1393" s="17" t="s">
        <v>1898</v>
      </c>
      <c r="F1393" s="3" t="s">
        <v>80</v>
      </c>
      <c r="G1393" s="14" t="s">
        <v>689</v>
      </c>
      <c r="H1393" s="143" t="s">
        <v>1683</v>
      </c>
      <c r="I1393" s="26" t="s">
        <v>43</v>
      </c>
      <c r="J1393" s="26"/>
      <c r="K1393" s="19"/>
      <c r="L1393" s="19"/>
      <c r="M1393" s="17" t="s">
        <v>1899</v>
      </c>
      <c r="N1393" s="29"/>
      <c r="O1393" s="17" t="s">
        <v>104</v>
      </c>
      <c r="P1393" s="29" t="s">
        <v>65</v>
      </c>
      <c r="Q1393" s="29" t="s">
        <v>592</v>
      </c>
      <c r="R1393" s="16" t="n">
        <v>742.25</v>
      </c>
      <c r="S1393" s="16" t="n">
        <v>1049</v>
      </c>
      <c r="T1393" s="16" t="n">
        <v>1</v>
      </c>
      <c r="U1393" s="1" t="str">
        <f aca="false">D1393&amp;"-"&amp;E1393&amp;"-"&amp;M1393&amp;"-"&amp;O1393&amp;"-"&amp;P1393&amp;"-"&amp;Q1393</f>
        <v>ENAMOR-FB12 NON PADDED WIREFREE FULL COVERAGE-FB-12-Light Pink-36-B</v>
      </c>
    </row>
    <row r="1394" customFormat="false" ht="15" hidden="true" customHeight="false" outlineLevel="0" collapsed="false">
      <c r="B1394" s="31" t="n">
        <v>8902625357748</v>
      </c>
      <c r="C1394" s="29" t="s">
        <v>1856</v>
      </c>
      <c r="D1394" s="29" t="s">
        <v>1857</v>
      </c>
      <c r="E1394" s="17" t="s">
        <v>1898</v>
      </c>
      <c r="F1394" s="3" t="s">
        <v>80</v>
      </c>
      <c r="G1394" s="14" t="s">
        <v>689</v>
      </c>
      <c r="H1394" s="143" t="s">
        <v>1683</v>
      </c>
      <c r="I1394" s="26" t="s">
        <v>43</v>
      </c>
      <c r="J1394" s="26"/>
      <c r="K1394" s="28"/>
      <c r="L1394" s="19"/>
      <c r="M1394" s="17" t="s">
        <v>1899</v>
      </c>
      <c r="N1394" s="29"/>
      <c r="O1394" s="29" t="s">
        <v>594</v>
      </c>
      <c r="P1394" s="29" t="s">
        <v>65</v>
      </c>
      <c r="Q1394" s="29" t="s">
        <v>592</v>
      </c>
      <c r="R1394" s="16" t="n">
        <v>742.25</v>
      </c>
      <c r="S1394" s="16" t="n">
        <v>1049</v>
      </c>
      <c r="T1394" s="16" t="n">
        <v>1</v>
      </c>
      <c r="U1394" s="1" t="str">
        <f aca="false">D1394&amp;"-"&amp;E1394&amp;"-"&amp;M1394&amp;"-"&amp;O1394&amp;"-"&amp;P1394&amp;"-"&amp;Q1394</f>
        <v>ENAMOR-FB12 NON PADDED WIREFREE FULL COVERAGE-FB-12-PINK-36-B</v>
      </c>
    </row>
    <row r="1395" customFormat="false" ht="15" hidden="true" customHeight="false" outlineLevel="0" collapsed="false">
      <c r="B1395" s="29" t="s">
        <v>1911</v>
      </c>
      <c r="C1395" s="29" t="s">
        <v>1856</v>
      </c>
      <c r="D1395" s="29" t="s">
        <v>1857</v>
      </c>
      <c r="E1395" s="17" t="s">
        <v>1898</v>
      </c>
      <c r="F1395" s="3" t="s">
        <v>80</v>
      </c>
      <c r="G1395" s="14" t="s">
        <v>689</v>
      </c>
      <c r="H1395" s="143" t="s">
        <v>1683</v>
      </c>
      <c r="I1395" s="26" t="s">
        <v>43</v>
      </c>
      <c r="J1395" s="26"/>
      <c r="K1395" s="19"/>
      <c r="L1395" s="19"/>
      <c r="M1395" s="17" t="s">
        <v>1899</v>
      </c>
      <c r="N1395" s="17"/>
      <c r="O1395" s="17" t="s">
        <v>76</v>
      </c>
      <c r="P1395" s="29" t="s">
        <v>65</v>
      </c>
      <c r="Q1395" s="29" t="s">
        <v>592</v>
      </c>
      <c r="R1395" s="16" t="n">
        <v>742.25</v>
      </c>
      <c r="S1395" s="16" t="n">
        <v>1049</v>
      </c>
      <c r="T1395" s="16" t="n">
        <v>1</v>
      </c>
      <c r="U1395" s="1" t="str">
        <f aca="false">D1395&amp;"-"&amp;E1395&amp;"-"&amp;M1395&amp;"-"&amp;O1395&amp;"-"&amp;P1395&amp;"-"&amp;Q1395</f>
        <v>ENAMOR-FB12 NON PADDED WIREFREE FULL COVERAGE-FB-12-BLK-36-B</v>
      </c>
    </row>
    <row r="1396" customFormat="false" ht="15" hidden="true" customHeight="false" outlineLevel="0" collapsed="false">
      <c r="B1396" s="29" t="s">
        <v>1912</v>
      </c>
      <c r="C1396" s="29" t="s">
        <v>1856</v>
      </c>
      <c r="D1396" s="29" t="s">
        <v>1857</v>
      </c>
      <c r="E1396" s="17" t="s">
        <v>1898</v>
      </c>
      <c r="F1396" s="3" t="s">
        <v>80</v>
      </c>
      <c r="G1396" s="14" t="s">
        <v>689</v>
      </c>
      <c r="H1396" s="143" t="s">
        <v>1683</v>
      </c>
      <c r="I1396" s="26" t="s">
        <v>43</v>
      </c>
      <c r="J1396" s="26"/>
      <c r="K1396" s="19"/>
      <c r="L1396" s="19"/>
      <c r="M1396" s="17" t="s">
        <v>1899</v>
      </c>
      <c r="N1396" s="29"/>
      <c r="O1396" s="17" t="s">
        <v>72</v>
      </c>
      <c r="P1396" s="29" t="s">
        <v>65</v>
      </c>
      <c r="Q1396" s="29" t="s">
        <v>595</v>
      </c>
      <c r="R1396" s="16" t="n">
        <v>742.25</v>
      </c>
      <c r="S1396" s="16" t="n">
        <v>1049</v>
      </c>
      <c r="T1396" s="16" t="n">
        <v>1</v>
      </c>
      <c r="U1396" s="1" t="str">
        <f aca="false">D1396&amp;"-"&amp;E1396&amp;"-"&amp;M1396&amp;"-"&amp;O1396&amp;"-"&amp;P1396&amp;"-"&amp;Q1396</f>
        <v>ENAMOR-FB12 NON PADDED WIREFREE FULL COVERAGE-FB-12-WHE-36-C</v>
      </c>
    </row>
    <row r="1397" customFormat="false" ht="15" hidden="true" customHeight="false" outlineLevel="0" collapsed="false">
      <c r="B1397" s="29" t="s">
        <v>1913</v>
      </c>
      <c r="C1397" s="29" t="s">
        <v>1856</v>
      </c>
      <c r="D1397" s="29" t="s">
        <v>1857</v>
      </c>
      <c r="E1397" s="17" t="s">
        <v>1898</v>
      </c>
      <c r="F1397" s="3" t="s">
        <v>80</v>
      </c>
      <c r="G1397" s="14" t="s">
        <v>689</v>
      </c>
      <c r="H1397" s="143" t="s">
        <v>1683</v>
      </c>
      <c r="I1397" s="26" t="s">
        <v>43</v>
      </c>
      <c r="J1397" s="26"/>
      <c r="K1397" s="19"/>
      <c r="L1397" s="19"/>
      <c r="M1397" s="17" t="s">
        <v>1899</v>
      </c>
      <c r="N1397" s="17"/>
      <c r="O1397" s="17" t="s">
        <v>76</v>
      </c>
      <c r="P1397" s="29" t="s">
        <v>65</v>
      </c>
      <c r="Q1397" s="29" t="s">
        <v>595</v>
      </c>
      <c r="R1397" s="16" t="n">
        <v>742.25</v>
      </c>
      <c r="S1397" s="16" t="n">
        <v>1049</v>
      </c>
      <c r="T1397" s="16" t="n">
        <v>1</v>
      </c>
      <c r="U1397" s="1" t="str">
        <f aca="false">D1397&amp;"-"&amp;E1397&amp;"-"&amp;M1397&amp;"-"&amp;O1397&amp;"-"&amp;P1397&amp;"-"&amp;Q1397</f>
        <v>ENAMOR-FB12 NON PADDED WIREFREE FULL COVERAGE-FB-12-BLK-36-C</v>
      </c>
    </row>
    <row r="1398" customFormat="false" ht="15" hidden="true" customHeight="false" outlineLevel="0" collapsed="false">
      <c r="B1398" s="31" t="n">
        <v>8902625357557</v>
      </c>
      <c r="C1398" s="29" t="s">
        <v>1856</v>
      </c>
      <c r="D1398" s="29" t="s">
        <v>1857</v>
      </c>
      <c r="E1398" s="17" t="s">
        <v>1898</v>
      </c>
      <c r="F1398" s="3" t="s">
        <v>80</v>
      </c>
      <c r="G1398" s="14" t="s">
        <v>689</v>
      </c>
      <c r="H1398" s="143" t="s">
        <v>1683</v>
      </c>
      <c r="I1398" s="26" t="s">
        <v>43</v>
      </c>
      <c r="J1398" s="26"/>
      <c r="K1398" s="28"/>
      <c r="L1398" s="19"/>
      <c r="M1398" s="17" t="s">
        <v>1899</v>
      </c>
      <c r="N1398" s="29"/>
      <c r="O1398" s="17" t="s">
        <v>465</v>
      </c>
      <c r="P1398" s="29" t="s">
        <v>65</v>
      </c>
      <c r="Q1398" s="29" t="s">
        <v>595</v>
      </c>
      <c r="R1398" s="16" t="n">
        <v>742.25</v>
      </c>
      <c r="S1398" s="16" t="n">
        <v>1049</v>
      </c>
      <c r="T1398" s="16" t="n">
        <v>2</v>
      </c>
      <c r="U1398" s="1" t="str">
        <f aca="false">D1398&amp;"-"&amp;E1398&amp;"-"&amp;M1398&amp;"-"&amp;O1398&amp;"-"&amp;P1398&amp;"-"&amp;Q1398</f>
        <v>ENAMOR-FB12 NON PADDED WIREFREE FULL COVERAGE-FB-12-SKIN-36-C</v>
      </c>
    </row>
    <row r="1399" customFormat="false" ht="15" hidden="true" customHeight="false" outlineLevel="0" collapsed="false">
      <c r="B1399" s="31" t="n">
        <v>8902625562722</v>
      </c>
      <c r="C1399" s="29" t="s">
        <v>1856</v>
      </c>
      <c r="D1399" s="29" t="s">
        <v>1857</v>
      </c>
      <c r="E1399" s="17" t="s">
        <v>1898</v>
      </c>
      <c r="F1399" s="3" t="s">
        <v>80</v>
      </c>
      <c r="G1399" s="14" t="s">
        <v>689</v>
      </c>
      <c r="H1399" s="143" t="s">
        <v>1683</v>
      </c>
      <c r="I1399" s="26" t="s">
        <v>43</v>
      </c>
      <c r="J1399" s="26"/>
      <c r="K1399" s="28"/>
      <c r="L1399" s="19"/>
      <c r="M1399" s="17" t="s">
        <v>1899</v>
      </c>
      <c r="N1399" s="29"/>
      <c r="O1399" s="17" t="s">
        <v>465</v>
      </c>
      <c r="P1399" s="29" t="s">
        <v>65</v>
      </c>
      <c r="Q1399" s="29" t="s">
        <v>97</v>
      </c>
      <c r="R1399" s="16" t="n">
        <v>742.25</v>
      </c>
      <c r="S1399" s="16" t="n">
        <v>1049</v>
      </c>
      <c r="T1399" s="16" t="n">
        <v>1</v>
      </c>
      <c r="U1399" s="1" t="str">
        <f aca="false">D1399&amp;"-"&amp;E1399&amp;"-"&amp;M1399&amp;"-"&amp;O1399&amp;"-"&amp;P1399&amp;"-"&amp;Q1399</f>
        <v>ENAMOR-FB12 NON PADDED WIREFREE FULL COVERAGE-FB-12-SKIN-36-D</v>
      </c>
    </row>
    <row r="1400" customFormat="false" ht="15" hidden="true" customHeight="false" outlineLevel="0" collapsed="false">
      <c r="B1400" s="17" t="s">
        <v>1914</v>
      </c>
      <c r="C1400" s="29" t="s">
        <v>1856</v>
      </c>
      <c r="D1400" s="29" t="s">
        <v>1857</v>
      </c>
      <c r="E1400" s="17" t="s">
        <v>1898</v>
      </c>
      <c r="F1400" s="3" t="s">
        <v>80</v>
      </c>
      <c r="G1400" s="14" t="s">
        <v>689</v>
      </c>
      <c r="H1400" s="143" t="s">
        <v>1683</v>
      </c>
      <c r="I1400" s="26" t="s">
        <v>43</v>
      </c>
      <c r="J1400" s="26"/>
      <c r="K1400" s="19"/>
      <c r="L1400" s="19"/>
      <c r="M1400" s="17" t="s">
        <v>1899</v>
      </c>
      <c r="N1400" s="29"/>
      <c r="O1400" s="17" t="s">
        <v>72</v>
      </c>
      <c r="P1400" s="29" t="s">
        <v>65</v>
      </c>
      <c r="Q1400" s="17" t="s">
        <v>97</v>
      </c>
      <c r="R1400" s="16" t="n">
        <v>839.28</v>
      </c>
      <c r="S1400" s="16" t="n">
        <v>1319</v>
      </c>
      <c r="T1400" s="16" t="n">
        <v>2</v>
      </c>
      <c r="U1400" s="1" t="str">
        <f aca="false">D1400&amp;"-"&amp;E1400&amp;"-"&amp;M1400&amp;"-"&amp;O1400&amp;"-"&amp;P1400&amp;"-"&amp;Q1400</f>
        <v>ENAMOR-FB12 NON PADDED WIREFREE FULL COVERAGE-FB-12-WHE-36-D</v>
      </c>
    </row>
    <row r="1401" customFormat="false" ht="15" hidden="true" customHeight="false" outlineLevel="0" collapsed="false">
      <c r="B1401" s="17" t="s">
        <v>1915</v>
      </c>
      <c r="C1401" s="29" t="s">
        <v>1856</v>
      </c>
      <c r="D1401" s="29" t="s">
        <v>1857</v>
      </c>
      <c r="E1401" s="17" t="s">
        <v>1898</v>
      </c>
      <c r="F1401" s="3" t="s">
        <v>80</v>
      </c>
      <c r="G1401" s="14" t="s">
        <v>689</v>
      </c>
      <c r="H1401" s="143" t="s">
        <v>1683</v>
      </c>
      <c r="I1401" s="26" t="s">
        <v>43</v>
      </c>
      <c r="J1401" s="26"/>
      <c r="K1401" s="19"/>
      <c r="L1401" s="19"/>
      <c r="M1401" s="17" t="s">
        <v>1899</v>
      </c>
      <c r="N1401" s="17"/>
      <c r="O1401" s="17" t="s">
        <v>76</v>
      </c>
      <c r="P1401" s="29" t="s">
        <v>65</v>
      </c>
      <c r="Q1401" s="17" t="s">
        <v>97</v>
      </c>
      <c r="R1401" s="16" t="n">
        <v>839.28</v>
      </c>
      <c r="S1401" s="16" t="n">
        <v>1319</v>
      </c>
      <c r="T1401" s="16" t="n">
        <v>2</v>
      </c>
      <c r="U1401" s="1" t="str">
        <f aca="false">D1401&amp;"-"&amp;E1401&amp;"-"&amp;M1401&amp;"-"&amp;O1401&amp;"-"&amp;P1401&amp;"-"&amp;Q1401</f>
        <v>ENAMOR-FB12 NON PADDED WIREFREE FULL COVERAGE-FB-12-BLK-36-D</v>
      </c>
    </row>
    <row r="1402" customFormat="false" ht="15" hidden="true" customHeight="false" outlineLevel="0" collapsed="false">
      <c r="B1402" s="29" t="s">
        <v>1916</v>
      </c>
      <c r="C1402" s="29" t="s">
        <v>1856</v>
      </c>
      <c r="D1402" s="29" t="s">
        <v>1857</v>
      </c>
      <c r="E1402" s="17" t="s">
        <v>1898</v>
      </c>
      <c r="F1402" s="3" t="s">
        <v>80</v>
      </c>
      <c r="G1402" s="14" t="s">
        <v>689</v>
      </c>
      <c r="H1402" s="143" t="s">
        <v>1683</v>
      </c>
      <c r="I1402" s="26" t="s">
        <v>43</v>
      </c>
      <c r="J1402" s="26"/>
      <c r="K1402" s="19"/>
      <c r="L1402" s="19"/>
      <c r="M1402" s="17" t="s">
        <v>1899</v>
      </c>
      <c r="N1402" s="29"/>
      <c r="O1402" s="17" t="s">
        <v>72</v>
      </c>
      <c r="P1402" s="29" t="s">
        <v>65</v>
      </c>
      <c r="Q1402" s="29" t="s">
        <v>1890</v>
      </c>
      <c r="R1402" s="16" t="n">
        <v>852.21</v>
      </c>
      <c r="S1402" s="16" t="n">
        <v>1319</v>
      </c>
      <c r="T1402" s="16" t="n">
        <v>2</v>
      </c>
      <c r="U1402" s="1" t="str">
        <f aca="false">D1402&amp;"-"&amp;E1402&amp;"-"&amp;M1402&amp;"-"&amp;O1402&amp;"-"&amp;P1402&amp;"-"&amp;Q1402</f>
        <v>ENAMOR-FB12 NON PADDED WIREFREE FULL COVERAGE-FB-12-WHE-36-Z</v>
      </c>
    </row>
    <row r="1403" customFormat="false" ht="15" hidden="true" customHeight="false" outlineLevel="0" collapsed="false">
      <c r="B1403" s="17" t="s">
        <v>1917</v>
      </c>
      <c r="C1403" s="29" t="s">
        <v>1856</v>
      </c>
      <c r="D1403" s="29" t="s">
        <v>1857</v>
      </c>
      <c r="E1403" s="17" t="s">
        <v>1898</v>
      </c>
      <c r="F1403" s="3" t="s">
        <v>80</v>
      </c>
      <c r="G1403" s="14" t="s">
        <v>689</v>
      </c>
      <c r="H1403" s="143" t="s">
        <v>1683</v>
      </c>
      <c r="I1403" s="26" t="s">
        <v>43</v>
      </c>
      <c r="J1403" s="26"/>
      <c r="K1403" s="19"/>
      <c r="L1403" s="19"/>
      <c r="M1403" s="17" t="s">
        <v>1899</v>
      </c>
      <c r="N1403" s="17"/>
      <c r="O1403" s="17" t="s">
        <v>76</v>
      </c>
      <c r="P1403" s="29" t="s">
        <v>65</v>
      </c>
      <c r="Q1403" s="29" t="s">
        <v>1890</v>
      </c>
      <c r="R1403" s="16" t="n">
        <v>852.21</v>
      </c>
      <c r="S1403" s="16" t="n">
        <v>1319</v>
      </c>
      <c r="T1403" s="16" t="n">
        <v>1</v>
      </c>
      <c r="U1403" s="1" t="str">
        <f aca="false">D1403&amp;"-"&amp;E1403&amp;"-"&amp;M1403&amp;"-"&amp;O1403&amp;"-"&amp;P1403&amp;"-"&amp;Q1403</f>
        <v>ENAMOR-FB12 NON PADDED WIREFREE FULL COVERAGE-FB-12-BLK-36-Z</v>
      </c>
    </row>
    <row r="1404" customFormat="false" ht="15" hidden="true" customHeight="false" outlineLevel="0" collapsed="false">
      <c r="B1404" s="29" t="s">
        <v>1918</v>
      </c>
      <c r="C1404" s="29" t="s">
        <v>1856</v>
      </c>
      <c r="D1404" s="29" t="s">
        <v>1857</v>
      </c>
      <c r="E1404" s="17" t="s">
        <v>1898</v>
      </c>
      <c r="F1404" s="3" t="s">
        <v>80</v>
      </c>
      <c r="G1404" s="14" t="s">
        <v>689</v>
      </c>
      <c r="H1404" s="143" t="s">
        <v>1683</v>
      </c>
      <c r="I1404" s="26" t="s">
        <v>43</v>
      </c>
      <c r="J1404" s="26"/>
      <c r="K1404" s="19"/>
      <c r="L1404" s="19"/>
      <c r="M1404" s="17" t="s">
        <v>1899</v>
      </c>
      <c r="N1404" s="17"/>
      <c r="O1404" s="17" t="s">
        <v>76</v>
      </c>
      <c r="P1404" s="17" t="s">
        <v>154</v>
      </c>
      <c r="Q1404" s="29" t="s">
        <v>592</v>
      </c>
      <c r="R1404" s="16" t="n">
        <v>774.67</v>
      </c>
      <c r="S1404" s="16" t="n">
        <v>1199</v>
      </c>
      <c r="T1404" s="16" t="n">
        <v>1</v>
      </c>
      <c r="U1404" s="1" t="str">
        <f aca="false">D1404&amp;"-"&amp;E1404&amp;"-"&amp;M1404&amp;"-"&amp;O1404&amp;"-"&amp;P1404&amp;"-"&amp;Q1404</f>
        <v>ENAMOR-FB12 NON PADDED WIREFREE FULL COVERAGE-FB-12-BLK-38-B</v>
      </c>
    </row>
    <row r="1405" customFormat="false" ht="15" hidden="true" customHeight="false" outlineLevel="0" collapsed="false">
      <c r="B1405" s="17" t="s">
        <v>1919</v>
      </c>
      <c r="C1405" s="29" t="s">
        <v>1856</v>
      </c>
      <c r="D1405" s="29" t="s">
        <v>1857</v>
      </c>
      <c r="E1405" s="17" t="s">
        <v>1898</v>
      </c>
      <c r="F1405" s="3" t="s">
        <v>80</v>
      </c>
      <c r="G1405" s="14" t="s">
        <v>689</v>
      </c>
      <c r="H1405" s="143" t="s">
        <v>1683</v>
      </c>
      <c r="I1405" s="26" t="s">
        <v>43</v>
      </c>
      <c r="J1405" s="26"/>
      <c r="K1405" s="19"/>
      <c r="L1405" s="19"/>
      <c r="M1405" s="17" t="s">
        <v>1899</v>
      </c>
      <c r="N1405" s="17"/>
      <c r="O1405" s="17" t="s">
        <v>465</v>
      </c>
      <c r="P1405" s="17" t="s">
        <v>154</v>
      </c>
      <c r="Q1405" s="17" t="s">
        <v>592</v>
      </c>
      <c r="R1405" s="16" t="n">
        <v>774.67</v>
      </c>
      <c r="S1405" s="16" t="n">
        <v>1199</v>
      </c>
      <c r="T1405" s="16" t="n">
        <v>4</v>
      </c>
      <c r="U1405" s="1" t="str">
        <f aca="false">D1405&amp;"-"&amp;E1405&amp;"-"&amp;M1405&amp;"-"&amp;O1405&amp;"-"&amp;P1405&amp;"-"&amp;Q1405</f>
        <v>ENAMOR-FB12 NON PADDED WIREFREE FULL COVERAGE-FB-12-SKIN-38-B</v>
      </c>
    </row>
    <row r="1406" customFormat="false" ht="15" hidden="true" customHeight="false" outlineLevel="0" collapsed="false">
      <c r="B1406" s="29" t="s">
        <v>1920</v>
      </c>
      <c r="C1406" s="29" t="s">
        <v>1856</v>
      </c>
      <c r="D1406" s="29" t="s">
        <v>1857</v>
      </c>
      <c r="E1406" s="17" t="s">
        <v>1898</v>
      </c>
      <c r="F1406" s="3" t="s">
        <v>80</v>
      </c>
      <c r="G1406" s="14" t="s">
        <v>689</v>
      </c>
      <c r="H1406" s="143" t="s">
        <v>1683</v>
      </c>
      <c r="I1406" s="26" t="s">
        <v>43</v>
      </c>
      <c r="J1406" s="26"/>
      <c r="K1406" s="19"/>
      <c r="L1406" s="19"/>
      <c r="M1406" s="17" t="s">
        <v>1899</v>
      </c>
      <c r="N1406" s="29"/>
      <c r="O1406" s="17" t="s">
        <v>465</v>
      </c>
      <c r="P1406" s="17" t="s">
        <v>154</v>
      </c>
      <c r="Q1406" s="29" t="s">
        <v>595</v>
      </c>
      <c r="R1406" s="16" t="n">
        <v>774.67</v>
      </c>
      <c r="S1406" s="16" t="n">
        <v>1199</v>
      </c>
      <c r="T1406" s="16" t="n">
        <v>1</v>
      </c>
      <c r="U1406" s="1" t="str">
        <f aca="false">D1406&amp;"-"&amp;E1406&amp;"-"&amp;M1406&amp;"-"&amp;O1406&amp;"-"&amp;P1406&amp;"-"&amp;Q1406</f>
        <v>ENAMOR-FB12 NON PADDED WIREFREE FULL COVERAGE-FB-12-SKIN-38-C</v>
      </c>
    </row>
    <row r="1407" customFormat="false" ht="15" hidden="true" customHeight="false" outlineLevel="0" collapsed="false">
      <c r="B1407" s="29" t="s">
        <v>1921</v>
      </c>
      <c r="C1407" s="29" t="s">
        <v>1856</v>
      </c>
      <c r="D1407" s="29" t="s">
        <v>1857</v>
      </c>
      <c r="E1407" s="17" t="s">
        <v>1898</v>
      </c>
      <c r="F1407" s="3" t="s">
        <v>80</v>
      </c>
      <c r="G1407" s="14" t="s">
        <v>689</v>
      </c>
      <c r="H1407" s="143" t="s">
        <v>1683</v>
      </c>
      <c r="I1407" s="26" t="s">
        <v>43</v>
      </c>
      <c r="J1407" s="26"/>
      <c r="K1407" s="19"/>
      <c r="L1407" s="19"/>
      <c r="M1407" s="17" t="s">
        <v>1899</v>
      </c>
      <c r="N1407" s="29"/>
      <c r="O1407" s="29" t="s">
        <v>104</v>
      </c>
      <c r="P1407" s="17" t="s">
        <v>154</v>
      </c>
      <c r="Q1407" s="29" t="s">
        <v>595</v>
      </c>
      <c r="R1407" s="16" t="n">
        <v>774.67</v>
      </c>
      <c r="S1407" s="16" t="n">
        <v>1199</v>
      </c>
      <c r="T1407" s="16" t="n">
        <v>1</v>
      </c>
      <c r="U1407" s="1" t="str">
        <f aca="false">D1407&amp;"-"&amp;E1407&amp;"-"&amp;M1407&amp;"-"&amp;O1407&amp;"-"&amp;P1407&amp;"-"&amp;Q1407</f>
        <v>ENAMOR-FB12 NON PADDED WIREFREE FULL COVERAGE-FB-12-Light Pink-38-C</v>
      </c>
    </row>
    <row r="1408" customFormat="false" ht="15" hidden="true" customHeight="false" outlineLevel="0" collapsed="false">
      <c r="B1408" s="31" t="n">
        <v>8902625564986</v>
      </c>
      <c r="C1408" s="29" t="s">
        <v>1856</v>
      </c>
      <c r="D1408" s="29" t="s">
        <v>1857</v>
      </c>
      <c r="E1408" s="17" t="s">
        <v>1898</v>
      </c>
      <c r="F1408" s="3" t="s">
        <v>80</v>
      </c>
      <c r="G1408" s="14" t="s">
        <v>689</v>
      </c>
      <c r="H1408" s="143" t="s">
        <v>1683</v>
      </c>
      <c r="I1408" s="26" t="s">
        <v>43</v>
      </c>
      <c r="J1408" s="26"/>
      <c r="K1408" s="28"/>
      <c r="L1408" s="19"/>
      <c r="M1408" s="17" t="s">
        <v>1899</v>
      </c>
      <c r="N1408" s="29"/>
      <c r="O1408" s="17" t="s">
        <v>72</v>
      </c>
      <c r="P1408" s="17" t="s">
        <v>154</v>
      </c>
      <c r="Q1408" s="29" t="s">
        <v>595</v>
      </c>
      <c r="R1408" s="16" t="n">
        <v>774.67</v>
      </c>
      <c r="S1408" s="16" t="n">
        <v>1199</v>
      </c>
      <c r="T1408" s="16" t="n">
        <v>1</v>
      </c>
      <c r="U1408" s="1" t="str">
        <f aca="false">D1408&amp;"-"&amp;E1408&amp;"-"&amp;M1408&amp;"-"&amp;O1408&amp;"-"&amp;P1408&amp;"-"&amp;Q1408</f>
        <v>ENAMOR-FB12 NON PADDED WIREFREE FULL COVERAGE-FB-12-WHE-38-C</v>
      </c>
    </row>
    <row r="1409" customFormat="false" ht="15" hidden="true" customHeight="false" outlineLevel="0" collapsed="false">
      <c r="B1409" s="29" t="s">
        <v>1922</v>
      </c>
      <c r="C1409" s="29" t="s">
        <v>1856</v>
      </c>
      <c r="D1409" s="29" t="s">
        <v>1857</v>
      </c>
      <c r="E1409" s="17" t="s">
        <v>1898</v>
      </c>
      <c r="F1409" s="3" t="s">
        <v>80</v>
      </c>
      <c r="G1409" s="14" t="s">
        <v>689</v>
      </c>
      <c r="H1409" s="143" t="s">
        <v>1683</v>
      </c>
      <c r="I1409" s="26" t="s">
        <v>43</v>
      </c>
      <c r="J1409" s="26"/>
      <c r="K1409" s="19"/>
      <c r="L1409" s="19"/>
      <c r="M1409" s="17" t="s">
        <v>1899</v>
      </c>
      <c r="N1409" s="29"/>
      <c r="O1409" s="17" t="s">
        <v>465</v>
      </c>
      <c r="P1409" s="17" t="s">
        <v>154</v>
      </c>
      <c r="Q1409" s="29" t="s">
        <v>97</v>
      </c>
      <c r="R1409" s="16" t="n">
        <v>774.67</v>
      </c>
      <c r="S1409" s="16" t="n">
        <v>1199</v>
      </c>
      <c r="T1409" s="16" t="n">
        <v>2</v>
      </c>
      <c r="U1409" s="1" t="str">
        <f aca="false">D1409&amp;"-"&amp;E1409&amp;"-"&amp;M1409&amp;"-"&amp;O1409&amp;"-"&amp;P1409&amp;"-"&amp;Q1409</f>
        <v>ENAMOR-FB12 NON PADDED WIREFREE FULL COVERAGE-FB-12-SKIN-38-D</v>
      </c>
    </row>
    <row r="1410" customFormat="false" ht="15" hidden="true" customHeight="false" outlineLevel="0" collapsed="false">
      <c r="B1410" s="17" t="s">
        <v>1923</v>
      </c>
      <c r="C1410" s="29" t="s">
        <v>1856</v>
      </c>
      <c r="D1410" s="29" t="s">
        <v>1857</v>
      </c>
      <c r="E1410" s="17" t="s">
        <v>1898</v>
      </c>
      <c r="F1410" s="3" t="s">
        <v>80</v>
      </c>
      <c r="G1410" s="14" t="s">
        <v>689</v>
      </c>
      <c r="H1410" s="143" t="s">
        <v>1683</v>
      </c>
      <c r="I1410" s="26" t="s">
        <v>43</v>
      </c>
      <c r="J1410" s="26"/>
      <c r="K1410" s="19"/>
      <c r="L1410" s="19"/>
      <c r="M1410" s="17" t="s">
        <v>1899</v>
      </c>
      <c r="N1410" s="29"/>
      <c r="O1410" s="17" t="s">
        <v>72</v>
      </c>
      <c r="P1410" s="17" t="s">
        <v>154</v>
      </c>
      <c r="Q1410" s="17" t="s">
        <v>97</v>
      </c>
      <c r="R1410" s="16" t="n">
        <v>774.67</v>
      </c>
      <c r="S1410" s="16" t="n">
        <v>1199</v>
      </c>
      <c r="T1410" s="16" t="n">
        <v>1</v>
      </c>
      <c r="U1410" s="1" t="str">
        <f aca="false">D1410&amp;"-"&amp;E1410&amp;"-"&amp;M1410&amp;"-"&amp;O1410&amp;"-"&amp;P1410&amp;"-"&amp;Q1410</f>
        <v>ENAMOR-FB12 NON PADDED WIREFREE FULL COVERAGE-FB-12-WHE-38-D</v>
      </c>
    </row>
    <row r="1411" customFormat="false" ht="15" hidden="true" customHeight="false" outlineLevel="0" collapsed="false">
      <c r="B1411" s="29" t="s">
        <v>1924</v>
      </c>
      <c r="C1411" s="29" t="s">
        <v>1856</v>
      </c>
      <c r="D1411" s="29" t="s">
        <v>1857</v>
      </c>
      <c r="E1411" s="17" t="s">
        <v>1898</v>
      </c>
      <c r="F1411" s="3" t="s">
        <v>80</v>
      </c>
      <c r="G1411" s="14" t="s">
        <v>689</v>
      </c>
      <c r="H1411" s="143" t="s">
        <v>1683</v>
      </c>
      <c r="I1411" s="26" t="s">
        <v>43</v>
      </c>
      <c r="J1411" s="26"/>
      <c r="K1411" s="19"/>
      <c r="L1411" s="19"/>
      <c r="M1411" s="17" t="s">
        <v>1899</v>
      </c>
      <c r="N1411" s="17"/>
      <c r="O1411" s="17" t="s">
        <v>76</v>
      </c>
      <c r="P1411" s="17" t="s">
        <v>154</v>
      </c>
      <c r="Q1411" s="29" t="s">
        <v>97</v>
      </c>
      <c r="R1411" s="16" t="n">
        <v>774.67</v>
      </c>
      <c r="S1411" s="16" t="n">
        <v>1199</v>
      </c>
      <c r="T1411" s="16" t="n">
        <v>1</v>
      </c>
      <c r="U1411" s="1" t="str">
        <f aca="false">D1411&amp;"-"&amp;E1411&amp;"-"&amp;M1411&amp;"-"&amp;O1411&amp;"-"&amp;P1411&amp;"-"&amp;Q1411</f>
        <v>ENAMOR-FB12 NON PADDED WIREFREE FULL COVERAGE-FB-12-BLK-38-D</v>
      </c>
    </row>
    <row r="1412" customFormat="false" ht="15" hidden="true" customHeight="false" outlineLevel="0" collapsed="false">
      <c r="B1412" s="17" t="s">
        <v>1925</v>
      </c>
      <c r="C1412" s="29" t="s">
        <v>1856</v>
      </c>
      <c r="D1412" s="29" t="s">
        <v>1857</v>
      </c>
      <c r="E1412" s="17" t="s">
        <v>1898</v>
      </c>
      <c r="F1412" s="3" t="s">
        <v>80</v>
      </c>
      <c r="G1412" s="14" t="s">
        <v>689</v>
      </c>
      <c r="H1412" s="143" t="s">
        <v>1683</v>
      </c>
      <c r="I1412" s="26" t="s">
        <v>43</v>
      </c>
      <c r="J1412" s="26"/>
      <c r="K1412" s="19"/>
      <c r="L1412" s="19"/>
      <c r="M1412" s="17" t="s">
        <v>1899</v>
      </c>
      <c r="N1412" s="17"/>
      <c r="O1412" s="17" t="s">
        <v>465</v>
      </c>
      <c r="P1412" s="17" t="s">
        <v>154</v>
      </c>
      <c r="Q1412" s="29" t="s">
        <v>1890</v>
      </c>
      <c r="R1412" s="16" t="n">
        <v>852.21</v>
      </c>
      <c r="S1412" s="16" t="n">
        <v>1319</v>
      </c>
      <c r="T1412" s="16" t="n">
        <v>2</v>
      </c>
      <c r="U1412" s="1" t="str">
        <f aca="false">D1412&amp;"-"&amp;E1412&amp;"-"&amp;M1412&amp;"-"&amp;O1412&amp;"-"&amp;P1412&amp;"-"&amp;Q1412</f>
        <v>ENAMOR-FB12 NON PADDED WIREFREE FULL COVERAGE-FB-12-SKIN-38-Z</v>
      </c>
    </row>
    <row r="1413" customFormat="false" ht="15" hidden="true" customHeight="false" outlineLevel="0" collapsed="false">
      <c r="B1413" s="17" t="s">
        <v>1926</v>
      </c>
      <c r="C1413" s="29" t="s">
        <v>1856</v>
      </c>
      <c r="D1413" s="29" t="s">
        <v>1857</v>
      </c>
      <c r="E1413" s="17" t="s">
        <v>1898</v>
      </c>
      <c r="F1413" s="3" t="s">
        <v>80</v>
      </c>
      <c r="G1413" s="14" t="s">
        <v>689</v>
      </c>
      <c r="H1413" s="143" t="s">
        <v>1683</v>
      </c>
      <c r="I1413" s="26" t="s">
        <v>43</v>
      </c>
      <c r="J1413" s="26"/>
      <c r="K1413" s="19"/>
      <c r="L1413" s="19"/>
      <c r="M1413" s="17" t="s">
        <v>1899</v>
      </c>
      <c r="N1413" s="17"/>
      <c r="O1413" s="17" t="s">
        <v>76</v>
      </c>
      <c r="P1413" s="17" t="s">
        <v>154</v>
      </c>
      <c r="Q1413" s="29" t="s">
        <v>1890</v>
      </c>
      <c r="R1413" s="16" t="n">
        <v>852.21</v>
      </c>
      <c r="S1413" s="16" t="n">
        <v>1319</v>
      </c>
      <c r="T1413" s="16" t="n">
        <v>3</v>
      </c>
      <c r="U1413" s="1" t="str">
        <f aca="false">D1413&amp;"-"&amp;E1413&amp;"-"&amp;M1413&amp;"-"&amp;O1413&amp;"-"&amp;P1413&amp;"-"&amp;Q1413</f>
        <v>ENAMOR-FB12 NON PADDED WIREFREE FULL COVERAGE-FB-12-BLK-38-Z</v>
      </c>
    </row>
    <row r="1414" customFormat="false" ht="15" hidden="true" customHeight="false" outlineLevel="0" collapsed="false">
      <c r="B1414" s="31" t="n">
        <v>8902625565006</v>
      </c>
      <c r="C1414" s="29" t="s">
        <v>1856</v>
      </c>
      <c r="D1414" s="29" t="s">
        <v>1857</v>
      </c>
      <c r="E1414" s="17" t="s">
        <v>1898</v>
      </c>
      <c r="F1414" s="3" t="s">
        <v>80</v>
      </c>
      <c r="G1414" s="14" t="s">
        <v>689</v>
      </c>
      <c r="H1414" s="143" t="s">
        <v>1683</v>
      </c>
      <c r="I1414" s="26" t="s">
        <v>43</v>
      </c>
      <c r="J1414" s="26"/>
      <c r="K1414" s="28"/>
      <c r="L1414" s="19"/>
      <c r="M1414" s="17" t="s">
        <v>1899</v>
      </c>
      <c r="N1414" s="29"/>
      <c r="O1414" s="17" t="s">
        <v>72</v>
      </c>
      <c r="P1414" s="17" t="s">
        <v>154</v>
      </c>
      <c r="Q1414" s="29" t="s">
        <v>1890</v>
      </c>
      <c r="R1414" s="16" t="n">
        <v>852.21</v>
      </c>
      <c r="S1414" s="16" t="n">
        <v>1319</v>
      </c>
      <c r="T1414" s="16" t="n">
        <v>2</v>
      </c>
      <c r="U1414" s="1" t="str">
        <f aca="false">D1414&amp;"-"&amp;E1414&amp;"-"&amp;M1414&amp;"-"&amp;O1414&amp;"-"&amp;P1414&amp;"-"&amp;Q1414</f>
        <v>ENAMOR-FB12 NON PADDED WIREFREE FULL COVERAGE-FB-12-WHE-38-Z</v>
      </c>
    </row>
    <row r="1415" customFormat="false" ht="15" hidden="true" customHeight="false" outlineLevel="0" collapsed="false">
      <c r="B1415" s="29" t="s">
        <v>1927</v>
      </c>
      <c r="C1415" s="29" t="s">
        <v>1856</v>
      </c>
      <c r="D1415" s="29" t="s">
        <v>1857</v>
      </c>
      <c r="E1415" s="17" t="s">
        <v>1898</v>
      </c>
      <c r="F1415" s="3" t="s">
        <v>80</v>
      </c>
      <c r="G1415" s="14" t="s">
        <v>689</v>
      </c>
      <c r="H1415" s="143" t="s">
        <v>1683</v>
      </c>
      <c r="I1415" s="26" t="s">
        <v>43</v>
      </c>
      <c r="J1415" s="26"/>
      <c r="K1415" s="19"/>
      <c r="L1415" s="19"/>
      <c r="M1415" s="17" t="s">
        <v>1899</v>
      </c>
      <c r="N1415" s="29"/>
      <c r="O1415" s="29" t="s">
        <v>89</v>
      </c>
      <c r="P1415" s="17" t="s">
        <v>154</v>
      </c>
      <c r="Q1415" s="29" t="s">
        <v>1890</v>
      </c>
      <c r="R1415" s="16" t="n">
        <v>852.21</v>
      </c>
      <c r="S1415" s="16" t="n">
        <v>1319</v>
      </c>
      <c r="T1415" s="16" t="n">
        <v>1</v>
      </c>
      <c r="U1415" s="1" t="str">
        <f aca="false">D1415&amp;"-"&amp;E1415&amp;"-"&amp;M1415&amp;"-"&amp;O1415&amp;"-"&amp;P1415&amp;"-"&amp;Q1415</f>
        <v>ENAMOR-FB12 NON PADDED WIREFREE FULL COVERAGE-FB-12-BLUE-38-Z</v>
      </c>
    </row>
    <row r="1416" customFormat="false" ht="15" hidden="true" customHeight="false" outlineLevel="0" collapsed="false">
      <c r="B1416" s="31" t="n">
        <v>8902625562791</v>
      </c>
      <c r="C1416" s="29" t="s">
        <v>1856</v>
      </c>
      <c r="D1416" s="29" t="s">
        <v>1857</v>
      </c>
      <c r="E1416" s="17" t="s">
        <v>1898</v>
      </c>
      <c r="F1416" s="3" t="s">
        <v>80</v>
      </c>
      <c r="G1416" s="14" t="s">
        <v>689</v>
      </c>
      <c r="H1416" s="143" t="s">
        <v>1683</v>
      </c>
      <c r="I1416" s="26" t="s">
        <v>43</v>
      </c>
      <c r="J1416" s="26"/>
      <c r="K1416" s="28"/>
      <c r="L1416" s="19"/>
      <c r="M1416" s="17" t="s">
        <v>1899</v>
      </c>
      <c r="N1416" s="17"/>
      <c r="O1416" s="17" t="s">
        <v>465</v>
      </c>
      <c r="P1416" s="86" t="n">
        <v>40</v>
      </c>
      <c r="Q1416" s="17" t="s">
        <v>595</v>
      </c>
      <c r="R1416" s="16" t="n">
        <v>852.21</v>
      </c>
      <c r="S1416" s="16" t="n">
        <v>1319</v>
      </c>
      <c r="T1416" s="16" t="n">
        <v>1</v>
      </c>
      <c r="U1416" s="1" t="str">
        <f aca="false">D1416&amp;"-"&amp;E1416&amp;"-"&amp;M1416&amp;"-"&amp;O1416&amp;"-"&amp;P1416&amp;"-"&amp;Q1416</f>
        <v>ENAMOR-FB12 NON PADDED WIREFREE FULL COVERAGE-FB-12-SKIN-40-C</v>
      </c>
    </row>
    <row r="1417" customFormat="false" ht="15" hidden="true" customHeight="false" outlineLevel="0" collapsed="false">
      <c r="B1417" s="17" t="s">
        <v>1928</v>
      </c>
      <c r="C1417" s="29" t="s">
        <v>1856</v>
      </c>
      <c r="D1417" s="29" t="s">
        <v>1857</v>
      </c>
      <c r="E1417" s="17" t="s">
        <v>1898</v>
      </c>
      <c r="F1417" s="3" t="s">
        <v>80</v>
      </c>
      <c r="G1417" s="14" t="s">
        <v>689</v>
      </c>
      <c r="H1417" s="143" t="s">
        <v>1683</v>
      </c>
      <c r="I1417" s="26" t="s">
        <v>43</v>
      </c>
      <c r="J1417" s="26"/>
      <c r="K1417" s="19"/>
      <c r="L1417" s="19"/>
      <c r="M1417" s="17" t="s">
        <v>1899</v>
      </c>
      <c r="N1417" s="17"/>
      <c r="O1417" s="17" t="s">
        <v>465</v>
      </c>
      <c r="P1417" s="86" t="n">
        <v>40</v>
      </c>
      <c r="Q1417" s="17" t="s">
        <v>97</v>
      </c>
      <c r="R1417" s="16" t="n">
        <v>852.21</v>
      </c>
      <c r="S1417" s="16" t="n">
        <v>1319</v>
      </c>
      <c r="T1417" s="16" t="n">
        <v>1</v>
      </c>
      <c r="U1417" s="1" t="str">
        <f aca="false">D1417&amp;"-"&amp;E1417&amp;"-"&amp;M1417&amp;"-"&amp;O1417&amp;"-"&amp;P1417&amp;"-"&amp;Q1417</f>
        <v>ENAMOR-FB12 NON PADDED WIREFREE FULL COVERAGE-FB-12-SKIN-40-D</v>
      </c>
    </row>
    <row r="1418" customFormat="false" ht="15" hidden="true" customHeight="false" outlineLevel="0" collapsed="false">
      <c r="B1418" s="17" t="s">
        <v>1929</v>
      </c>
      <c r="C1418" s="29" t="s">
        <v>1856</v>
      </c>
      <c r="D1418" s="29" t="s">
        <v>1857</v>
      </c>
      <c r="E1418" s="17" t="s">
        <v>1930</v>
      </c>
      <c r="F1418" s="3" t="s">
        <v>80</v>
      </c>
      <c r="G1418" s="14" t="s">
        <v>689</v>
      </c>
      <c r="H1418" s="143" t="s">
        <v>1683</v>
      </c>
      <c r="I1418" s="26" t="s">
        <v>43</v>
      </c>
      <c r="J1418" s="26"/>
      <c r="K1418" s="19"/>
      <c r="L1418" s="19"/>
      <c r="M1418" s="17" t="s">
        <v>1899</v>
      </c>
      <c r="N1418" s="29"/>
      <c r="O1418" s="17" t="s">
        <v>72</v>
      </c>
      <c r="P1418" s="86" t="n">
        <v>40</v>
      </c>
      <c r="Q1418" s="17" t="s">
        <v>97</v>
      </c>
      <c r="R1418" s="16" t="n">
        <v>852.21</v>
      </c>
      <c r="S1418" s="16" t="n">
        <v>1319</v>
      </c>
      <c r="T1418" s="16" t="n">
        <v>2</v>
      </c>
      <c r="U1418" s="1" t="str">
        <f aca="false">D1418&amp;"-"&amp;E1418&amp;"-"&amp;M1418&amp;"-"&amp;O1418&amp;"-"&amp;P1418&amp;"-"&amp;Q1418</f>
        <v>ENAMOR-FB12  NON PADDED WIREFREE FULL COVERAGE-FB-12-WHE-40-D</v>
      </c>
    </row>
    <row r="1419" customFormat="false" ht="15" hidden="true" customHeight="false" outlineLevel="0" collapsed="false">
      <c r="B1419" s="29" t="s">
        <v>1931</v>
      </c>
      <c r="C1419" s="29" t="s">
        <v>1856</v>
      </c>
      <c r="D1419" s="29" t="s">
        <v>1857</v>
      </c>
      <c r="E1419" s="29" t="s">
        <v>1898</v>
      </c>
      <c r="F1419" s="3" t="s">
        <v>80</v>
      </c>
      <c r="G1419" s="14" t="s">
        <v>689</v>
      </c>
      <c r="H1419" s="143" t="s">
        <v>1683</v>
      </c>
      <c r="I1419" s="26" t="s">
        <v>43</v>
      </c>
      <c r="J1419" s="26"/>
      <c r="K1419" s="19"/>
      <c r="L1419" s="19"/>
      <c r="M1419" s="17" t="s">
        <v>1899</v>
      </c>
      <c r="N1419" s="29"/>
      <c r="O1419" s="29" t="s">
        <v>104</v>
      </c>
      <c r="P1419" s="86" t="n">
        <v>40</v>
      </c>
      <c r="Q1419" s="29" t="s">
        <v>97</v>
      </c>
      <c r="R1419" s="16" t="n">
        <v>852.21</v>
      </c>
      <c r="S1419" s="16" t="n">
        <v>1319</v>
      </c>
      <c r="T1419" s="16" t="n">
        <v>1</v>
      </c>
      <c r="U1419" s="1" t="str">
        <f aca="false">D1419&amp;"-"&amp;E1419&amp;"-"&amp;M1419&amp;"-"&amp;O1419&amp;"-"&amp;P1419&amp;"-"&amp;Q1419</f>
        <v>ENAMOR-FB12 NON PADDED WIREFREE FULL COVERAGE-FB-12-Light Pink-40-D</v>
      </c>
    </row>
    <row r="1420" customFormat="false" ht="15" hidden="true" customHeight="false" outlineLevel="0" collapsed="false">
      <c r="B1420" s="31" t="n">
        <v>8902625564832</v>
      </c>
      <c r="C1420" s="29" t="s">
        <v>1856</v>
      </c>
      <c r="D1420" s="29" t="s">
        <v>1857</v>
      </c>
      <c r="E1420" s="29" t="s">
        <v>1898</v>
      </c>
      <c r="F1420" s="3" t="s">
        <v>80</v>
      </c>
      <c r="G1420" s="14" t="s">
        <v>689</v>
      </c>
      <c r="H1420" s="143" t="s">
        <v>1683</v>
      </c>
      <c r="I1420" s="26" t="s">
        <v>43</v>
      </c>
      <c r="J1420" s="26"/>
      <c r="K1420" s="28"/>
      <c r="L1420" s="19"/>
      <c r="M1420" s="17" t="s">
        <v>1899</v>
      </c>
      <c r="N1420" s="17"/>
      <c r="O1420" s="17" t="s">
        <v>76</v>
      </c>
      <c r="P1420" s="86" t="n">
        <v>40</v>
      </c>
      <c r="Q1420" s="17" t="s">
        <v>97</v>
      </c>
      <c r="R1420" s="16" t="n">
        <v>852.21</v>
      </c>
      <c r="S1420" s="16" t="n">
        <v>1319</v>
      </c>
      <c r="T1420" s="16" t="n">
        <v>1</v>
      </c>
      <c r="U1420" s="1" t="str">
        <f aca="false">D1420&amp;"-"&amp;E1420&amp;"-"&amp;M1420&amp;"-"&amp;O1420&amp;"-"&amp;P1420&amp;"-"&amp;Q1420</f>
        <v>ENAMOR-FB12 NON PADDED WIREFREE FULL COVERAGE-FB-12-BLK-40-D</v>
      </c>
    </row>
    <row r="1421" customFormat="false" ht="15" hidden="true" customHeight="false" outlineLevel="0" collapsed="false">
      <c r="B1421" s="17" t="s">
        <v>1932</v>
      </c>
      <c r="C1421" s="29" t="s">
        <v>1856</v>
      </c>
      <c r="D1421" s="29" t="s">
        <v>1857</v>
      </c>
      <c r="E1421" s="17" t="s">
        <v>1933</v>
      </c>
      <c r="F1421" s="3" t="s">
        <v>80</v>
      </c>
      <c r="G1421" s="14" t="s">
        <v>689</v>
      </c>
      <c r="H1421" s="143" t="s">
        <v>1683</v>
      </c>
      <c r="I1421" s="26" t="s">
        <v>43</v>
      </c>
      <c r="J1421" s="26"/>
      <c r="K1421" s="19"/>
      <c r="L1421" s="19"/>
      <c r="M1421" s="17" t="s">
        <v>1899</v>
      </c>
      <c r="N1421" s="17"/>
      <c r="O1421" s="17" t="s">
        <v>76</v>
      </c>
      <c r="P1421" s="86" t="n">
        <v>40</v>
      </c>
      <c r="Q1421" s="29" t="s">
        <v>1890</v>
      </c>
      <c r="R1421" s="16" t="n">
        <v>852.21</v>
      </c>
      <c r="S1421" s="16" t="n">
        <v>1319</v>
      </c>
      <c r="T1421" s="16" t="n">
        <v>1</v>
      </c>
      <c r="U1421" s="1" t="str">
        <f aca="false">D1421&amp;"-"&amp;E1421&amp;"-"&amp;M1421&amp;"-"&amp;O1421&amp;"-"&amp;P1421&amp;"-"&amp;Q1421</f>
        <v>ENAMOR-FB 12 NON PADDED WIREFREE FULL COVERAGE-FB-12-BLK-40-Z</v>
      </c>
    </row>
    <row r="1422" customFormat="false" ht="15" hidden="true" customHeight="false" outlineLevel="0" collapsed="false">
      <c r="B1422" s="29" t="s">
        <v>1934</v>
      </c>
      <c r="C1422" s="29" t="s">
        <v>1856</v>
      </c>
      <c r="D1422" s="29" t="s">
        <v>1857</v>
      </c>
      <c r="E1422" s="29" t="s">
        <v>1935</v>
      </c>
      <c r="F1422" s="3" t="s">
        <v>80</v>
      </c>
      <c r="G1422" s="14" t="s">
        <v>689</v>
      </c>
      <c r="H1422" s="143" t="s">
        <v>1683</v>
      </c>
      <c r="I1422" s="26" t="s">
        <v>43</v>
      </c>
      <c r="J1422" s="26"/>
      <c r="K1422" s="19"/>
      <c r="L1422" s="19"/>
      <c r="M1422" s="17" t="s">
        <v>1936</v>
      </c>
      <c r="N1422" s="29"/>
      <c r="O1422" s="29" t="s">
        <v>465</v>
      </c>
      <c r="P1422" s="29" t="s">
        <v>134</v>
      </c>
      <c r="Q1422" s="29" t="s">
        <v>592</v>
      </c>
      <c r="R1422" s="16" t="n">
        <v>669.43</v>
      </c>
      <c r="S1422" s="16" t="n">
        <v>949</v>
      </c>
      <c r="T1422" s="16" t="n">
        <v>1</v>
      </c>
      <c r="U1422" s="1" t="str">
        <f aca="false">D1422&amp;"-"&amp;E1422&amp;"-"&amp;M1422&amp;"-"&amp;O1422&amp;"-"&amp;P1422&amp;"-"&amp;Q1422</f>
        <v>ENAMOR-A112 NON PADDED WIREFREE FULL COVERAGE-A112-SKIN-34-B</v>
      </c>
    </row>
    <row r="1423" customFormat="false" ht="15" hidden="true" customHeight="false" outlineLevel="0" collapsed="false">
      <c r="B1423" s="29" t="s">
        <v>1937</v>
      </c>
      <c r="C1423" s="29" t="s">
        <v>1856</v>
      </c>
      <c r="D1423" s="29" t="s">
        <v>1857</v>
      </c>
      <c r="E1423" s="29" t="s">
        <v>1938</v>
      </c>
      <c r="F1423" s="3" t="s">
        <v>80</v>
      </c>
      <c r="G1423" s="14" t="s">
        <v>689</v>
      </c>
      <c r="H1423" s="143" t="s">
        <v>1683</v>
      </c>
      <c r="I1423" s="26" t="s">
        <v>43</v>
      </c>
      <c r="J1423" s="26"/>
      <c r="K1423" s="19"/>
      <c r="L1423" s="19"/>
      <c r="M1423" s="17" t="s">
        <v>1936</v>
      </c>
      <c r="N1423" s="17"/>
      <c r="O1423" s="17" t="s">
        <v>76</v>
      </c>
      <c r="P1423" s="29" t="s">
        <v>134</v>
      </c>
      <c r="Q1423" s="29" t="s">
        <v>592</v>
      </c>
      <c r="R1423" s="16" t="n">
        <v>669.42</v>
      </c>
      <c r="S1423" s="16" t="n">
        <v>949</v>
      </c>
      <c r="T1423" s="16" t="n">
        <v>2</v>
      </c>
      <c r="U1423" s="1" t="str">
        <f aca="false">D1423&amp;"-"&amp;E1423&amp;"-"&amp;M1423&amp;"-"&amp;O1423&amp;"-"&amp;P1423&amp;"-"&amp;Q1423</f>
        <v>ENAMOR-A112NON PADDED WIREFREE FULL COVERAGE-A112-BLK-34-B</v>
      </c>
    </row>
    <row r="1424" customFormat="false" ht="15" hidden="true" customHeight="false" outlineLevel="0" collapsed="false">
      <c r="B1424" s="17" t="s">
        <v>1939</v>
      </c>
      <c r="C1424" s="29" t="s">
        <v>1856</v>
      </c>
      <c r="D1424" s="29" t="s">
        <v>1857</v>
      </c>
      <c r="E1424" s="17" t="s">
        <v>1940</v>
      </c>
      <c r="F1424" s="3" t="s">
        <v>80</v>
      </c>
      <c r="G1424" s="14" t="s">
        <v>689</v>
      </c>
      <c r="H1424" s="143" t="s">
        <v>1683</v>
      </c>
      <c r="I1424" s="26" t="s">
        <v>43</v>
      </c>
      <c r="J1424" s="26"/>
      <c r="K1424" s="19"/>
      <c r="L1424" s="19"/>
      <c r="M1424" s="17" t="s">
        <v>1936</v>
      </c>
      <c r="N1424" s="17"/>
      <c r="O1424" s="17" t="s">
        <v>465</v>
      </c>
      <c r="P1424" s="29" t="s">
        <v>134</v>
      </c>
      <c r="Q1424" s="17" t="s">
        <v>595</v>
      </c>
      <c r="R1424" s="16" t="n">
        <v>669.42</v>
      </c>
      <c r="S1424" s="16" t="n">
        <v>999</v>
      </c>
      <c r="T1424" s="16" t="n">
        <v>3</v>
      </c>
      <c r="U1424" s="1" t="str">
        <f aca="false">D1424&amp;"-"&amp;E1424&amp;"-"&amp;M1424&amp;"-"&amp;O1424&amp;"-"&amp;P1424&amp;"-"&amp;Q1424</f>
        <v>ENAMOR-A112 NO PADDED WIREFREE FULL COVERAGE-A112-SKIN-34-C</v>
      </c>
    </row>
    <row r="1425" customFormat="false" ht="15" hidden="true" customHeight="false" outlineLevel="0" collapsed="false">
      <c r="B1425" s="29" t="s">
        <v>1941</v>
      </c>
      <c r="C1425" s="29" t="s">
        <v>1856</v>
      </c>
      <c r="D1425" s="29" t="s">
        <v>1857</v>
      </c>
      <c r="E1425" s="29" t="s">
        <v>1935</v>
      </c>
      <c r="F1425" s="3" t="s">
        <v>80</v>
      </c>
      <c r="G1425" s="14" t="s">
        <v>689</v>
      </c>
      <c r="H1425" s="143" t="s">
        <v>1683</v>
      </c>
      <c r="I1425" s="26" t="s">
        <v>43</v>
      </c>
      <c r="J1425" s="26"/>
      <c r="K1425" s="19"/>
      <c r="L1425" s="19"/>
      <c r="M1425" s="17" t="s">
        <v>1936</v>
      </c>
      <c r="N1425" s="17"/>
      <c r="O1425" s="17" t="s">
        <v>76</v>
      </c>
      <c r="P1425" s="29" t="s">
        <v>134</v>
      </c>
      <c r="Q1425" s="29" t="s">
        <v>595</v>
      </c>
      <c r="R1425" s="16" t="n">
        <v>669.42</v>
      </c>
      <c r="S1425" s="16" t="n">
        <v>949</v>
      </c>
      <c r="T1425" s="16" t="n">
        <v>3</v>
      </c>
      <c r="U1425" s="1" t="str">
        <f aca="false">D1425&amp;"-"&amp;E1425&amp;"-"&amp;M1425&amp;"-"&amp;O1425&amp;"-"&amp;P1425&amp;"-"&amp;Q1425</f>
        <v>ENAMOR-A112 NON PADDED WIREFREE FULL COVERAGE-A112-BLK-34-C</v>
      </c>
    </row>
    <row r="1426" customFormat="false" ht="15" hidden="true" customHeight="false" outlineLevel="0" collapsed="false">
      <c r="B1426" s="17" t="s">
        <v>1942</v>
      </c>
      <c r="C1426" s="29" t="s">
        <v>1856</v>
      </c>
      <c r="D1426" s="29" t="s">
        <v>1857</v>
      </c>
      <c r="E1426" s="17" t="s">
        <v>1943</v>
      </c>
      <c r="F1426" s="3" t="s">
        <v>80</v>
      </c>
      <c r="G1426" s="14" t="s">
        <v>689</v>
      </c>
      <c r="H1426" s="143" t="s">
        <v>1683</v>
      </c>
      <c r="I1426" s="26" t="s">
        <v>43</v>
      </c>
      <c r="J1426" s="26"/>
      <c r="K1426" s="19"/>
      <c r="L1426" s="19"/>
      <c r="M1426" s="17" t="s">
        <v>1936</v>
      </c>
      <c r="N1426" s="29"/>
      <c r="O1426" s="17" t="s">
        <v>72</v>
      </c>
      <c r="P1426" s="29" t="s">
        <v>134</v>
      </c>
      <c r="Q1426" s="17" t="s">
        <v>595</v>
      </c>
      <c r="R1426" s="16" t="n">
        <v>669.42</v>
      </c>
      <c r="S1426" s="16" t="n">
        <v>949</v>
      </c>
      <c r="T1426" s="16" t="n">
        <v>2</v>
      </c>
      <c r="U1426" s="1" t="str">
        <f aca="false">D1426&amp;"-"&amp;E1426&amp;"-"&amp;M1426&amp;"-"&amp;O1426&amp;"-"&amp;P1426&amp;"-"&amp;Q1426</f>
        <v>ENAMOR-A112- NON PADDED WIREFREE FULL COVERAGE-A112-WHE-34-C</v>
      </c>
    </row>
    <row r="1427" customFormat="false" ht="15" hidden="true" customHeight="false" outlineLevel="0" collapsed="false">
      <c r="B1427" s="29" t="s">
        <v>1944</v>
      </c>
      <c r="C1427" s="29" t="s">
        <v>1856</v>
      </c>
      <c r="D1427" s="29" t="s">
        <v>1857</v>
      </c>
      <c r="E1427" s="29" t="s">
        <v>1945</v>
      </c>
      <c r="F1427" s="3" t="s">
        <v>80</v>
      </c>
      <c r="G1427" s="14" t="s">
        <v>689</v>
      </c>
      <c r="H1427" s="143" t="s">
        <v>1683</v>
      </c>
      <c r="I1427" s="26" t="s">
        <v>43</v>
      </c>
      <c r="J1427" s="26"/>
      <c r="K1427" s="19"/>
      <c r="L1427" s="19"/>
      <c r="M1427" s="17" t="s">
        <v>1936</v>
      </c>
      <c r="N1427" s="29"/>
      <c r="O1427" s="29" t="s">
        <v>104</v>
      </c>
      <c r="P1427" s="29" t="s">
        <v>134</v>
      </c>
      <c r="Q1427" s="29" t="s">
        <v>595</v>
      </c>
      <c r="R1427" s="16" t="n">
        <v>669.42</v>
      </c>
      <c r="S1427" s="16" t="n">
        <v>949</v>
      </c>
      <c r="T1427" s="16" t="n">
        <v>1</v>
      </c>
      <c r="U1427" s="1" t="str">
        <f aca="false">D1427&amp;"-"&amp;E1427&amp;"-"&amp;M1427&amp;"-"&amp;O1427&amp;"-"&amp;P1427&amp;"-"&amp;Q1427</f>
        <v>ENAMOR-A112 NON PADDE WIREFREE FULL COVERAGE-A112-Light Pink-34-C</v>
      </c>
    </row>
    <row r="1428" customFormat="false" ht="15" hidden="true" customHeight="false" outlineLevel="0" collapsed="false">
      <c r="B1428" s="17" t="s">
        <v>1946</v>
      </c>
      <c r="C1428" s="29" t="s">
        <v>1856</v>
      </c>
      <c r="D1428" s="29" t="s">
        <v>1857</v>
      </c>
      <c r="E1428" s="17" t="s">
        <v>1935</v>
      </c>
      <c r="F1428" s="3" t="s">
        <v>80</v>
      </c>
      <c r="G1428" s="14" t="s">
        <v>689</v>
      </c>
      <c r="H1428" s="143" t="s">
        <v>1683</v>
      </c>
      <c r="I1428" s="26" t="s">
        <v>43</v>
      </c>
      <c r="J1428" s="26"/>
      <c r="K1428" s="19"/>
      <c r="L1428" s="19"/>
      <c r="M1428" s="17" t="s">
        <v>1936</v>
      </c>
      <c r="N1428" s="17"/>
      <c r="O1428" s="17" t="s">
        <v>465</v>
      </c>
      <c r="P1428" s="29" t="s">
        <v>134</v>
      </c>
      <c r="Q1428" s="17" t="s">
        <v>97</v>
      </c>
      <c r="R1428" s="16" t="n">
        <v>669.42</v>
      </c>
      <c r="S1428" s="16" t="n">
        <v>949</v>
      </c>
      <c r="T1428" s="16" t="n">
        <v>1</v>
      </c>
      <c r="U1428" s="1" t="str">
        <f aca="false">D1428&amp;"-"&amp;E1428&amp;"-"&amp;M1428&amp;"-"&amp;O1428&amp;"-"&amp;P1428&amp;"-"&amp;Q1428</f>
        <v>ENAMOR-A112 NON PADDED WIREFREE FULL COVERAGE-A112-SKIN-34-D</v>
      </c>
    </row>
    <row r="1429" customFormat="false" ht="15" hidden="true" customHeight="false" outlineLevel="0" collapsed="false">
      <c r="B1429" s="17" t="s">
        <v>1947</v>
      </c>
      <c r="C1429" s="29" t="s">
        <v>1856</v>
      </c>
      <c r="D1429" s="29" t="s">
        <v>1857</v>
      </c>
      <c r="E1429" s="17" t="s">
        <v>1935</v>
      </c>
      <c r="F1429" s="3" t="s">
        <v>80</v>
      </c>
      <c r="G1429" s="14" t="s">
        <v>689</v>
      </c>
      <c r="H1429" s="143" t="s">
        <v>1683</v>
      </c>
      <c r="I1429" s="26" t="s">
        <v>43</v>
      </c>
      <c r="J1429" s="26"/>
      <c r="K1429" s="19"/>
      <c r="L1429" s="19"/>
      <c r="M1429" s="17" t="s">
        <v>1936</v>
      </c>
      <c r="N1429" s="17"/>
      <c r="O1429" s="17" t="s">
        <v>76</v>
      </c>
      <c r="P1429" s="29" t="s">
        <v>134</v>
      </c>
      <c r="Q1429" s="17" t="s">
        <v>97</v>
      </c>
      <c r="R1429" s="16" t="n">
        <v>669.42</v>
      </c>
      <c r="S1429" s="16" t="n">
        <v>949</v>
      </c>
      <c r="T1429" s="16" t="n">
        <v>3</v>
      </c>
      <c r="U1429" s="1" t="str">
        <f aca="false">D1429&amp;"-"&amp;E1429&amp;"-"&amp;M1429&amp;"-"&amp;O1429&amp;"-"&amp;P1429&amp;"-"&amp;Q1429</f>
        <v>ENAMOR-A112 NON PADDED WIREFREE FULL COVERAGE-A112-BLK-34-D</v>
      </c>
    </row>
    <row r="1430" customFormat="false" ht="15" hidden="true" customHeight="false" outlineLevel="0" collapsed="false">
      <c r="B1430" s="29" t="s">
        <v>1948</v>
      </c>
      <c r="C1430" s="29" t="s">
        <v>1856</v>
      </c>
      <c r="D1430" s="29" t="s">
        <v>1857</v>
      </c>
      <c r="E1430" s="29" t="s">
        <v>1935</v>
      </c>
      <c r="F1430" s="3" t="s">
        <v>80</v>
      </c>
      <c r="G1430" s="14" t="s">
        <v>689</v>
      </c>
      <c r="H1430" s="143" t="s">
        <v>1683</v>
      </c>
      <c r="I1430" s="26" t="s">
        <v>43</v>
      </c>
      <c r="J1430" s="26"/>
      <c r="K1430" s="19"/>
      <c r="L1430" s="19"/>
      <c r="M1430" s="17" t="s">
        <v>1936</v>
      </c>
      <c r="N1430" s="17"/>
      <c r="O1430" s="17" t="s">
        <v>76</v>
      </c>
      <c r="P1430" s="29" t="s">
        <v>134</v>
      </c>
      <c r="Q1430" s="29" t="s">
        <v>1890</v>
      </c>
      <c r="R1430" s="16" t="n">
        <v>739.96</v>
      </c>
      <c r="S1430" s="16" t="n">
        <v>1049</v>
      </c>
      <c r="T1430" s="16" t="n">
        <v>1</v>
      </c>
      <c r="U1430" s="1" t="str">
        <f aca="false">D1430&amp;"-"&amp;E1430&amp;"-"&amp;M1430&amp;"-"&amp;O1430&amp;"-"&amp;P1430&amp;"-"&amp;Q1430</f>
        <v>ENAMOR-A112 NON PADDED WIREFREE FULL COVERAGE-A112-BLK-34-Z</v>
      </c>
    </row>
    <row r="1431" customFormat="false" ht="15" hidden="true" customHeight="false" outlineLevel="0" collapsed="false">
      <c r="B1431" s="29" t="s">
        <v>1949</v>
      </c>
      <c r="C1431" s="29" t="s">
        <v>1856</v>
      </c>
      <c r="D1431" s="29" t="s">
        <v>1857</v>
      </c>
      <c r="E1431" s="29" t="s">
        <v>1950</v>
      </c>
      <c r="F1431" s="3" t="s">
        <v>80</v>
      </c>
      <c r="G1431" s="14" t="s">
        <v>689</v>
      </c>
      <c r="H1431" s="143" t="s">
        <v>1683</v>
      </c>
      <c r="I1431" s="26" t="s">
        <v>43</v>
      </c>
      <c r="J1431" s="26"/>
      <c r="K1431" s="19"/>
      <c r="L1431" s="19"/>
      <c r="M1431" s="17" t="s">
        <v>1936</v>
      </c>
      <c r="N1431" s="17"/>
      <c r="O1431" s="17" t="s">
        <v>465</v>
      </c>
      <c r="P1431" s="29" t="s">
        <v>134</v>
      </c>
      <c r="Q1431" s="29" t="s">
        <v>1890</v>
      </c>
      <c r="R1431" s="16" t="n">
        <v>739.96</v>
      </c>
      <c r="S1431" s="16" t="n">
        <v>1049</v>
      </c>
      <c r="T1431" s="16" t="n">
        <v>1</v>
      </c>
      <c r="U1431" s="1" t="str">
        <f aca="false">D1431&amp;"-"&amp;E1431&amp;"-"&amp;M1431&amp;"-"&amp;O1431&amp;"-"&amp;P1431&amp;"-"&amp;Q1431</f>
        <v>ENAMOR-A112-NON PADDED WIREFREE FULL COVERAGE-A112-SKIN-34-Z</v>
      </c>
    </row>
    <row r="1432" customFormat="false" ht="15" hidden="true" customHeight="false" outlineLevel="0" collapsed="false">
      <c r="B1432" s="29" t="s">
        <v>1951</v>
      </c>
      <c r="C1432" s="29" t="s">
        <v>1856</v>
      </c>
      <c r="D1432" s="29" t="s">
        <v>1857</v>
      </c>
      <c r="E1432" s="29" t="s">
        <v>1952</v>
      </c>
      <c r="F1432" s="3" t="s">
        <v>80</v>
      </c>
      <c r="G1432" s="14" t="s">
        <v>689</v>
      </c>
      <c r="H1432" s="143" t="s">
        <v>1683</v>
      </c>
      <c r="I1432" s="26" t="s">
        <v>43</v>
      </c>
      <c r="J1432" s="26"/>
      <c r="K1432" s="19"/>
      <c r="L1432" s="19"/>
      <c r="M1432" s="17" t="s">
        <v>1936</v>
      </c>
      <c r="N1432" s="17"/>
      <c r="O1432" s="17" t="s">
        <v>465</v>
      </c>
      <c r="P1432" s="29" t="s">
        <v>65</v>
      </c>
      <c r="Q1432" s="29" t="s">
        <v>592</v>
      </c>
      <c r="R1432" s="16" t="n">
        <v>669.42</v>
      </c>
      <c r="S1432" s="16" t="n">
        <v>949</v>
      </c>
      <c r="T1432" s="16" t="n">
        <v>2</v>
      </c>
      <c r="U1432" s="1" t="str">
        <f aca="false">D1432&amp;"-"&amp;E1432&amp;"-"&amp;M1432&amp;"-"&amp;O1432&amp;"-"&amp;P1432&amp;"-"&amp;Q1432</f>
        <v>ENAMOR-A112 NON PADDED WIREFREEE FULL COVERAGE-A112-SKIN-36-B</v>
      </c>
    </row>
    <row r="1433" customFormat="false" ht="15" hidden="true" customHeight="false" outlineLevel="0" collapsed="false">
      <c r="B1433" s="29" t="s">
        <v>1953</v>
      </c>
      <c r="C1433" s="29" t="s">
        <v>1856</v>
      </c>
      <c r="D1433" s="29" t="s">
        <v>1857</v>
      </c>
      <c r="E1433" s="29" t="s">
        <v>1943</v>
      </c>
      <c r="F1433" s="3" t="s">
        <v>80</v>
      </c>
      <c r="G1433" s="14" t="s">
        <v>689</v>
      </c>
      <c r="H1433" s="143" t="s">
        <v>1683</v>
      </c>
      <c r="I1433" s="26" t="s">
        <v>43</v>
      </c>
      <c r="J1433" s="26"/>
      <c r="K1433" s="19"/>
      <c r="L1433" s="19"/>
      <c r="M1433" s="17" t="s">
        <v>1936</v>
      </c>
      <c r="N1433" s="17"/>
      <c r="O1433" s="17" t="s">
        <v>76</v>
      </c>
      <c r="P1433" s="29" t="s">
        <v>65</v>
      </c>
      <c r="Q1433" s="29" t="s">
        <v>592</v>
      </c>
      <c r="R1433" s="16" t="n">
        <v>669.42</v>
      </c>
      <c r="S1433" s="16" t="n">
        <v>949</v>
      </c>
      <c r="T1433" s="16" t="n">
        <v>1</v>
      </c>
      <c r="U1433" s="1" t="str">
        <f aca="false">D1433&amp;"-"&amp;E1433&amp;"-"&amp;M1433&amp;"-"&amp;O1433&amp;"-"&amp;P1433&amp;"-"&amp;Q1433</f>
        <v>ENAMOR-A112- NON PADDED WIREFREE FULL COVERAGE-A112-BLK-36-B</v>
      </c>
    </row>
    <row r="1434" customFormat="false" ht="15" hidden="true" customHeight="false" outlineLevel="0" collapsed="false">
      <c r="B1434" s="17" t="s">
        <v>1954</v>
      </c>
      <c r="C1434" s="29" t="s">
        <v>1856</v>
      </c>
      <c r="D1434" s="29" t="s">
        <v>1857</v>
      </c>
      <c r="E1434" s="17" t="s">
        <v>1950</v>
      </c>
      <c r="F1434" s="3" t="s">
        <v>80</v>
      </c>
      <c r="G1434" s="14" t="s">
        <v>689</v>
      </c>
      <c r="H1434" s="143" t="s">
        <v>1683</v>
      </c>
      <c r="I1434" s="26" t="s">
        <v>43</v>
      </c>
      <c r="J1434" s="26"/>
      <c r="K1434" s="19"/>
      <c r="L1434" s="19"/>
      <c r="M1434" s="17" t="s">
        <v>1936</v>
      </c>
      <c r="N1434" s="29"/>
      <c r="O1434" s="17" t="s">
        <v>72</v>
      </c>
      <c r="P1434" s="29" t="s">
        <v>65</v>
      </c>
      <c r="Q1434" s="17" t="s">
        <v>592</v>
      </c>
      <c r="R1434" s="16" t="n">
        <v>669.42</v>
      </c>
      <c r="S1434" s="16" t="n">
        <v>949</v>
      </c>
      <c r="T1434" s="16" t="n">
        <v>0</v>
      </c>
      <c r="U1434" s="1" t="str">
        <f aca="false">D1434&amp;"-"&amp;E1434&amp;"-"&amp;M1434&amp;"-"&amp;O1434&amp;"-"&amp;P1434&amp;"-"&amp;Q1434</f>
        <v>ENAMOR-A112-NON PADDED WIREFREE FULL COVERAGE-A112-WHE-36-B</v>
      </c>
    </row>
    <row r="1435" customFormat="false" ht="15" hidden="true" customHeight="false" outlineLevel="0" collapsed="false">
      <c r="B1435" s="29" t="s">
        <v>1955</v>
      </c>
      <c r="C1435" s="29" t="s">
        <v>1856</v>
      </c>
      <c r="D1435" s="29" t="s">
        <v>1857</v>
      </c>
      <c r="E1435" s="29" t="s">
        <v>1935</v>
      </c>
      <c r="F1435" s="3" t="s">
        <v>80</v>
      </c>
      <c r="G1435" s="14" t="s">
        <v>689</v>
      </c>
      <c r="H1435" s="143" t="s">
        <v>1683</v>
      </c>
      <c r="I1435" s="26" t="s">
        <v>43</v>
      </c>
      <c r="J1435" s="26"/>
      <c r="K1435" s="19"/>
      <c r="L1435" s="19"/>
      <c r="M1435" s="17" t="s">
        <v>1936</v>
      </c>
      <c r="N1435" s="17"/>
      <c r="O1435" s="17" t="s">
        <v>76</v>
      </c>
      <c r="P1435" s="29" t="s">
        <v>65</v>
      </c>
      <c r="Q1435" s="29" t="s">
        <v>595</v>
      </c>
      <c r="R1435" s="16" t="n">
        <v>669.42</v>
      </c>
      <c r="S1435" s="16" t="n">
        <v>949</v>
      </c>
      <c r="T1435" s="16" t="n">
        <v>2</v>
      </c>
      <c r="U1435" s="1" t="str">
        <f aca="false">D1435&amp;"-"&amp;E1435&amp;"-"&amp;M1435&amp;"-"&amp;O1435&amp;"-"&amp;P1435&amp;"-"&amp;Q1435</f>
        <v>ENAMOR-A112 NON PADDED WIREFREE FULL COVERAGE-A112-BLK-36-C</v>
      </c>
    </row>
    <row r="1436" customFormat="false" ht="15" hidden="true" customHeight="false" outlineLevel="0" collapsed="false">
      <c r="B1436" s="17" t="s">
        <v>1956</v>
      </c>
      <c r="C1436" s="29" t="s">
        <v>1856</v>
      </c>
      <c r="D1436" s="29" t="s">
        <v>1857</v>
      </c>
      <c r="E1436" s="17" t="s">
        <v>1935</v>
      </c>
      <c r="F1436" s="3" t="s">
        <v>80</v>
      </c>
      <c r="G1436" s="14" t="s">
        <v>689</v>
      </c>
      <c r="H1436" s="143" t="s">
        <v>1683</v>
      </c>
      <c r="I1436" s="26" t="s">
        <v>43</v>
      </c>
      <c r="J1436" s="26"/>
      <c r="K1436" s="19"/>
      <c r="L1436" s="19"/>
      <c r="M1436" s="17" t="s">
        <v>1936</v>
      </c>
      <c r="N1436" s="17"/>
      <c r="O1436" s="17" t="s">
        <v>76</v>
      </c>
      <c r="P1436" s="29" t="s">
        <v>65</v>
      </c>
      <c r="Q1436" s="17" t="s">
        <v>595</v>
      </c>
      <c r="R1436" s="16" t="n">
        <v>669.42</v>
      </c>
      <c r="S1436" s="16" t="n">
        <v>949</v>
      </c>
      <c r="T1436" s="16" t="n">
        <v>1</v>
      </c>
      <c r="U1436" s="1" t="str">
        <f aca="false">D1436&amp;"-"&amp;E1436&amp;"-"&amp;M1436&amp;"-"&amp;O1436&amp;"-"&amp;P1436&amp;"-"&amp;Q1436</f>
        <v>ENAMOR-A112 NON PADDED WIREFREE FULL COVERAGE-A112-BLK-36-C</v>
      </c>
    </row>
    <row r="1437" customFormat="false" ht="15" hidden="true" customHeight="false" outlineLevel="0" collapsed="false">
      <c r="B1437" s="29" t="s">
        <v>1957</v>
      </c>
      <c r="C1437" s="29" t="s">
        <v>1856</v>
      </c>
      <c r="D1437" s="29" t="s">
        <v>1857</v>
      </c>
      <c r="E1437" s="29" t="s">
        <v>1935</v>
      </c>
      <c r="F1437" s="3" t="s">
        <v>80</v>
      </c>
      <c r="G1437" s="14" t="s">
        <v>689</v>
      </c>
      <c r="H1437" s="143" t="s">
        <v>1683</v>
      </c>
      <c r="I1437" s="26" t="s">
        <v>43</v>
      </c>
      <c r="J1437" s="26"/>
      <c r="K1437" s="19"/>
      <c r="L1437" s="19"/>
      <c r="M1437" s="17" t="s">
        <v>1936</v>
      </c>
      <c r="N1437" s="29"/>
      <c r="O1437" s="29" t="s">
        <v>1187</v>
      </c>
      <c r="P1437" s="29" t="s">
        <v>65</v>
      </c>
      <c r="Q1437" s="29" t="s">
        <v>595</v>
      </c>
      <c r="R1437" s="16" t="n">
        <v>669.42</v>
      </c>
      <c r="S1437" s="16" t="n">
        <v>949</v>
      </c>
      <c r="T1437" s="16" t="n">
        <v>1</v>
      </c>
      <c r="U1437" s="1" t="str">
        <f aca="false">D1437&amp;"-"&amp;E1437&amp;"-"&amp;M1437&amp;"-"&amp;O1437&amp;"-"&amp;P1437&amp;"-"&amp;Q1437</f>
        <v>ENAMOR-A112 NON PADDED WIREFREE FULL COVERAGE-A112-WINE-36-C</v>
      </c>
    </row>
    <row r="1438" customFormat="false" ht="15" hidden="true" customHeight="false" outlineLevel="0" collapsed="false">
      <c r="B1438" s="31" t="n">
        <v>8902625574336</v>
      </c>
      <c r="C1438" s="29" t="s">
        <v>1856</v>
      </c>
      <c r="D1438" s="29" t="s">
        <v>1857</v>
      </c>
      <c r="E1438" s="29" t="s">
        <v>1935</v>
      </c>
      <c r="F1438" s="3" t="s">
        <v>80</v>
      </c>
      <c r="G1438" s="14" t="s">
        <v>689</v>
      </c>
      <c r="H1438" s="143" t="s">
        <v>1683</v>
      </c>
      <c r="I1438" s="26" t="s">
        <v>43</v>
      </c>
      <c r="J1438" s="26"/>
      <c r="K1438" s="28"/>
      <c r="L1438" s="19"/>
      <c r="M1438" s="17" t="s">
        <v>1936</v>
      </c>
      <c r="N1438" s="29"/>
      <c r="O1438" s="17" t="s">
        <v>72</v>
      </c>
      <c r="P1438" s="29" t="s">
        <v>65</v>
      </c>
      <c r="Q1438" s="17" t="s">
        <v>595</v>
      </c>
      <c r="R1438" s="16" t="n">
        <v>669.42</v>
      </c>
      <c r="S1438" s="16" t="n">
        <v>949</v>
      </c>
      <c r="T1438" s="16" t="n">
        <v>3</v>
      </c>
      <c r="U1438" s="1" t="str">
        <f aca="false">D1438&amp;"-"&amp;E1438&amp;"-"&amp;M1438&amp;"-"&amp;O1438&amp;"-"&amp;P1438&amp;"-"&amp;Q1438</f>
        <v>ENAMOR-A112 NON PADDED WIREFREE FULL COVERAGE-A112-WHE-36-C</v>
      </c>
    </row>
    <row r="1439" customFormat="false" ht="15" hidden="true" customHeight="false" outlineLevel="0" collapsed="false">
      <c r="B1439" s="31" t="n">
        <v>8902625557476</v>
      </c>
      <c r="C1439" s="29" t="s">
        <v>1856</v>
      </c>
      <c r="D1439" s="29" t="s">
        <v>1857</v>
      </c>
      <c r="E1439" s="29" t="s">
        <v>1935</v>
      </c>
      <c r="F1439" s="3" t="s">
        <v>80</v>
      </c>
      <c r="G1439" s="14" t="s">
        <v>689</v>
      </c>
      <c r="H1439" s="143" t="s">
        <v>1683</v>
      </c>
      <c r="I1439" s="26" t="s">
        <v>43</v>
      </c>
      <c r="J1439" s="26"/>
      <c r="K1439" s="28"/>
      <c r="L1439" s="19"/>
      <c r="M1439" s="17" t="s">
        <v>1936</v>
      </c>
      <c r="N1439" s="17"/>
      <c r="O1439" s="17" t="s">
        <v>465</v>
      </c>
      <c r="P1439" s="29" t="s">
        <v>65</v>
      </c>
      <c r="Q1439" s="29" t="s">
        <v>595</v>
      </c>
      <c r="R1439" s="16" t="n">
        <v>669.42</v>
      </c>
      <c r="S1439" s="16" t="n">
        <v>949</v>
      </c>
      <c r="T1439" s="16" t="n">
        <v>2</v>
      </c>
      <c r="U1439" s="1" t="str">
        <f aca="false">D1439&amp;"-"&amp;E1439&amp;"-"&amp;M1439&amp;"-"&amp;O1439&amp;"-"&amp;P1439&amp;"-"&amp;Q1439</f>
        <v>ENAMOR-A112 NON PADDED WIREFREE FULL COVERAGE-A112-SKIN-36-C</v>
      </c>
    </row>
    <row r="1440" customFormat="false" ht="15" hidden="true" customHeight="false" outlineLevel="0" collapsed="false">
      <c r="B1440" s="29" t="s">
        <v>1958</v>
      </c>
      <c r="C1440" s="29" t="s">
        <v>1856</v>
      </c>
      <c r="D1440" s="29" t="s">
        <v>1857</v>
      </c>
      <c r="E1440" s="29" t="s">
        <v>1935</v>
      </c>
      <c r="F1440" s="3" t="s">
        <v>80</v>
      </c>
      <c r="G1440" s="14" t="s">
        <v>689</v>
      </c>
      <c r="H1440" s="143" t="s">
        <v>1683</v>
      </c>
      <c r="I1440" s="26" t="s">
        <v>43</v>
      </c>
      <c r="J1440" s="26"/>
      <c r="K1440" s="19"/>
      <c r="L1440" s="19"/>
      <c r="M1440" s="17" t="s">
        <v>1936</v>
      </c>
      <c r="N1440" s="17"/>
      <c r="O1440" s="17" t="s">
        <v>465</v>
      </c>
      <c r="P1440" s="29" t="s">
        <v>65</v>
      </c>
      <c r="Q1440" s="29" t="s">
        <v>97</v>
      </c>
      <c r="R1440" s="16" t="n">
        <v>725.86</v>
      </c>
      <c r="S1440" s="16" t="n">
        <v>1049</v>
      </c>
      <c r="T1440" s="16" t="n">
        <v>1</v>
      </c>
      <c r="U1440" s="1" t="str">
        <f aca="false">D1440&amp;"-"&amp;E1440&amp;"-"&amp;M1440&amp;"-"&amp;O1440&amp;"-"&amp;P1440&amp;"-"&amp;Q1440</f>
        <v>ENAMOR-A112 NON PADDED WIREFREE FULL COVERAGE-A112-SKIN-36-D</v>
      </c>
    </row>
    <row r="1441" customFormat="false" ht="15" hidden="true" customHeight="false" outlineLevel="0" collapsed="false">
      <c r="B1441" s="29" t="s">
        <v>1959</v>
      </c>
      <c r="C1441" s="29" t="s">
        <v>1856</v>
      </c>
      <c r="D1441" s="29" t="s">
        <v>1857</v>
      </c>
      <c r="E1441" s="29" t="s">
        <v>1935</v>
      </c>
      <c r="F1441" s="3" t="s">
        <v>80</v>
      </c>
      <c r="G1441" s="14" t="s">
        <v>689</v>
      </c>
      <c r="H1441" s="143" t="s">
        <v>1683</v>
      </c>
      <c r="I1441" s="26" t="s">
        <v>43</v>
      </c>
      <c r="J1441" s="26"/>
      <c r="K1441" s="19"/>
      <c r="L1441" s="19"/>
      <c r="M1441" s="17" t="s">
        <v>1936</v>
      </c>
      <c r="N1441" s="17"/>
      <c r="O1441" s="17" t="s">
        <v>76</v>
      </c>
      <c r="P1441" s="29" t="s">
        <v>65</v>
      </c>
      <c r="Q1441" s="29" t="s">
        <v>97</v>
      </c>
      <c r="R1441" s="16" t="n">
        <v>725.86</v>
      </c>
      <c r="S1441" s="16" t="n">
        <v>1049</v>
      </c>
      <c r="T1441" s="16" t="n">
        <v>1</v>
      </c>
      <c r="U1441" s="1" t="str">
        <f aca="false">D1441&amp;"-"&amp;E1441&amp;"-"&amp;M1441&amp;"-"&amp;O1441&amp;"-"&amp;P1441&amp;"-"&amp;Q1441</f>
        <v>ENAMOR-A112 NON PADDED WIREFREE FULL COVERAGE-A112-BLK-36-D</v>
      </c>
    </row>
    <row r="1442" customFormat="false" ht="15" hidden="true" customHeight="false" outlineLevel="0" collapsed="false">
      <c r="B1442" s="144" t="n">
        <v>8902625574343</v>
      </c>
      <c r="C1442" s="29" t="s">
        <v>1856</v>
      </c>
      <c r="D1442" s="29" t="s">
        <v>1857</v>
      </c>
      <c r="E1442" s="29" t="s">
        <v>1935</v>
      </c>
      <c r="F1442" s="3" t="s">
        <v>80</v>
      </c>
      <c r="G1442" s="14" t="s">
        <v>689</v>
      </c>
      <c r="H1442" s="143" t="s">
        <v>1683</v>
      </c>
      <c r="I1442" s="26" t="s">
        <v>43</v>
      </c>
      <c r="J1442" s="26"/>
      <c r="K1442" s="28"/>
      <c r="L1442" s="19"/>
      <c r="M1442" s="17" t="s">
        <v>1936</v>
      </c>
      <c r="N1442" s="29"/>
      <c r="O1442" s="17" t="s">
        <v>72</v>
      </c>
      <c r="P1442" s="29" t="s">
        <v>65</v>
      </c>
      <c r="Q1442" s="29" t="s">
        <v>97</v>
      </c>
      <c r="R1442" s="16" t="n">
        <v>725.86</v>
      </c>
      <c r="S1442" s="16" t="n">
        <v>1049</v>
      </c>
      <c r="T1442" s="16" t="n">
        <v>1</v>
      </c>
      <c r="U1442" s="1" t="str">
        <f aca="false">D1442&amp;"-"&amp;E1442&amp;"-"&amp;M1442&amp;"-"&amp;O1442&amp;"-"&amp;P1442&amp;"-"&amp;Q1442</f>
        <v>ENAMOR-A112 NON PADDED WIREFREE FULL COVERAGE-A112-WHE-36-D</v>
      </c>
    </row>
    <row r="1443" customFormat="false" ht="15" hidden="true" customHeight="false" outlineLevel="0" collapsed="false">
      <c r="B1443" s="17" t="s">
        <v>1960</v>
      </c>
      <c r="C1443" s="29" t="s">
        <v>1856</v>
      </c>
      <c r="D1443" s="29" t="s">
        <v>1857</v>
      </c>
      <c r="E1443" s="29" t="s">
        <v>1935</v>
      </c>
      <c r="F1443" s="3" t="s">
        <v>80</v>
      </c>
      <c r="G1443" s="14" t="s">
        <v>689</v>
      </c>
      <c r="H1443" s="143" t="s">
        <v>1683</v>
      </c>
      <c r="I1443" s="26" t="s">
        <v>43</v>
      </c>
      <c r="J1443" s="26"/>
      <c r="K1443" s="19"/>
      <c r="L1443" s="19"/>
      <c r="M1443" s="17" t="s">
        <v>1936</v>
      </c>
      <c r="N1443" s="29"/>
      <c r="O1443" s="17" t="s">
        <v>72</v>
      </c>
      <c r="P1443" s="29" t="s">
        <v>65</v>
      </c>
      <c r="Q1443" s="29" t="s">
        <v>1890</v>
      </c>
      <c r="R1443" s="16" t="n">
        <v>725.86</v>
      </c>
      <c r="S1443" s="16" t="n">
        <v>1049</v>
      </c>
      <c r="T1443" s="16" t="n">
        <v>2</v>
      </c>
      <c r="U1443" s="1" t="str">
        <f aca="false">D1443&amp;"-"&amp;E1443&amp;"-"&amp;M1443&amp;"-"&amp;O1443&amp;"-"&amp;P1443&amp;"-"&amp;Q1443</f>
        <v>ENAMOR-A112 NON PADDED WIREFREE FULL COVERAGE-A112-WHE-36-Z</v>
      </c>
    </row>
    <row r="1444" customFormat="false" ht="15" hidden="true" customHeight="false" outlineLevel="0" collapsed="false">
      <c r="B1444" s="17" t="s">
        <v>1961</v>
      </c>
      <c r="C1444" s="29" t="s">
        <v>1856</v>
      </c>
      <c r="D1444" s="29" t="s">
        <v>1857</v>
      </c>
      <c r="E1444" s="29" t="s">
        <v>1935</v>
      </c>
      <c r="F1444" s="3" t="s">
        <v>80</v>
      </c>
      <c r="G1444" s="14" t="s">
        <v>689</v>
      </c>
      <c r="H1444" s="143" t="s">
        <v>1683</v>
      </c>
      <c r="I1444" s="26" t="s">
        <v>43</v>
      </c>
      <c r="J1444" s="26"/>
      <c r="K1444" s="19"/>
      <c r="L1444" s="19"/>
      <c r="M1444" s="17" t="s">
        <v>1936</v>
      </c>
      <c r="N1444" s="17"/>
      <c r="O1444" s="17" t="s">
        <v>465</v>
      </c>
      <c r="P1444" s="29" t="s">
        <v>65</v>
      </c>
      <c r="Q1444" s="29" t="s">
        <v>1890</v>
      </c>
      <c r="R1444" s="16" t="n">
        <v>725.86</v>
      </c>
      <c r="S1444" s="16" t="n">
        <v>1049</v>
      </c>
      <c r="T1444" s="16" t="n">
        <v>1</v>
      </c>
      <c r="U1444" s="1" t="str">
        <f aca="false">D1444&amp;"-"&amp;E1444&amp;"-"&amp;M1444&amp;"-"&amp;O1444&amp;"-"&amp;P1444&amp;"-"&amp;Q1444</f>
        <v>ENAMOR-A112 NON PADDED WIREFREE FULL COVERAGE-A112-SKIN-36-Z</v>
      </c>
    </row>
    <row r="1445" customFormat="false" ht="15" hidden="true" customHeight="false" outlineLevel="0" collapsed="false">
      <c r="B1445" s="29" t="s">
        <v>1962</v>
      </c>
      <c r="C1445" s="29" t="s">
        <v>1856</v>
      </c>
      <c r="D1445" s="29" t="s">
        <v>1857</v>
      </c>
      <c r="E1445" s="29" t="s">
        <v>1963</v>
      </c>
      <c r="F1445" s="3" t="s">
        <v>80</v>
      </c>
      <c r="G1445" s="14" t="s">
        <v>689</v>
      </c>
      <c r="H1445" s="143" t="s">
        <v>1683</v>
      </c>
      <c r="I1445" s="26" t="s">
        <v>43</v>
      </c>
      <c r="J1445" s="26"/>
      <c r="K1445" s="19"/>
      <c r="L1445" s="19"/>
      <c r="M1445" s="17" t="s">
        <v>1936</v>
      </c>
      <c r="N1445" s="17"/>
      <c r="O1445" s="17" t="s">
        <v>76</v>
      </c>
      <c r="P1445" s="17" t="s">
        <v>154</v>
      </c>
      <c r="Q1445" s="29" t="s">
        <v>595</v>
      </c>
      <c r="R1445" s="16" t="n">
        <v>669.42</v>
      </c>
      <c r="S1445" s="16" t="n">
        <v>949</v>
      </c>
      <c r="T1445" s="16" t="n">
        <v>1</v>
      </c>
      <c r="U1445" s="1" t="str">
        <f aca="false">D1445&amp;"-"&amp;E1445&amp;"-"&amp;M1445&amp;"-"&amp;O1445&amp;"-"&amp;P1445&amp;"-"&amp;Q1445</f>
        <v>ENAMOR-A112 NON PADDED  WIREFREE FULL COVERAGE-A112-BLK-38-C</v>
      </c>
    </row>
    <row r="1446" customFormat="false" ht="15" hidden="true" customHeight="false" outlineLevel="0" collapsed="false">
      <c r="B1446" s="17" t="s">
        <v>1964</v>
      </c>
      <c r="C1446" s="29" t="s">
        <v>1856</v>
      </c>
      <c r="D1446" s="29" t="s">
        <v>1857</v>
      </c>
      <c r="E1446" s="17" t="s">
        <v>1935</v>
      </c>
      <c r="F1446" s="3" t="s">
        <v>80</v>
      </c>
      <c r="G1446" s="14" t="s">
        <v>689</v>
      </c>
      <c r="H1446" s="143" t="s">
        <v>1683</v>
      </c>
      <c r="I1446" s="26" t="s">
        <v>43</v>
      </c>
      <c r="J1446" s="26"/>
      <c r="K1446" s="19"/>
      <c r="L1446" s="19"/>
      <c r="M1446" s="17" t="s">
        <v>1936</v>
      </c>
      <c r="N1446" s="17"/>
      <c r="O1446" s="17" t="s">
        <v>465</v>
      </c>
      <c r="P1446" s="17" t="s">
        <v>154</v>
      </c>
      <c r="Q1446" s="17" t="s">
        <v>595</v>
      </c>
      <c r="R1446" s="16" t="n">
        <v>649.42</v>
      </c>
      <c r="S1446" s="16" t="n">
        <v>949</v>
      </c>
      <c r="T1446" s="16" t="n">
        <v>1</v>
      </c>
      <c r="U1446" s="1" t="str">
        <f aca="false">D1446&amp;"-"&amp;E1446&amp;"-"&amp;M1446&amp;"-"&amp;O1446&amp;"-"&amp;P1446&amp;"-"&amp;Q1446</f>
        <v>ENAMOR-A112 NON PADDED WIREFREE FULL COVERAGE-A112-SKIN-38-C</v>
      </c>
    </row>
    <row r="1447" customFormat="false" ht="15" hidden="true" customHeight="false" outlineLevel="0" collapsed="false">
      <c r="B1447" s="29" t="s">
        <v>1965</v>
      </c>
      <c r="C1447" s="29" t="s">
        <v>1856</v>
      </c>
      <c r="D1447" s="29" t="s">
        <v>1857</v>
      </c>
      <c r="E1447" s="29" t="s">
        <v>1935</v>
      </c>
      <c r="F1447" s="3" t="s">
        <v>80</v>
      </c>
      <c r="G1447" s="14" t="s">
        <v>689</v>
      </c>
      <c r="H1447" s="143" t="s">
        <v>1683</v>
      </c>
      <c r="I1447" s="26" t="s">
        <v>43</v>
      </c>
      <c r="J1447" s="26"/>
      <c r="K1447" s="19"/>
      <c r="L1447" s="19"/>
      <c r="M1447" s="17" t="s">
        <v>1936</v>
      </c>
      <c r="N1447" s="29"/>
      <c r="O1447" s="17" t="s">
        <v>72</v>
      </c>
      <c r="P1447" s="17" t="s">
        <v>154</v>
      </c>
      <c r="Q1447" s="29" t="s">
        <v>595</v>
      </c>
      <c r="R1447" s="16" t="n">
        <v>742.25</v>
      </c>
      <c r="S1447" s="16" t="n">
        <v>1149</v>
      </c>
      <c r="T1447" s="16" t="n">
        <v>0</v>
      </c>
      <c r="U1447" s="1" t="str">
        <f aca="false">D1447&amp;"-"&amp;E1447&amp;"-"&amp;M1447&amp;"-"&amp;O1447&amp;"-"&amp;P1447&amp;"-"&amp;Q1447</f>
        <v>ENAMOR-A112 NON PADDED WIREFREE FULL COVERAGE-A112-WHE-38-C</v>
      </c>
    </row>
    <row r="1448" customFormat="false" ht="15" hidden="true" customHeight="false" outlineLevel="0" collapsed="false">
      <c r="B1448" s="17" t="s">
        <v>1966</v>
      </c>
      <c r="C1448" s="29" t="s">
        <v>1856</v>
      </c>
      <c r="D1448" s="29" t="s">
        <v>1857</v>
      </c>
      <c r="E1448" s="17" t="s">
        <v>1935</v>
      </c>
      <c r="F1448" s="3" t="s">
        <v>80</v>
      </c>
      <c r="G1448" s="14" t="s">
        <v>689</v>
      </c>
      <c r="H1448" s="143" t="s">
        <v>1683</v>
      </c>
      <c r="I1448" s="26" t="s">
        <v>43</v>
      </c>
      <c r="J1448" s="26"/>
      <c r="K1448" s="19"/>
      <c r="L1448" s="19"/>
      <c r="M1448" s="17" t="s">
        <v>1936</v>
      </c>
      <c r="N1448" s="17"/>
      <c r="O1448" s="17" t="s">
        <v>104</v>
      </c>
      <c r="P1448" s="17" t="s">
        <v>154</v>
      </c>
      <c r="Q1448" s="17" t="s">
        <v>595</v>
      </c>
      <c r="R1448" s="16" t="n">
        <v>669.42</v>
      </c>
      <c r="S1448" s="16" t="n">
        <v>949</v>
      </c>
      <c r="T1448" s="16" t="n">
        <v>0</v>
      </c>
      <c r="U1448" s="1" t="str">
        <f aca="false">D1448&amp;"-"&amp;E1448&amp;"-"&amp;M1448&amp;"-"&amp;O1448&amp;"-"&amp;P1448&amp;"-"&amp;Q1448</f>
        <v>ENAMOR-A112 NON PADDED WIREFREE FULL COVERAGE-A112-Light Pink-38-C</v>
      </c>
    </row>
    <row r="1449" customFormat="false" ht="15" hidden="true" customHeight="false" outlineLevel="0" collapsed="false">
      <c r="B1449" s="17" t="s">
        <v>1967</v>
      </c>
      <c r="C1449" s="29" t="s">
        <v>1856</v>
      </c>
      <c r="D1449" s="29" t="s">
        <v>1857</v>
      </c>
      <c r="E1449" s="17" t="s">
        <v>1968</v>
      </c>
      <c r="F1449" s="3" t="s">
        <v>80</v>
      </c>
      <c r="G1449" s="14" t="s">
        <v>689</v>
      </c>
      <c r="H1449" s="143" t="s">
        <v>1683</v>
      </c>
      <c r="I1449" s="26" t="s">
        <v>43</v>
      </c>
      <c r="J1449" s="26"/>
      <c r="K1449" s="19"/>
      <c r="L1449" s="19"/>
      <c r="M1449" s="17" t="s">
        <v>1936</v>
      </c>
      <c r="N1449" s="29"/>
      <c r="O1449" s="17" t="s">
        <v>72</v>
      </c>
      <c r="P1449" s="17" t="s">
        <v>154</v>
      </c>
      <c r="Q1449" s="17" t="s">
        <v>97</v>
      </c>
      <c r="R1449" s="16" t="n">
        <v>725.86</v>
      </c>
      <c r="S1449" s="16" t="n">
        <v>1029</v>
      </c>
      <c r="T1449" s="16" t="n">
        <v>2</v>
      </c>
      <c r="U1449" s="1" t="str">
        <f aca="false">D1449&amp;"-"&amp;E1449&amp;"-"&amp;M1449&amp;"-"&amp;O1449&amp;"-"&amp;P1449&amp;"-"&amp;Q1449</f>
        <v>ENAMOR-A 112 NON PADDED WIREFREE FULL COVERAGR-A112-WHE-38-D</v>
      </c>
    </row>
    <row r="1450" customFormat="false" ht="15" hidden="true" customHeight="false" outlineLevel="0" collapsed="false">
      <c r="B1450" s="29" t="s">
        <v>1969</v>
      </c>
      <c r="C1450" s="29" t="s">
        <v>1856</v>
      </c>
      <c r="D1450" s="29" t="s">
        <v>1857</v>
      </c>
      <c r="E1450" s="29" t="s">
        <v>1935</v>
      </c>
      <c r="F1450" s="3" t="s">
        <v>80</v>
      </c>
      <c r="G1450" s="14" t="s">
        <v>689</v>
      </c>
      <c r="H1450" s="143" t="s">
        <v>1683</v>
      </c>
      <c r="I1450" s="26" t="s">
        <v>43</v>
      </c>
      <c r="J1450" s="26"/>
      <c r="K1450" s="19"/>
      <c r="L1450" s="19"/>
      <c r="M1450" s="17" t="s">
        <v>1936</v>
      </c>
      <c r="N1450" s="29"/>
      <c r="O1450" s="17" t="s">
        <v>72</v>
      </c>
      <c r="P1450" s="17" t="s">
        <v>154</v>
      </c>
      <c r="Q1450" s="17" t="s">
        <v>1890</v>
      </c>
      <c r="R1450" s="16" t="n">
        <v>739.69</v>
      </c>
      <c r="S1450" s="16" t="n">
        <v>1049</v>
      </c>
      <c r="T1450" s="16" t="n">
        <v>1</v>
      </c>
      <c r="U1450" s="1" t="str">
        <f aca="false">D1450&amp;"-"&amp;E1450&amp;"-"&amp;M1450&amp;"-"&amp;O1450&amp;"-"&amp;P1450&amp;"-"&amp;Q1450</f>
        <v>ENAMOR-A112 NON PADDED WIREFREE FULL COVERAGE-A112-WHE-38-Z</v>
      </c>
    </row>
    <row r="1451" customFormat="false" ht="15" hidden="true" customHeight="false" outlineLevel="0" collapsed="false">
      <c r="B1451" s="29" t="s">
        <v>1970</v>
      </c>
      <c r="C1451" s="29" t="s">
        <v>1856</v>
      </c>
      <c r="D1451" s="29" t="s">
        <v>1857</v>
      </c>
      <c r="E1451" s="29" t="s">
        <v>1935</v>
      </c>
      <c r="F1451" s="3" t="s">
        <v>80</v>
      </c>
      <c r="G1451" s="14" t="s">
        <v>689</v>
      </c>
      <c r="H1451" s="143" t="s">
        <v>1683</v>
      </c>
      <c r="I1451" s="26" t="s">
        <v>43</v>
      </c>
      <c r="J1451" s="26"/>
      <c r="K1451" s="19"/>
      <c r="L1451" s="19"/>
      <c r="M1451" s="17" t="s">
        <v>1936</v>
      </c>
      <c r="N1451" s="17"/>
      <c r="O1451" s="17" t="s">
        <v>76</v>
      </c>
      <c r="P1451" s="29" t="s">
        <v>417</v>
      </c>
      <c r="Q1451" s="29" t="s">
        <v>592</v>
      </c>
      <c r="R1451" s="16" t="n">
        <v>657.25</v>
      </c>
      <c r="S1451" s="16" t="n">
        <v>879</v>
      </c>
      <c r="T1451" s="16" t="n">
        <v>1</v>
      </c>
      <c r="U1451" s="1" t="str">
        <f aca="false">D1451&amp;"-"&amp;E1451&amp;"-"&amp;M1451&amp;"-"&amp;O1451&amp;"-"&amp;P1451&amp;"-"&amp;Q1451</f>
        <v>ENAMOR-A112 NON PADDED WIREFREE FULL COVERAGE-A112-BLK-40-B</v>
      </c>
    </row>
    <row r="1452" customFormat="false" ht="15" hidden="true" customHeight="false" outlineLevel="0" collapsed="false">
      <c r="B1452" s="17" t="s">
        <v>1971</v>
      </c>
      <c r="C1452" s="29" t="s">
        <v>1856</v>
      </c>
      <c r="D1452" s="29" t="s">
        <v>1857</v>
      </c>
      <c r="E1452" s="29" t="s">
        <v>1935</v>
      </c>
      <c r="F1452" s="3" t="s">
        <v>80</v>
      </c>
      <c r="G1452" s="14" t="s">
        <v>689</v>
      </c>
      <c r="H1452" s="143" t="s">
        <v>1683</v>
      </c>
      <c r="I1452" s="26" t="s">
        <v>43</v>
      </c>
      <c r="J1452" s="26"/>
      <c r="K1452" s="19"/>
      <c r="L1452" s="19"/>
      <c r="M1452" s="17" t="s">
        <v>1936</v>
      </c>
      <c r="N1452" s="29"/>
      <c r="O1452" s="17" t="s">
        <v>72</v>
      </c>
      <c r="P1452" s="29" t="s">
        <v>417</v>
      </c>
      <c r="Q1452" s="17" t="s">
        <v>592</v>
      </c>
      <c r="R1452" s="16" t="n">
        <v>725.86</v>
      </c>
      <c r="S1452" s="16" t="n">
        <v>1049</v>
      </c>
      <c r="T1452" s="16" t="n">
        <v>0</v>
      </c>
      <c r="U1452" s="1" t="str">
        <f aca="false">D1452&amp;"-"&amp;E1452&amp;"-"&amp;M1452&amp;"-"&amp;O1452&amp;"-"&amp;P1452&amp;"-"&amp;Q1452</f>
        <v>ENAMOR-A112 NON PADDED WIREFREE FULL COVERAGE-A112-WHE-40-B</v>
      </c>
    </row>
    <row r="1453" customFormat="false" ht="15" hidden="true" customHeight="false" outlineLevel="0" collapsed="false">
      <c r="B1453" s="29" t="s">
        <v>1972</v>
      </c>
      <c r="C1453" s="29" t="s">
        <v>1856</v>
      </c>
      <c r="D1453" s="29" t="s">
        <v>1857</v>
      </c>
      <c r="E1453" s="29" t="s">
        <v>1935</v>
      </c>
      <c r="F1453" s="3" t="s">
        <v>80</v>
      </c>
      <c r="G1453" s="14" t="s">
        <v>689</v>
      </c>
      <c r="H1453" s="143" t="s">
        <v>1683</v>
      </c>
      <c r="I1453" s="26" t="s">
        <v>43</v>
      </c>
      <c r="J1453" s="26"/>
      <c r="K1453" s="19"/>
      <c r="L1453" s="19"/>
      <c r="M1453" s="17" t="s">
        <v>1936</v>
      </c>
      <c r="N1453" s="17"/>
      <c r="O1453" s="17" t="s">
        <v>465</v>
      </c>
      <c r="P1453" s="29" t="s">
        <v>417</v>
      </c>
      <c r="Q1453" s="29" t="s">
        <v>595</v>
      </c>
      <c r="R1453" s="16" t="n">
        <v>739.69</v>
      </c>
      <c r="S1453" s="16" t="n">
        <v>1049</v>
      </c>
      <c r="T1453" s="16" t="n">
        <v>1</v>
      </c>
      <c r="U1453" s="1" t="str">
        <f aca="false">D1453&amp;"-"&amp;E1453&amp;"-"&amp;M1453&amp;"-"&amp;O1453&amp;"-"&amp;P1453&amp;"-"&amp;Q1453</f>
        <v>ENAMOR-A112 NON PADDED WIREFREE FULL COVERAGE-A112-SKIN-40-C</v>
      </c>
    </row>
    <row r="1454" customFormat="false" ht="15" hidden="true" customHeight="false" outlineLevel="0" collapsed="false">
      <c r="B1454" s="17" t="s">
        <v>1973</v>
      </c>
      <c r="C1454" s="29" t="s">
        <v>1856</v>
      </c>
      <c r="D1454" s="29" t="s">
        <v>1857</v>
      </c>
      <c r="E1454" s="29" t="s">
        <v>1935</v>
      </c>
      <c r="F1454" s="3" t="s">
        <v>80</v>
      </c>
      <c r="G1454" s="14" t="s">
        <v>689</v>
      </c>
      <c r="H1454" s="143" t="s">
        <v>1683</v>
      </c>
      <c r="I1454" s="26" t="s">
        <v>43</v>
      </c>
      <c r="J1454" s="26"/>
      <c r="K1454" s="19"/>
      <c r="L1454" s="19"/>
      <c r="M1454" s="17" t="s">
        <v>1936</v>
      </c>
      <c r="N1454" s="17"/>
      <c r="O1454" s="17" t="s">
        <v>76</v>
      </c>
      <c r="P1454" s="29" t="s">
        <v>417</v>
      </c>
      <c r="Q1454" s="17" t="s">
        <v>595</v>
      </c>
      <c r="R1454" s="16" t="n">
        <v>739.96</v>
      </c>
      <c r="S1454" s="16" t="n">
        <v>1049</v>
      </c>
      <c r="T1454" s="16" t="n">
        <v>0</v>
      </c>
      <c r="U1454" s="1" t="str">
        <f aca="false">D1454&amp;"-"&amp;E1454&amp;"-"&amp;M1454&amp;"-"&amp;O1454&amp;"-"&amp;P1454&amp;"-"&amp;Q1454</f>
        <v>ENAMOR-A112 NON PADDED WIREFREE FULL COVERAGE-A112-BLK-40-C</v>
      </c>
    </row>
    <row r="1455" customFormat="false" ht="15" hidden="true" customHeight="false" outlineLevel="0" collapsed="false">
      <c r="B1455" s="17" t="s">
        <v>1974</v>
      </c>
      <c r="C1455" s="29" t="s">
        <v>1856</v>
      </c>
      <c r="D1455" s="29" t="s">
        <v>1857</v>
      </c>
      <c r="E1455" s="29" t="s">
        <v>1935</v>
      </c>
      <c r="F1455" s="3" t="s">
        <v>80</v>
      </c>
      <c r="G1455" s="14" t="s">
        <v>689</v>
      </c>
      <c r="H1455" s="143" t="s">
        <v>1683</v>
      </c>
      <c r="I1455" s="26" t="s">
        <v>43</v>
      </c>
      <c r="J1455" s="26"/>
      <c r="K1455" s="19"/>
      <c r="L1455" s="19"/>
      <c r="M1455" s="17" t="s">
        <v>1936</v>
      </c>
      <c r="N1455" s="29"/>
      <c r="O1455" s="17" t="s">
        <v>72</v>
      </c>
      <c r="P1455" s="29" t="s">
        <v>417</v>
      </c>
      <c r="Q1455" s="17" t="s">
        <v>97</v>
      </c>
      <c r="R1455" s="16" t="n">
        <v>739.69</v>
      </c>
      <c r="S1455" s="16" t="n">
        <v>1049</v>
      </c>
      <c r="T1455" s="16" t="n">
        <v>1</v>
      </c>
      <c r="U1455" s="1" t="str">
        <f aca="false">D1455&amp;"-"&amp;E1455&amp;"-"&amp;M1455&amp;"-"&amp;O1455&amp;"-"&amp;P1455&amp;"-"&amp;Q1455</f>
        <v>ENAMOR-A112 NON PADDED WIREFREE FULL COVERAGE-A112-WHE-40-D</v>
      </c>
    </row>
    <row r="1456" customFormat="false" ht="15" hidden="true" customHeight="false" outlineLevel="0" collapsed="false">
      <c r="B1456" s="17" t="s">
        <v>1975</v>
      </c>
      <c r="C1456" s="29" t="s">
        <v>1856</v>
      </c>
      <c r="D1456" s="29" t="s">
        <v>1857</v>
      </c>
      <c r="E1456" s="29" t="s">
        <v>1935</v>
      </c>
      <c r="F1456" s="3" t="s">
        <v>80</v>
      </c>
      <c r="G1456" s="14" t="s">
        <v>689</v>
      </c>
      <c r="H1456" s="143" t="s">
        <v>1683</v>
      </c>
      <c r="I1456" s="26" t="s">
        <v>43</v>
      </c>
      <c r="J1456" s="26"/>
      <c r="K1456" s="19"/>
      <c r="L1456" s="19"/>
      <c r="M1456" s="17" t="s">
        <v>1936</v>
      </c>
      <c r="N1456" s="17"/>
      <c r="O1456" s="17" t="s">
        <v>465</v>
      </c>
      <c r="P1456" s="29" t="s">
        <v>417</v>
      </c>
      <c r="Q1456" s="17" t="s">
        <v>97</v>
      </c>
      <c r="R1456" s="16" t="n">
        <v>725.86</v>
      </c>
      <c r="S1456" s="16" t="n">
        <v>1049</v>
      </c>
      <c r="T1456" s="16" t="n">
        <v>1</v>
      </c>
      <c r="U1456" s="1" t="str">
        <f aca="false">D1456&amp;"-"&amp;E1456&amp;"-"&amp;M1456&amp;"-"&amp;O1456&amp;"-"&amp;P1456&amp;"-"&amp;Q1456</f>
        <v>ENAMOR-A112 NON PADDED WIREFREE FULL COVERAGE-A112-SKIN-40-D</v>
      </c>
    </row>
    <row r="1457" customFormat="false" ht="15" hidden="true" customHeight="false" outlineLevel="0" collapsed="false">
      <c r="B1457" s="17" t="s">
        <v>1976</v>
      </c>
      <c r="C1457" s="29" t="s">
        <v>1856</v>
      </c>
      <c r="D1457" s="29" t="s">
        <v>1857</v>
      </c>
      <c r="E1457" s="29" t="s">
        <v>1935</v>
      </c>
      <c r="F1457" s="3" t="s">
        <v>80</v>
      </c>
      <c r="G1457" s="14" t="s">
        <v>689</v>
      </c>
      <c r="H1457" s="143" t="s">
        <v>1683</v>
      </c>
      <c r="I1457" s="26" t="s">
        <v>43</v>
      </c>
      <c r="J1457" s="26"/>
      <c r="K1457" s="19"/>
      <c r="L1457" s="19"/>
      <c r="M1457" s="17" t="s">
        <v>1936</v>
      </c>
      <c r="N1457" s="17"/>
      <c r="O1457" s="17" t="s">
        <v>1977</v>
      </c>
      <c r="P1457" s="17" t="s">
        <v>440</v>
      </c>
      <c r="Q1457" s="17" t="s">
        <v>1890</v>
      </c>
      <c r="R1457" s="16" t="n">
        <v>649.42</v>
      </c>
      <c r="S1457" s="16" t="n">
        <v>1049</v>
      </c>
      <c r="T1457" s="16" t="n">
        <v>1</v>
      </c>
      <c r="U1457" s="1" t="str">
        <f aca="false">D1457&amp;"-"&amp;E1457&amp;"-"&amp;M1457&amp;"-"&amp;O1457&amp;"-"&amp;P1457&amp;"-"&amp;Q1457</f>
        <v>ENAMOR-A112 NON PADDED WIREFREE FULL COVERAGE-A112-LIGH BLUE-42-Z</v>
      </c>
    </row>
    <row r="1458" customFormat="false" ht="15" hidden="true" customHeight="false" outlineLevel="0" collapsed="false">
      <c r="B1458" s="31" t="n">
        <v>8902625557575</v>
      </c>
      <c r="C1458" s="29" t="s">
        <v>1856</v>
      </c>
      <c r="D1458" s="29" t="s">
        <v>1857</v>
      </c>
      <c r="E1458" s="29" t="s">
        <v>1935</v>
      </c>
      <c r="F1458" s="3" t="s">
        <v>80</v>
      </c>
      <c r="G1458" s="14" t="s">
        <v>689</v>
      </c>
      <c r="H1458" s="143" t="s">
        <v>1683</v>
      </c>
      <c r="I1458" s="26" t="s">
        <v>43</v>
      </c>
      <c r="J1458" s="26"/>
      <c r="K1458" s="28"/>
      <c r="L1458" s="19"/>
      <c r="M1458" s="17" t="s">
        <v>1936</v>
      </c>
      <c r="N1458" s="17"/>
      <c r="O1458" s="17" t="s">
        <v>465</v>
      </c>
      <c r="P1458" s="17" t="s">
        <v>440</v>
      </c>
      <c r="Q1458" s="17" t="s">
        <v>1890</v>
      </c>
      <c r="R1458" s="16" t="n">
        <v>649.42</v>
      </c>
      <c r="S1458" s="16" t="n">
        <v>1049</v>
      </c>
      <c r="T1458" s="16" t="n">
        <v>2</v>
      </c>
      <c r="U1458" s="1" t="str">
        <f aca="false">D1458&amp;"-"&amp;E1458&amp;"-"&amp;M1458&amp;"-"&amp;O1458&amp;"-"&amp;P1458&amp;"-"&amp;Q1458</f>
        <v>ENAMOR-A112 NON PADDED WIREFREE FULL COVERAGE-A112-SKIN-42-Z</v>
      </c>
    </row>
    <row r="1459" customFormat="false" ht="15" hidden="true" customHeight="false" outlineLevel="0" collapsed="false">
      <c r="B1459" s="29" t="s">
        <v>1978</v>
      </c>
      <c r="C1459" s="29" t="s">
        <v>1856</v>
      </c>
      <c r="D1459" s="29" t="s">
        <v>1857</v>
      </c>
      <c r="E1459" s="29" t="s">
        <v>1935</v>
      </c>
      <c r="F1459" s="3" t="s">
        <v>80</v>
      </c>
      <c r="G1459" s="14" t="s">
        <v>689</v>
      </c>
      <c r="H1459" s="143" t="s">
        <v>1683</v>
      </c>
      <c r="I1459" s="26" t="s">
        <v>43</v>
      </c>
      <c r="J1459" s="26"/>
      <c r="K1459" s="19"/>
      <c r="L1459" s="19"/>
      <c r="M1459" s="17" t="s">
        <v>1936</v>
      </c>
      <c r="N1459" s="29"/>
      <c r="O1459" s="17" t="s">
        <v>72</v>
      </c>
      <c r="P1459" s="17" t="s">
        <v>440</v>
      </c>
      <c r="Q1459" s="29" t="s">
        <v>97</v>
      </c>
      <c r="R1459" s="16" t="n">
        <v>649.42</v>
      </c>
      <c r="S1459" s="16" t="n">
        <v>1049</v>
      </c>
      <c r="T1459" s="16" t="n">
        <v>1</v>
      </c>
      <c r="U1459" s="1" t="str">
        <f aca="false">D1459&amp;"-"&amp;E1459&amp;"-"&amp;M1459&amp;"-"&amp;O1459&amp;"-"&amp;P1459&amp;"-"&amp;Q1459</f>
        <v>ENAMOR-A112 NON PADDED WIREFREE FULL COVERAGE-A112-WHE-42-D</v>
      </c>
    </row>
    <row r="1460" customFormat="false" ht="15" hidden="true" customHeight="false" outlineLevel="0" collapsed="false">
      <c r="B1460" s="29" t="s">
        <v>1979</v>
      </c>
      <c r="C1460" s="29" t="s">
        <v>1856</v>
      </c>
      <c r="D1460" s="29" t="s">
        <v>1857</v>
      </c>
      <c r="E1460" s="29" t="s">
        <v>1980</v>
      </c>
      <c r="F1460" s="3" t="s">
        <v>80</v>
      </c>
      <c r="G1460" s="14" t="s">
        <v>689</v>
      </c>
      <c r="H1460" s="14" t="s">
        <v>1424</v>
      </c>
      <c r="I1460" s="26" t="s">
        <v>43</v>
      </c>
      <c r="J1460" s="26"/>
      <c r="K1460" s="19"/>
      <c r="L1460" s="19"/>
      <c r="M1460" s="29" t="s">
        <v>1981</v>
      </c>
      <c r="N1460" s="29"/>
      <c r="O1460" s="17" t="s">
        <v>72</v>
      </c>
      <c r="P1460" s="29" t="s">
        <v>92</v>
      </c>
      <c r="Q1460" s="29" t="s">
        <v>97</v>
      </c>
      <c r="R1460" s="16" t="n">
        <v>563.61</v>
      </c>
      <c r="S1460" s="16" t="n">
        <v>799</v>
      </c>
      <c r="T1460" s="16" t="n">
        <v>1</v>
      </c>
      <c r="U1460" s="1" t="str">
        <f aca="false">D1460&amp;"-"&amp;E1460&amp;"-"&amp;M1460&amp;"-"&amp;O1460&amp;"-"&amp;P1460&amp;"-"&amp;Q1460</f>
        <v>ENAMOR-AO39 PADDED WIREFREE MEDIUM COVERAGE-AO39-WHE-32-D</v>
      </c>
    </row>
    <row r="1461" customFormat="false" ht="15" hidden="true" customHeight="false" outlineLevel="0" collapsed="false">
      <c r="B1461" s="29" t="s">
        <v>1982</v>
      </c>
      <c r="C1461" s="29" t="s">
        <v>1856</v>
      </c>
      <c r="D1461" s="29" t="s">
        <v>1857</v>
      </c>
      <c r="E1461" s="29" t="s">
        <v>1980</v>
      </c>
      <c r="F1461" s="3" t="s">
        <v>80</v>
      </c>
      <c r="G1461" s="14" t="s">
        <v>689</v>
      </c>
      <c r="H1461" s="14" t="s">
        <v>1424</v>
      </c>
      <c r="I1461" s="26" t="s">
        <v>43</v>
      </c>
      <c r="J1461" s="26"/>
      <c r="K1461" s="19"/>
      <c r="L1461" s="19"/>
      <c r="M1461" s="29" t="s">
        <v>1981</v>
      </c>
      <c r="N1461" s="17"/>
      <c r="O1461" s="17" t="s">
        <v>76</v>
      </c>
      <c r="P1461" s="29" t="s">
        <v>92</v>
      </c>
      <c r="Q1461" s="29" t="s">
        <v>97</v>
      </c>
      <c r="R1461" s="16" t="n">
        <v>563.61</v>
      </c>
      <c r="S1461" s="16" t="n">
        <v>799</v>
      </c>
      <c r="T1461" s="16" t="n">
        <v>1</v>
      </c>
      <c r="U1461" s="1" t="str">
        <f aca="false">D1461&amp;"-"&amp;E1461&amp;"-"&amp;M1461&amp;"-"&amp;O1461&amp;"-"&amp;P1461&amp;"-"&amp;Q1461</f>
        <v>ENAMOR-AO39 PADDED WIREFREE MEDIUM COVERAGE-AO39-BLK-32-D</v>
      </c>
    </row>
    <row r="1462" customFormat="false" ht="15" hidden="true" customHeight="false" outlineLevel="0" collapsed="false">
      <c r="B1462" s="17" t="s">
        <v>1983</v>
      </c>
      <c r="C1462" s="29" t="s">
        <v>1856</v>
      </c>
      <c r="D1462" s="29" t="s">
        <v>1857</v>
      </c>
      <c r="E1462" s="29" t="s">
        <v>1980</v>
      </c>
      <c r="F1462" s="3" t="s">
        <v>80</v>
      </c>
      <c r="G1462" s="14" t="s">
        <v>689</v>
      </c>
      <c r="H1462" s="14" t="s">
        <v>1424</v>
      </c>
      <c r="I1462" s="26" t="s">
        <v>43</v>
      </c>
      <c r="J1462" s="26"/>
      <c r="K1462" s="19"/>
      <c r="L1462" s="19"/>
      <c r="M1462" s="29" t="s">
        <v>1981</v>
      </c>
      <c r="N1462" s="29"/>
      <c r="O1462" s="17" t="s">
        <v>72</v>
      </c>
      <c r="P1462" s="17" t="s">
        <v>134</v>
      </c>
      <c r="Q1462" s="17" t="s">
        <v>97</v>
      </c>
      <c r="R1462" s="16" t="n">
        <v>563.61</v>
      </c>
      <c r="S1462" s="16" t="n">
        <v>799</v>
      </c>
      <c r="T1462" s="16" t="n">
        <v>1</v>
      </c>
      <c r="U1462" s="1" t="str">
        <f aca="false">D1462&amp;"-"&amp;E1462&amp;"-"&amp;M1462&amp;"-"&amp;O1462&amp;"-"&amp;P1462&amp;"-"&amp;Q1462</f>
        <v>ENAMOR-AO39 PADDED WIREFREE MEDIUM COVERAGE-AO39-WHE-34-D</v>
      </c>
    </row>
    <row r="1463" customFormat="false" ht="15" hidden="true" customHeight="false" outlineLevel="0" collapsed="false">
      <c r="B1463" s="29" t="s">
        <v>1984</v>
      </c>
      <c r="C1463" s="29" t="s">
        <v>1856</v>
      </c>
      <c r="D1463" s="29" t="s">
        <v>1857</v>
      </c>
      <c r="E1463" s="29" t="s">
        <v>1985</v>
      </c>
      <c r="F1463" s="3" t="s">
        <v>80</v>
      </c>
      <c r="G1463" s="14" t="s">
        <v>689</v>
      </c>
      <c r="H1463" s="14" t="s">
        <v>1424</v>
      </c>
      <c r="I1463" s="26" t="s">
        <v>43</v>
      </c>
      <c r="J1463" s="26"/>
      <c r="K1463" s="19"/>
      <c r="L1463" s="19"/>
      <c r="M1463" s="29" t="s">
        <v>1981</v>
      </c>
      <c r="N1463" s="29"/>
      <c r="O1463" s="17" t="s">
        <v>72</v>
      </c>
      <c r="P1463" s="29" t="s">
        <v>65</v>
      </c>
      <c r="Q1463" s="29" t="s">
        <v>595</v>
      </c>
      <c r="R1463" s="16" t="n">
        <v>563.61</v>
      </c>
      <c r="S1463" s="16" t="n">
        <v>799</v>
      </c>
      <c r="T1463" s="16" t="n">
        <v>1</v>
      </c>
      <c r="U1463" s="1" t="str">
        <f aca="false">D1463&amp;"-"&amp;E1463&amp;"-"&amp;M1463&amp;"-"&amp;O1463&amp;"-"&amp;P1463&amp;"-"&amp;Q1463</f>
        <v>ENAMOR-AO39 PADDED WIREFREE  MEDIUM COVERAGE-AO39-WHE-36-C</v>
      </c>
    </row>
    <row r="1464" customFormat="false" ht="15" hidden="true" customHeight="false" outlineLevel="0" collapsed="false">
      <c r="B1464" s="17" t="s">
        <v>1986</v>
      </c>
      <c r="C1464" s="29" t="s">
        <v>1856</v>
      </c>
      <c r="D1464" s="29" t="s">
        <v>1857</v>
      </c>
      <c r="E1464" s="17" t="s">
        <v>1980</v>
      </c>
      <c r="F1464" s="3" t="s">
        <v>80</v>
      </c>
      <c r="G1464" s="14" t="s">
        <v>689</v>
      </c>
      <c r="H1464" s="14" t="s">
        <v>1424</v>
      </c>
      <c r="I1464" s="26" t="s">
        <v>43</v>
      </c>
      <c r="J1464" s="26"/>
      <c r="K1464" s="19"/>
      <c r="L1464" s="19"/>
      <c r="M1464" s="29" t="s">
        <v>1981</v>
      </c>
      <c r="N1464" s="17"/>
      <c r="O1464" s="17" t="s">
        <v>76</v>
      </c>
      <c r="P1464" s="29" t="s">
        <v>65</v>
      </c>
      <c r="Q1464" s="17" t="s">
        <v>592</v>
      </c>
      <c r="R1464" s="16" t="n">
        <v>563.61</v>
      </c>
      <c r="S1464" s="16" t="n">
        <v>799</v>
      </c>
      <c r="T1464" s="16" t="n">
        <v>1</v>
      </c>
      <c r="U1464" s="1" t="str">
        <f aca="false">D1464&amp;"-"&amp;E1464&amp;"-"&amp;M1464&amp;"-"&amp;O1464&amp;"-"&amp;P1464&amp;"-"&amp;Q1464</f>
        <v>ENAMOR-AO39 PADDED WIREFREE MEDIUM COVERAGE-AO39-BLK-36-B</v>
      </c>
    </row>
    <row r="1465" customFormat="false" ht="15" hidden="true" customHeight="false" outlineLevel="0" collapsed="false">
      <c r="B1465" s="17" t="s">
        <v>1987</v>
      </c>
      <c r="C1465" s="29" t="s">
        <v>1856</v>
      </c>
      <c r="D1465" s="29" t="s">
        <v>1857</v>
      </c>
      <c r="E1465" s="17" t="s">
        <v>1988</v>
      </c>
      <c r="F1465" s="3" t="s">
        <v>80</v>
      </c>
      <c r="G1465" s="14" t="s">
        <v>689</v>
      </c>
      <c r="H1465" s="14" t="s">
        <v>1424</v>
      </c>
      <c r="I1465" s="26" t="s">
        <v>43</v>
      </c>
      <c r="J1465" s="26"/>
      <c r="K1465" s="19"/>
      <c r="L1465" s="19"/>
      <c r="M1465" s="29" t="s">
        <v>1981</v>
      </c>
      <c r="N1465" s="29"/>
      <c r="O1465" s="17" t="s">
        <v>72</v>
      </c>
      <c r="P1465" s="29" t="s">
        <v>65</v>
      </c>
      <c r="Q1465" s="17" t="s">
        <v>592</v>
      </c>
      <c r="R1465" s="16" t="n">
        <v>563.61</v>
      </c>
      <c r="S1465" s="16" t="n">
        <v>799</v>
      </c>
      <c r="T1465" s="16" t="n">
        <v>1</v>
      </c>
      <c r="U1465" s="1" t="str">
        <f aca="false">D1465&amp;"-"&amp;E1465&amp;"-"&amp;M1465&amp;"-"&amp;O1465&amp;"-"&amp;P1465&amp;"-"&amp;Q1465</f>
        <v>ENAMOR-A039 PADDED WIREFREE MEDIUM COVERAGE-AO39-WHE-36-B</v>
      </c>
    </row>
    <row r="1466" customFormat="false" ht="15" hidden="true" customHeight="false" outlineLevel="0" collapsed="false">
      <c r="B1466" s="29" t="s">
        <v>1989</v>
      </c>
      <c r="C1466" s="29" t="s">
        <v>1856</v>
      </c>
      <c r="D1466" s="29" t="s">
        <v>1857</v>
      </c>
      <c r="E1466" s="17" t="s">
        <v>1988</v>
      </c>
      <c r="F1466" s="3" t="s">
        <v>80</v>
      </c>
      <c r="G1466" s="14" t="s">
        <v>689</v>
      </c>
      <c r="H1466" s="14" t="s">
        <v>1424</v>
      </c>
      <c r="I1466" s="26" t="s">
        <v>43</v>
      </c>
      <c r="J1466" s="26"/>
      <c r="K1466" s="19"/>
      <c r="L1466" s="19"/>
      <c r="M1466" s="29" t="s">
        <v>1981</v>
      </c>
      <c r="N1466" s="29"/>
      <c r="O1466" s="29" t="s">
        <v>72</v>
      </c>
      <c r="P1466" s="29" t="s">
        <v>134</v>
      </c>
      <c r="Q1466" s="29" t="s">
        <v>97</v>
      </c>
      <c r="R1466" s="16" t="n">
        <v>563.61</v>
      </c>
      <c r="S1466" s="16" t="n">
        <v>799</v>
      </c>
      <c r="T1466" s="16" t="n">
        <v>1</v>
      </c>
      <c r="U1466" s="1" t="str">
        <f aca="false">D1466&amp;"-"&amp;E1466&amp;"-"&amp;M1466&amp;"-"&amp;O1466&amp;"-"&amp;P1466&amp;"-"&amp;Q1466</f>
        <v>ENAMOR-A039 PADDED WIREFREE MEDIUM COVERAGE-AO39-WHE-34-D</v>
      </c>
    </row>
    <row r="1467" customFormat="false" ht="15" hidden="true" customHeight="false" outlineLevel="0" collapsed="false">
      <c r="B1467" s="29" t="s">
        <v>1990</v>
      </c>
      <c r="C1467" s="29" t="s">
        <v>1856</v>
      </c>
      <c r="D1467" s="29" t="s">
        <v>1857</v>
      </c>
      <c r="E1467" s="17" t="s">
        <v>1988</v>
      </c>
      <c r="F1467" s="3" t="s">
        <v>80</v>
      </c>
      <c r="G1467" s="14" t="s">
        <v>689</v>
      </c>
      <c r="H1467" s="14" t="s">
        <v>1424</v>
      </c>
      <c r="I1467" s="26" t="s">
        <v>43</v>
      </c>
      <c r="J1467" s="26"/>
      <c r="K1467" s="19"/>
      <c r="L1467" s="19"/>
      <c r="M1467" s="29" t="s">
        <v>1981</v>
      </c>
      <c r="N1467" s="17"/>
      <c r="O1467" s="29" t="s">
        <v>465</v>
      </c>
      <c r="P1467" s="29" t="s">
        <v>92</v>
      </c>
      <c r="Q1467" s="29" t="s">
        <v>97</v>
      </c>
      <c r="R1467" s="16" t="n">
        <v>563.61</v>
      </c>
      <c r="S1467" s="16" t="n">
        <v>799</v>
      </c>
      <c r="T1467" s="16" t="n">
        <v>1</v>
      </c>
      <c r="U1467" s="1" t="str">
        <f aca="false">D1467&amp;"-"&amp;E1467&amp;"-"&amp;M1467&amp;"-"&amp;O1467&amp;"-"&amp;P1467&amp;"-"&amp;Q1467</f>
        <v>ENAMOR-A039 PADDED WIREFREE MEDIUM COVERAGE-AO39-SKIN-32-D</v>
      </c>
    </row>
    <row r="1468" customFormat="false" ht="15" hidden="true" customHeight="false" outlineLevel="0" collapsed="false">
      <c r="B1468" s="17" t="s">
        <v>1991</v>
      </c>
      <c r="C1468" s="29" t="s">
        <v>1856</v>
      </c>
      <c r="D1468" s="29" t="s">
        <v>1857</v>
      </c>
      <c r="E1468" s="17" t="s">
        <v>1980</v>
      </c>
      <c r="F1468" s="3" t="s">
        <v>80</v>
      </c>
      <c r="G1468" s="14" t="s">
        <v>689</v>
      </c>
      <c r="H1468" s="14" t="s">
        <v>1424</v>
      </c>
      <c r="I1468" s="26" t="s">
        <v>43</v>
      </c>
      <c r="J1468" s="26"/>
      <c r="K1468" s="19"/>
      <c r="L1468" s="19"/>
      <c r="M1468" s="29" t="s">
        <v>1981</v>
      </c>
      <c r="N1468" s="17"/>
      <c r="O1468" s="29" t="s">
        <v>465</v>
      </c>
      <c r="P1468" s="17" t="s">
        <v>65</v>
      </c>
      <c r="Q1468" s="17" t="s">
        <v>595</v>
      </c>
      <c r="R1468" s="16" t="n">
        <v>563.61</v>
      </c>
      <c r="S1468" s="16" t="n">
        <v>799</v>
      </c>
      <c r="T1468" s="16" t="n">
        <v>1</v>
      </c>
      <c r="U1468" s="1" t="str">
        <f aca="false">D1468&amp;"-"&amp;E1468&amp;"-"&amp;M1468&amp;"-"&amp;O1468&amp;"-"&amp;P1468&amp;"-"&amp;Q1468</f>
        <v>ENAMOR-AO39 PADDED WIREFREE MEDIUM COVERAGE-AO39-SKIN-36-C</v>
      </c>
    </row>
    <row r="1469" customFormat="false" ht="15" hidden="true" customHeight="false" outlineLevel="0" collapsed="false">
      <c r="B1469" s="144" t="n">
        <v>8902625583307</v>
      </c>
      <c r="C1469" s="29" t="s">
        <v>1856</v>
      </c>
      <c r="D1469" s="29" t="s">
        <v>1857</v>
      </c>
      <c r="E1469" s="29" t="s">
        <v>1858</v>
      </c>
      <c r="F1469" s="26" t="s">
        <v>1089</v>
      </c>
      <c r="G1469" s="143" t="s">
        <v>573</v>
      </c>
      <c r="H1469" s="143" t="s">
        <v>1424</v>
      </c>
      <c r="I1469" s="26" t="s">
        <v>43</v>
      </c>
      <c r="J1469" s="26"/>
      <c r="K1469" s="28"/>
      <c r="L1469" s="19"/>
      <c r="M1469" s="29" t="s">
        <v>1859</v>
      </c>
      <c r="N1469" s="17"/>
      <c r="O1469" s="29" t="s">
        <v>89</v>
      </c>
      <c r="P1469" s="29" t="s">
        <v>154</v>
      </c>
      <c r="Q1469" s="29" t="s">
        <v>592</v>
      </c>
      <c r="R1469" s="16" t="n">
        <v>1194.64</v>
      </c>
      <c r="S1469" s="16" t="n">
        <v>1849</v>
      </c>
      <c r="T1469" s="16" t="n">
        <v>1</v>
      </c>
      <c r="U1469" s="1" t="str">
        <f aca="false">D1469&amp;"-"&amp;E1469&amp;"-"&amp;M1469&amp;"-"&amp;O1469&amp;"-"&amp;P1469&amp;"-"&amp;Q1469</f>
        <v>ENAMOR-F0-91 PLUNGE PUSH-UP PADDED WIERD COVERAGE-FO-91-BLUE-38-B</v>
      </c>
    </row>
    <row r="1470" customFormat="false" ht="15" hidden="true" customHeight="false" outlineLevel="0" collapsed="false">
      <c r="B1470" s="144" t="n">
        <v>8902625583406</v>
      </c>
      <c r="C1470" s="29" t="s">
        <v>1856</v>
      </c>
      <c r="D1470" s="29" t="s">
        <v>1857</v>
      </c>
      <c r="E1470" s="29" t="s">
        <v>1858</v>
      </c>
      <c r="F1470" s="26" t="s">
        <v>1089</v>
      </c>
      <c r="G1470" s="143" t="s">
        <v>573</v>
      </c>
      <c r="H1470" s="143" t="s">
        <v>1424</v>
      </c>
      <c r="I1470" s="26" t="s">
        <v>43</v>
      </c>
      <c r="J1470" s="26"/>
      <c r="K1470" s="28"/>
      <c r="M1470" s="29" t="s">
        <v>1859</v>
      </c>
      <c r="O1470" s="29" t="s">
        <v>607</v>
      </c>
      <c r="P1470" s="29" t="s">
        <v>154</v>
      </c>
      <c r="Q1470" s="29" t="s">
        <v>592</v>
      </c>
      <c r="R1470" s="16" t="n">
        <v>1194.64</v>
      </c>
      <c r="S1470" s="16" t="n">
        <v>1849</v>
      </c>
      <c r="T1470" s="16" t="n">
        <v>1</v>
      </c>
      <c r="U1470" s="1" t="str">
        <f aca="false">D1470&amp;"-"&amp;E1470&amp;"-"&amp;M1470&amp;"-"&amp;O1470&amp;"-"&amp;P1470&amp;"-"&amp;Q1470</f>
        <v>ENAMOR-F0-91 PLUNGE PUSH-UP PADDED WIERD COVERAGE-FO-91-MAROON-38-B</v>
      </c>
    </row>
    <row r="1471" customFormat="false" ht="15" hidden="true" customHeight="false" outlineLevel="0" collapsed="false">
      <c r="B1471" s="17" t="s">
        <v>1992</v>
      </c>
      <c r="C1471" s="29" t="s">
        <v>1856</v>
      </c>
      <c r="D1471" s="29" t="s">
        <v>1857</v>
      </c>
      <c r="E1471" s="17" t="s">
        <v>1993</v>
      </c>
      <c r="F1471" s="3" t="s">
        <v>997</v>
      </c>
      <c r="G1471" s="143" t="s">
        <v>573</v>
      </c>
      <c r="H1471" s="143" t="s">
        <v>1424</v>
      </c>
      <c r="I1471" s="26" t="s">
        <v>43</v>
      </c>
      <c r="J1471" s="26"/>
      <c r="K1471" s="19"/>
      <c r="L1471" s="19"/>
      <c r="M1471" s="17" t="s">
        <v>1994</v>
      </c>
      <c r="N1471" s="17"/>
      <c r="O1471" s="17" t="s">
        <v>1995</v>
      </c>
      <c r="P1471" s="17" t="s">
        <v>92</v>
      </c>
      <c r="Q1471" s="17" t="s">
        <v>592</v>
      </c>
      <c r="R1471" s="16" t="n">
        <v>1000.65</v>
      </c>
      <c r="S1471" s="16" t="n">
        <v>1549</v>
      </c>
      <c r="T1471" s="16" t="n">
        <v>0</v>
      </c>
      <c r="U1471" s="1" t="str">
        <f aca="false">D1471&amp;"-"&amp;E1471&amp;"-"&amp;M1471&amp;"-"&amp;O1471&amp;"-"&amp;P1471&amp;"-"&amp;Q1471</f>
        <v>ENAMOR-FO74 PADDED WIRED MEDIUM COVERAGE-FO74-PEACH-32-B</v>
      </c>
    </row>
    <row r="1472" customFormat="false" ht="15" hidden="true" customHeight="false" outlineLevel="0" collapsed="false">
      <c r="B1472" s="29" t="s">
        <v>1996</v>
      </c>
      <c r="C1472" s="29" t="s">
        <v>1856</v>
      </c>
      <c r="D1472" s="29" t="s">
        <v>1857</v>
      </c>
      <c r="E1472" s="17" t="s">
        <v>1993</v>
      </c>
      <c r="F1472" s="3" t="s">
        <v>997</v>
      </c>
      <c r="G1472" s="143" t="s">
        <v>573</v>
      </c>
      <c r="H1472" s="143" t="s">
        <v>1424</v>
      </c>
      <c r="I1472" s="26" t="s">
        <v>43</v>
      </c>
      <c r="J1472" s="26"/>
      <c r="K1472" s="19"/>
      <c r="L1472" s="19"/>
      <c r="M1472" s="17" t="s">
        <v>1994</v>
      </c>
      <c r="N1472" s="29"/>
      <c r="O1472" s="29" t="s">
        <v>588</v>
      </c>
      <c r="P1472" s="17" t="s">
        <v>92</v>
      </c>
      <c r="Q1472" s="29" t="s">
        <v>592</v>
      </c>
      <c r="R1472" s="16" t="n">
        <v>1000.65</v>
      </c>
      <c r="S1472" s="16" t="n">
        <v>1549</v>
      </c>
      <c r="T1472" s="16" t="n">
        <v>1</v>
      </c>
      <c r="U1472" s="1" t="str">
        <f aca="false">D1472&amp;"-"&amp;E1472&amp;"-"&amp;M1472&amp;"-"&amp;O1472&amp;"-"&amp;P1472&amp;"-"&amp;Q1472</f>
        <v>ENAMOR-FO74 PADDED WIRED MEDIUM COVERAGE-FO74-PURPLE-32-B</v>
      </c>
    </row>
    <row r="1473" customFormat="false" ht="15" hidden="true" customHeight="false" outlineLevel="0" collapsed="false">
      <c r="B1473" s="17" t="s">
        <v>1997</v>
      </c>
      <c r="C1473" s="29" t="s">
        <v>1856</v>
      </c>
      <c r="D1473" s="29" t="s">
        <v>1857</v>
      </c>
      <c r="E1473" s="17" t="s">
        <v>1993</v>
      </c>
      <c r="F1473" s="3" t="s">
        <v>997</v>
      </c>
      <c r="G1473" s="143" t="s">
        <v>573</v>
      </c>
      <c r="H1473" s="143" t="s">
        <v>1424</v>
      </c>
      <c r="I1473" s="26" t="s">
        <v>43</v>
      </c>
      <c r="J1473" s="26"/>
      <c r="K1473" s="19"/>
      <c r="L1473" s="19"/>
      <c r="M1473" s="17" t="s">
        <v>1994</v>
      </c>
      <c r="N1473" s="17"/>
      <c r="O1473" s="17" t="s">
        <v>76</v>
      </c>
      <c r="P1473" s="17" t="s">
        <v>92</v>
      </c>
      <c r="Q1473" s="17" t="s">
        <v>592</v>
      </c>
      <c r="R1473" s="16" t="n">
        <v>1000.65</v>
      </c>
      <c r="S1473" s="16" t="n">
        <v>1549</v>
      </c>
      <c r="T1473" s="16" t="n">
        <v>0</v>
      </c>
      <c r="U1473" s="1" t="str">
        <f aca="false">D1473&amp;"-"&amp;E1473&amp;"-"&amp;M1473&amp;"-"&amp;O1473&amp;"-"&amp;P1473&amp;"-"&amp;Q1473</f>
        <v>ENAMOR-FO74 PADDED WIRED MEDIUM COVERAGE-FO74-BLK-32-B</v>
      </c>
    </row>
    <row r="1474" customFormat="false" ht="15" hidden="true" customHeight="false" outlineLevel="0" collapsed="false">
      <c r="B1474" s="29" t="s">
        <v>1998</v>
      </c>
      <c r="C1474" s="29" t="s">
        <v>1856</v>
      </c>
      <c r="D1474" s="29" t="s">
        <v>1857</v>
      </c>
      <c r="E1474" s="17" t="s">
        <v>1993</v>
      </c>
      <c r="F1474" s="3" t="s">
        <v>997</v>
      </c>
      <c r="G1474" s="143" t="s">
        <v>573</v>
      </c>
      <c r="H1474" s="143" t="s">
        <v>1424</v>
      </c>
      <c r="I1474" s="26" t="s">
        <v>43</v>
      </c>
      <c r="J1474" s="26"/>
      <c r="K1474" s="19"/>
      <c r="L1474" s="19"/>
      <c r="M1474" s="17" t="s">
        <v>1994</v>
      </c>
      <c r="N1474" s="29"/>
      <c r="O1474" s="29" t="s">
        <v>528</v>
      </c>
      <c r="P1474" s="17" t="s">
        <v>92</v>
      </c>
      <c r="Q1474" s="29" t="s">
        <v>592</v>
      </c>
      <c r="R1474" s="16" t="n">
        <v>1000.65</v>
      </c>
      <c r="S1474" s="16" t="n">
        <v>1549</v>
      </c>
      <c r="T1474" s="16" t="n">
        <v>1</v>
      </c>
      <c r="U1474" s="1" t="str">
        <f aca="false">D1474&amp;"-"&amp;E1474&amp;"-"&amp;M1474&amp;"-"&amp;O1474&amp;"-"&amp;P1474&amp;"-"&amp;Q1474</f>
        <v>ENAMOR-FO74 PADDED WIRED MEDIUM COVERAGE-FO74-RED-32-B</v>
      </c>
    </row>
    <row r="1475" customFormat="false" ht="15" hidden="true" customHeight="false" outlineLevel="0" collapsed="false">
      <c r="B1475" s="17" t="s">
        <v>1999</v>
      </c>
      <c r="C1475" s="29" t="s">
        <v>1856</v>
      </c>
      <c r="D1475" s="29" t="s">
        <v>1857</v>
      </c>
      <c r="E1475" s="17" t="s">
        <v>1993</v>
      </c>
      <c r="F1475" s="3" t="s">
        <v>997</v>
      </c>
      <c r="G1475" s="143" t="s">
        <v>573</v>
      </c>
      <c r="H1475" s="143" t="s">
        <v>1424</v>
      </c>
      <c r="I1475" s="26" t="s">
        <v>43</v>
      </c>
      <c r="J1475" s="26"/>
      <c r="K1475" s="19"/>
      <c r="L1475" s="19"/>
      <c r="M1475" s="17" t="s">
        <v>1994</v>
      </c>
      <c r="N1475" s="17"/>
      <c r="O1475" s="29" t="s">
        <v>465</v>
      </c>
      <c r="P1475" s="17" t="s">
        <v>92</v>
      </c>
      <c r="Q1475" s="17" t="s">
        <v>592</v>
      </c>
      <c r="R1475" s="16" t="n">
        <v>1000.65</v>
      </c>
      <c r="S1475" s="16" t="n">
        <v>1549</v>
      </c>
      <c r="T1475" s="16" t="n">
        <v>1</v>
      </c>
      <c r="U1475" s="1" t="str">
        <f aca="false">D1475&amp;"-"&amp;E1475&amp;"-"&amp;M1475&amp;"-"&amp;O1475&amp;"-"&amp;P1475&amp;"-"&amp;Q1475</f>
        <v>ENAMOR-FO74 PADDED WIRED MEDIUM COVERAGE-FO74-SKIN-32-B</v>
      </c>
    </row>
    <row r="1476" customFormat="false" ht="15" hidden="true" customHeight="false" outlineLevel="0" collapsed="false">
      <c r="B1476" s="17" t="s">
        <v>2000</v>
      </c>
      <c r="C1476" s="29" t="s">
        <v>1856</v>
      </c>
      <c r="D1476" s="29" t="s">
        <v>1857</v>
      </c>
      <c r="E1476" s="17" t="s">
        <v>1993</v>
      </c>
      <c r="F1476" s="3" t="s">
        <v>997</v>
      </c>
      <c r="G1476" s="143" t="s">
        <v>573</v>
      </c>
      <c r="H1476" s="143" t="s">
        <v>1424</v>
      </c>
      <c r="I1476" s="26" t="s">
        <v>43</v>
      </c>
      <c r="J1476" s="26"/>
      <c r="K1476" s="19"/>
      <c r="L1476" s="19"/>
      <c r="M1476" s="17" t="s">
        <v>1994</v>
      </c>
      <c r="N1476" s="17"/>
      <c r="O1476" s="17" t="s">
        <v>1995</v>
      </c>
      <c r="P1476" s="17" t="s">
        <v>92</v>
      </c>
      <c r="Q1476" s="17" t="s">
        <v>592</v>
      </c>
      <c r="R1476" s="16" t="n">
        <v>1000.65</v>
      </c>
      <c r="S1476" s="16" t="n">
        <v>1549</v>
      </c>
      <c r="T1476" s="16" t="n">
        <v>0</v>
      </c>
      <c r="U1476" s="1" t="str">
        <f aca="false">D1476&amp;"-"&amp;E1476&amp;"-"&amp;M1476&amp;"-"&amp;O1476&amp;"-"&amp;P1476&amp;"-"&amp;Q1476</f>
        <v>ENAMOR-FO74 PADDED WIRED MEDIUM COVERAGE-FO74-PEACH-32-B</v>
      </c>
    </row>
    <row r="1477" customFormat="false" ht="15" hidden="true" customHeight="false" outlineLevel="0" collapsed="false">
      <c r="B1477" s="17" t="s">
        <v>2001</v>
      </c>
      <c r="C1477" s="29" t="s">
        <v>1856</v>
      </c>
      <c r="D1477" s="29" t="s">
        <v>1857</v>
      </c>
      <c r="E1477" s="17" t="s">
        <v>1993</v>
      </c>
      <c r="F1477" s="3" t="s">
        <v>997</v>
      </c>
      <c r="G1477" s="143" t="s">
        <v>573</v>
      </c>
      <c r="H1477" s="143" t="s">
        <v>1424</v>
      </c>
      <c r="I1477" s="26" t="s">
        <v>43</v>
      </c>
      <c r="J1477" s="26"/>
      <c r="K1477" s="19"/>
      <c r="L1477" s="19"/>
      <c r="M1477" s="17" t="s">
        <v>1994</v>
      </c>
      <c r="N1477" s="17"/>
      <c r="O1477" s="17" t="s">
        <v>1995</v>
      </c>
      <c r="P1477" s="17" t="s">
        <v>92</v>
      </c>
      <c r="Q1477" s="17" t="s">
        <v>595</v>
      </c>
      <c r="R1477" s="16" t="n">
        <v>1000.65</v>
      </c>
      <c r="S1477" s="16" t="n">
        <v>1549</v>
      </c>
      <c r="T1477" s="16" t="n">
        <v>0</v>
      </c>
      <c r="U1477" s="1" t="str">
        <f aca="false">D1477&amp;"-"&amp;E1477&amp;"-"&amp;M1477&amp;"-"&amp;O1477&amp;"-"&amp;P1477&amp;"-"&amp;Q1477</f>
        <v>ENAMOR-FO74 PADDED WIRED MEDIUM COVERAGE-FO74-PEACH-32-C</v>
      </c>
    </row>
    <row r="1478" customFormat="false" ht="15" hidden="true" customHeight="false" outlineLevel="0" collapsed="false">
      <c r="B1478" s="29" t="s">
        <v>2002</v>
      </c>
      <c r="C1478" s="29" t="s">
        <v>1856</v>
      </c>
      <c r="D1478" s="29" t="s">
        <v>1857</v>
      </c>
      <c r="E1478" s="17" t="s">
        <v>1993</v>
      </c>
      <c r="F1478" s="3" t="s">
        <v>997</v>
      </c>
      <c r="G1478" s="143" t="s">
        <v>573</v>
      </c>
      <c r="H1478" s="143" t="s">
        <v>1424</v>
      </c>
      <c r="I1478" s="26" t="s">
        <v>43</v>
      </c>
      <c r="J1478" s="26"/>
      <c r="K1478" s="19"/>
      <c r="L1478" s="19"/>
      <c r="M1478" s="17" t="s">
        <v>1994</v>
      </c>
      <c r="N1478" s="29"/>
      <c r="O1478" s="29" t="s">
        <v>588</v>
      </c>
      <c r="P1478" s="17" t="s">
        <v>92</v>
      </c>
      <c r="Q1478" s="29" t="s">
        <v>595</v>
      </c>
      <c r="R1478" s="16" t="n">
        <v>1000.65</v>
      </c>
      <c r="S1478" s="16" t="n">
        <v>1549</v>
      </c>
      <c r="T1478" s="16" t="n">
        <v>1</v>
      </c>
      <c r="U1478" s="1" t="str">
        <f aca="false">D1478&amp;"-"&amp;E1478&amp;"-"&amp;M1478&amp;"-"&amp;O1478&amp;"-"&amp;P1478&amp;"-"&amp;Q1478</f>
        <v>ENAMOR-FO74 PADDED WIRED MEDIUM COVERAGE-FO74-PURPLE-32-C</v>
      </c>
    </row>
    <row r="1479" customFormat="false" ht="15" hidden="true" customHeight="false" outlineLevel="0" collapsed="false">
      <c r="B1479" s="17" t="s">
        <v>2003</v>
      </c>
      <c r="C1479" s="29" t="s">
        <v>1856</v>
      </c>
      <c r="D1479" s="29" t="s">
        <v>1857</v>
      </c>
      <c r="E1479" s="17" t="s">
        <v>1993</v>
      </c>
      <c r="F1479" s="3" t="s">
        <v>997</v>
      </c>
      <c r="G1479" s="143" t="s">
        <v>573</v>
      </c>
      <c r="H1479" s="143" t="s">
        <v>1424</v>
      </c>
      <c r="I1479" s="26" t="s">
        <v>43</v>
      </c>
      <c r="J1479" s="26"/>
      <c r="K1479" s="19"/>
      <c r="L1479" s="19"/>
      <c r="M1479" s="17" t="s">
        <v>1994</v>
      </c>
      <c r="N1479" s="17"/>
      <c r="O1479" s="17" t="s">
        <v>465</v>
      </c>
      <c r="P1479" s="17" t="s">
        <v>92</v>
      </c>
      <c r="Q1479" s="17" t="s">
        <v>595</v>
      </c>
      <c r="R1479" s="16" t="n">
        <v>1000.65</v>
      </c>
      <c r="S1479" s="16" t="n">
        <v>1549</v>
      </c>
      <c r="T1479" s="16" t="n">
        <v>0</v>
      </c>
      <c r="U1479" s="1" t="str">
        <f aca="false">D1479&amp;"-"&amp;E1479&amp;"-"&amp;M1479&amp;"-"&amp;O1479&amp;"-"&amp;P1479&amp;"-"&amp;Q1479</f>
        <v>ENAMOR-FO74 PADDED WIRED MEDIUM COVERAGE-FO74-SKIN-32-C</v>
      </c>
    </row>
    <row r="1480" customFormat="false" ht="15" hidden="true" customHeight="false" outlineLevel="0" collapsed="false">
      <c r="B1480" s="17" t="s">
        <v>2004</v>
      </c>
      <c r="C1480" s="29" t="s">
        <v>1856</v>
      </c>
      <c r="D1480" s="29" t="s">
        <v>1857</v>
      </c>
      <c r="E1480" s="17" t="s">
        <v>1993</v>
      </c>
      <c r="F1480" s="3" t="s">
        <v>997</v>
      </c>
      <c r="G1480" s="143" t="s">
        <v>573</v>
      </c>
      <c r="H1480" s="143" t="s">
        <v>1424</v>
      </c>
      <c r="I1480" s="26" t="s">
        <v>43</v>
      </c>
      <c r="J1480" s="26"/>
      <c r="K1480" s="19"/>
      <c r="L1480" s="19"/>
      <c r="M1480" s="17" t="s">
        <v>1994</v>
      </c>
      <c r="N1480" s="17"/>
      <c r="O1480" s="17" t="s">
        <v>528</v>
      </c>
      <c r="P1480" s="17" t="s">
        <v>92</v>
      </c>
      <c r="Q1480" s="17" t="s">
        <v>595</v>
      </c>
      <c r="R1480" s="16" t="n">
        <v>1000.65</v>
      </c>
      <c r="S1480" s="16" t="n">
        <v>1549</v>
      </c>
      <c r="T1480" s="16" t="n">
        <v>0</v>
      </c>
      <c r="U1480" s="1" t="str">
        <f aca="false">D1480&amp;"-"&amp;E1480&amp;"-"&amp;M1480&amp;"-"&amp;O1480&amp;"-"&amp;P1480&amp;"-"&amp;Q1480</f>
        <v>ENAMOR-FO74 PADDED WIRED MEDIUM COVERAGE-FO74-RED-32-C</v>
      </c>
    </row>
    <row r="1481" customFormat="false" ht="15" hidden="true" customHeight="false" outlineLevel="0" collapsed="false">
      <c r="B1481" s="29" t="s">
        <v>2005</v>
      </c>
      <c r="C1481" s="29" t="s">
        <v>1856</v>
      </c>
      <c r="D1481" s="29" t="s">
        <v>1857</v>
      </c>
      <c r="E1481" s="17" t="s">
        <v>1993</v>
      </c>
      <c r="F1481" s="3" t="s">
        <v>997</v>
      </c>
      <c r="G1481" s="143" t="s">
        <v>573</v>
      </c>
      <c r="H1481" s="143" t="s">
        <v>1424</v>
      </c>
      <c r="I1481" s="26" t="s">
        <v>43</v>
      </c>
      <c r="J1481" s="26"/>
      <c r="K1481" s="19"/>
      <c r="L1481" s="19"/>
      <c r="M1481" s="17" t="s">
        <v>1994</v>
      </c>
      <c r="N1481" s="29"/>
      <c r="O1481" s="29" t="s">
        <v>465</v>
      </c>
      <c r="P1481" s="17" t="s">
        <v>92</v>
      </c>
      <c r="Q1481" s="29" t="s">
        <v>595</v>
      </c>
      <c r="R1481" s="16" t="n">
        <v>1000.65</v>
      </c>
      <c r="S1481" s="16" t="n">
        <v>1549</v>
      </c>
      <c r="T1481" s="16" t="n">
        <v>0</v>
      </c>
      <c r="U1481" s="1" t="str">
        <f aca="false">D1481&amp;"-"&amp;E1481&amp;"-"&amp;M1481&amp;"-"&amp;O1481&amp;"-"&amp;P1481&amp;"-"&amp;Q1481</f>
        <v>ENAMOR-FO74 PADDED WIRED MEDIUM COVERAGE-FO74-SKIN-32-C</v>
      </c>
    </row>
    <row r="1482" customFormat="false" ht="15" hidden="true" customHeight="false" outlineLevel="0" collapsed="false">
      <c r="B1482" s="17" t="s">
        <v>2006</v>
      </c>
      <c r="C1482" s="29" t="s">
        <v>1856</v>
      </c>
      <c r="D1482" s="29" t="s">
        <v>1857</v>
      </c>
      <c r="E1482" s="17" t="s">
        <v>1993</v>
      </c>
      <c r="F1482" s="3" t="s">
        <v>997</v>
      </c>
      <c r="G1482" s="143" t="s">
        <v>573</v>
      </c>
      <c r="H1482" s="143" t="s">
        <v>1424</v>
      </c>
      <c r="I1482" s="26" t="s">
        <v>43</v>
      </c>
      <c r="J1482" s="26"/>
      <c r="K1482" s="19"/>
      <c r="L1482" s="19"/>
      <c r="M1482" s="17" t="s">
        <v>1994</v>
      </c>
      <c r="N1482" s="17"/>
      <c r="O1482" s="17" t="s">
        <v>1995</v>
      </c>
      <c r="P1482" s="17" t="s">
        <v>92</v>
      </c>
      <c r="Q1482" s="17" t="s">
        <v>595</v>
      </c>
      <c r="R1482" s="16" t="n">
        <v>1000.65</v>
      </c>
      <c r="S1482" s="16" t="n">
        <v>1549</v>
      </c>
      <c r="T1482" s="16" t="n">
        <v>0</v>
      </c>
      <c r="U1482" s="1" t="str">
        <f aca="false">D1482&amp;"-"&amp;E1482&amp;"-"&amp;M1482&amp;"-"&amp;O1482&amp;"-"&amp;P1482&amp;"-"&amp;Q1482</f>
        <v>ENAMOR-FO74 PADDED WIRED MEDIUM COVERAGE-FO74-PEACH-32-C</v>
      </c>
    </row>
    <row r="1483" customFormat="false" ht="15" hidden="true" customHeight="false" outlineLevel="0" collapsed="false">
      <c r="B1483" s="29" t="s">
        <v>2007</v>
      </c>
      <c r="C1483" s="29" t="s">
        <v>1856</v>
      </c>
      <c r="D1483" s="29" t="s">
        <v>1857</v>
      </c>
      <c r="E1483" s="17" t="s">
        <v>1993</v>
      </c>
      <c r="F1483" s="3" t="s">
        <v>997</v>
      </c>
      <c r="G1483" s="143" t="s">
        <v>573</v>
      </c>
      <c r="H1483" s="143" t="s">
        <v>1424</v>
      </c>
      <c r="I1483" s="26" t="s">
        <v>43</v>
      </c>
      <c r="J1483" s="26"/>
      <c r="K1483" s="19"/>
      <c r="L1483" s="19"/>
      <c r="M1483" s="17" t="s">
        <v>1994</v>
      </c>
      <c r="N1483" s="17"/>
      <c r="O1483" s="29" t="s">
        <v>2008</v>
      </c>
      <c r="P1483" s="17" t="s">
        <v>92</v>
      </c>
      <c r="Q1483" s="29" t="s">
        <v>97</v>
      </c>
      <c r="R1483" s="16" t="n">
        <v>1000.65</v>
      </c>
      <c r="S1483" s="16" t="n">
        <v>1549</v>
      </c>
      <c r="T1483" s="16" t="n">
        <v>1</v>
      </c>
      <c r="U1483" s="1" t="str">
        <f aca="false">D1483&amp;"-"&amp;E1483&amp;"-"&amp;M1483&amp;"-"&amp;O1483&amp;"-"&amp;P1483&amp;"-"&amp;Q1483</f>
        <v>ENAMOR-FO74 PADDED WIRED MEDIUM COVERAGE-FO74-blk-32-D</v>
      </c>
    </row>
    <row r="1484" customFormat="false" ht="15" hidden="true" customHeight="false" outlineLevel="0" collapsed="false">
      <c r="B1484" s="29" t="s">
        <v>2009</v>
      </c>
      <c r="C1484" s="29" t="s">
        <v>1856</v>
      </c>
      <c r="D1484" s="29" t="s">
        <v>1857</v>
      </c>
      <c r="E1484" s="17" t="s">
        <v>1993</v>
      </c>
      <c r="F1484" s="3" t="s">
        <v>997</v>
      </c>
      <c r="G1484" s="143" t="s">
        <v>573</v>
      </c>
      <c r="H1484" s="143" t="s">
        <v>1424</v>
      </c>
      <c r="I1484" s="26" t="s">
        <v>43</v>
      </c>
      <c r="J1484" s="26"/>
      <c r="K1484" s="19"/>
      <c r="L1484" s="19"/>
      <c r="M1484" s="17" t="s">
        <v>1994</v>
      </c>
      <c r="N1484" s="29"/>
      <c r="O1484" s="29" t="s">
        <v>2010</v>
      </c>
      <c r="P1484" s="17" t="s">
        <v>92</v>
      </c>
      <c r="Q1484" s="29" t="s">
        <v>97</v>
      </c>
      <c r="R1484" s="16" t="n">
        <v>1000.65</v>
      </c>
      <c r="S1484" s="16" t="n">
        <v>1549</v>
      </c>
      <c r="T1484" s="16" t="n">
        <v>1</v>
      </c>
      <c r="U1484" s="1" t="str">
        <f aca="false">D1484&amp;"-"&amp;E1484&amp;"-"&amp;M1484&amp;"-"&amp;O1484&amp;"-"&amp;P1484&amp;"-"&amp;Q1484</f>
        <v>ENAMOR-FO74 PADDED WIRED MEDIUM COVERAGE-FO74-purple-32-D</v>
      </c>
    </row>
    <row r="1485" customFormat="false" ht="15" hidden="true" customHeight="false" outlineLevel="0" collapsed="false">
      <c r="B1485" s="17" t="s">
        <v>2011</v>
      </c>
      <c r="C1485" s="29" t="s">
        <v>1856</v>
      </c>
      <c r="D1485" s="29" t="s">
        <v>1857</v>
      </c>
      <c r="E1485" s="17" t="s">
        <v>1993</v>
      </c>
      <c r="F1485" s="3" t="s">
        <v>997</v>
      </c>
      <c r="G1485" s="143" t="s">
        <v>573</v>
      </c>
      <c r="H1485" s="143" t="s">
        <v>1424</v>
      </c>
      <c r="I1485" s="26" t="s">
        <v>43</v>
      </c>
      <c r="J1485" s="26"/>
      <c r="K1485" s="19"/>
      <c r="L1485" s="19"/>
      <c r="M1485" s="17" t="s">
        <v>1994</v>
      </c>
      <c r="N1485" s="17"/>
      <c r="O1485" s="17" t="s">
        <v>1995</v>
      </c>
      <c r="P1485" s="17" t="s">
        <v>92</v>
      </c>
      <c r="Q1485" s="17" t="s">
        <v>1890</v>
      </c>
      <c r="R1485" s="16" t="n">
        <v>1000.65</v>
      </c>
      <c r="S1485" s="16" t="n">
        <v>1549</v>
      </c>
      <c r="T1485" s="16" t="n">
        <v>0</v>
      </c>
      <c r="U1485" s="1" t="str">
        <f aca="false">D1485&amp;"-"&amp;E1485&amp;"-"&amp;M1485&amp;"-"&amp;O1485&amp;"-"&amp;P1485&amp;"-"&amp;Q1485</f>
        <v>ENAMOR-FO74 PADDED WIRED MEDIUM COVERAGE-FO74-PEACH-32-Z</v>
      </c>
    </row>
    <row r="1486" customFormat="false" ht="15" hidden="true" customHeight="false" outlineLevel="0" collapsed="false">
      <c r="B1486" s="17" t="s">
        <v>2012</v>
      </c>
      <c r="C1486" s="29" t="s">
        <v>1856</v>
      </c>
      <c r="D1486" s="29" t="s">
        <v>1857</v>
      </c>
      <c r="E1486" s="17" t="s">
        <v>1993</v>
      </c>
      <c r="F1486" s="3" t="s">
        <v>997</v>
      </c>
      <c r="G1486" s="143" t="s">
        <v>573</v>
      </c>
      <c r="H1486" s="143" t="s">
        <v>1424</v>
      </c>
      <c r="I1486" s="26" t="s">
        <v>43</v>
      </c>
      <c r="J1486" s="26"/>
      <c r="K1486" s="19"/>
      <c r="L1486" s="19"/>
      <c r="M1486" s="17" t="s">
        <v>1994</v>
      </c>
      <c r="N1486" s="17"/>
      <c r="O1486" s="29" t="s">
        <v>588</v>
      </c>
      <c r="P1486" s="17" t="s">
        <v>92</v>
      </c>
      <c r="Q1486" s="17" t="s">
        <v>1890</v>
      </c>
      <c r="R1486" s="16" t="n">
        <v>1000.65</v>
      </c>
      <c r="S1486" s="16" t="n">
        <v>1549</v>
      </c>
      <c r="T1486" s="16" t="n">
        <v>2</v>
      </c>
      <c r="U1486" s="1" t="str">
        <f aca="false">D1486&amp;"-"&amp;E1486&amp;"-"&amp;M1486&amp;"-"&amp;O1486&amp;"-"&amp;P1486&amp;"-"&amp;Q1486</f>
        <v>ENAMOR-FO74 PADDED WIRED MEDIUM COVERAGE-FO74-PURPLE-32-Z</v>
      </c>
    </row>
    <row r="1487" customFormat="false" ht="15" hidden="true" customHeight="false" outlineLevel="0" collapsed="false">
      <c r="B1487" s="17" t="s">
        <v>2013</v>
      </c>
      <c r="C1487" s="29" t="s">
        <v>1856</v>
      </c>
      <c r="D1487" s="29" t="s">
        <v>1857</v>
      </c>
      <c r="E1487" s="17" t="s">
        <v>1993</v>
      </c>
      <c r="F1487" s="3" t="s">
        <v>997</v>
      </c>
      <c r="G1487" s="143" t="s">
        <v>573</v>
      </c>
      <c r="H1487" s="143" t="s">
        <v>1424</v>
      </c>
      <c r="I1487" s="26" t="s">
        <v>43</v>
      </c>
      <c r="J1487" s="26"/>
      <c r="K1487" s="19"/>
      <c r="L1487" s="19"/>
      <c r="M1487" s="17" t="s">
        <v>1994</v>
      </c>
      <c r="N1487" s="17"/>
      <c r="O1487" s="17" t="s">
        <v>76</v>
      </c>
      <c r="P1487" s="17" t="s">
        <v>92</v>
      </c>
      <c r="Q1487" s="17" t="s">
        <v>1890</v>
      </c>
      <c r="R1487" s="16" t="n">
        <v>1000.65</v>
      </c>
      <c r="S1487" s="16" t="n">
        <v>1549</v>
      </c>
      <c r="T1487" s="16" t="n">
        <v>0</v>
      </c>
      <c r="U1487" s="1" t="str">
        <f aca="false">D1487&amp;"-"&amp;E1487&amp;"-"&amp;M1487&amp;"-"&amp;O1487&amp;"-"&amp;P1487&amp;"-"&amp;Q1487</f>
        <v>ENAMOR-FO74 PADDED WIRED MEDIUM COVERAGE-FO74-BLK-32-Z</v>
      </c>
    </row>
    <row r="1488" customFormat="false" ht="15" hidden="true" customHeight="false" outlineLevel="0" collapsed="false">
      <c r="B1488" s="17" t="s">
        <v>2014</v>
      </c>
      <c r="C1488" s="29" t="s">
        <v>1856</v>
      </c>
      <c r="D1488" s="29" t="s">
        <v>1857</v>
      </c>
      <c r="E1488" s="17" t="s">
        <v>1993</v>
      </c>
      <c r="F1488" s="3" t="s">
        <v>997</v>
      </c>
      <c r="G1488" s="143" t="s">
        <v>573</v>
      </c>
      <c r="H1488" s="143" t="s">
        <v>1424</v>
      </c>
      <c r="I1488" s="26" t="s">
        <v>43</v>
      </c>
      <c r="J1488" s="26"/>
      <c r="K1488" s="19"/>
      <c r="L1488" s="19"/>
      <c r="M1488" s="17" t="s">
        <v>1994</v>
      </c>
      <c r="N1488" s="17"/>
      <c r="O1488" s="29" t="s">
        <v>465</v>
      </c>
      <c r="P1488" s="17" t="s">
        <v>92</v>
      </c>
      <c r="Q1488" s="17" t="s">
        <v>1890</v>
      </c>
      <c r="R1488" s="16" t="n">
        <v>1000.65</v>
      </c>
      <c r="S1488" s="16" t="n">
        <v>1549</v>
      </c>
      <c r="T1488" s="16" t="n">
        <v>0</v>
      </c>
      <c r="U1488" s="1" t="str">
        <f aca="false">D1488&amp;"-"&amp;E1488&amp;"-"&amp;M1488&amp;"-"&amp;O1488&amp;"-"&amp;P1488&amp;"-"&amp;Q1488</f>
        <v>ENAMOR-FO74 PADDED WIRED MEDIUM COVERAGE-FO74-SKIN-32-Z</v>
      </c>
    </row>
    <row r="1489" customFormat="false" ht="15" hidden="true" customHeight="false" outlineLevel="0" collapsed="false">
      <c r="B1489" s="29" t="s">
        <v>2015</v>
      </c>
      <c r="C1489" s="29" t="s">
        <v>1856</v>
      </c>
      <c r="D1489" s="29" t="s">
        <v>1857</v>
      </c>
      <c r="E1489" s="17" t="s">
        <v>1993</v>
      </c>
      <c r="F1489" s="3" t="s">
        <v>997</v>
      </c>
      <c r="G1489" s="143" t="s">
        <v>573</v>
      </c>
      <c r="H1489" s="143" t="s">
        <v>1424</v>
      </c>
      <c r="I1489" s="26" t="s">
        <v>43</v>
      </c>
      <c r="J1489" s="26"/>
      <c r="K1489" s="19"/>
      <c r="L1489" s="19"/>
      <c r="M1489" s="17" t="s">
        <v>1994</v>
      </c>
      <c r="N1489" s="29"/>
      <c r="O1489" s="17" t="s">
        <v>1995</v>
      </c>
      <c r="P1489" s="17" t="s">
        <v>92</v>
      </c>
      <c r="Q1489" s="17" t="s">
        <v>1890</v>
      </c>
      <c r="R1489" s="16" t="n">
        <v>1000.65</v>
      </c>
      <c r="S1489" s="16" t="n">
        <v>1549</v>
      </c>
      <c r="T1489" s="16" t="n">
        <v>0</v>
      </c>
      <c r="U1489" s="1" t="str">
        <f aca="false">D1489&amp;"-"&amp;E1489&amp;"-"&amp;M1489&amp;"-"&amp;O1489&amp;"-"&amp;P1489&amp;"-"&amp;Q1489</f>
        <v>ENAMOR-FO74 PADDED WIRED MEDIUM COVERAGE-FO74-PEACH-32-Z</v>
      </c>
    </row>
    <row r="1490" customFormat="false" ht="15" hidden="true" customHeight="false" outlineLevel="0" collapsed="false">
      <c r="B1490" s="29" t="s">
        <v>2016</v>
      </c>
      <c r="C1490" s="29" t="s">
        <v>1856</v>
      </c>
      <c r="D1490" s="29" t="s">
        <v>1857</v>
      </c>
      <c r="E1490" s="17" t="s">
        <v>1993</v>
      </c>
      <c r="F1490" s="3" t="s">
        <v>997</v>
      </c>
      <c r="G1490" s="143" t="s">
        <v>573</v>
      </c>
      <c r="H1490" s="143" t="s">
        <v>1424</v>
      </c>
      <c r="I1490" s="26" t="s">
        <v>43</v>
      </c>
      <c r="J1490" s="26"/>
      <c r="K1490" s="19"/>
      <c r="L1490" s="19"/>
      <c r="M1490" s="17" t="s">
        <v>1994</v>
      </c>
      <c r="N1490" s="29"/>
      <c r="O1490" s="17" t="s">
        <v>1995</v>
      </c>
      <c r="P1490" s="29" t="s">
        <v>134</v>
      </c>
      <c r="Q1490" s="29" t="s">
        <v>592</v>
      </c>
      <c r="R1490" s="16" t="n">
        <v>1000.65</v>
      </c>
      <c r="S1490" s="16" t="n">
        <v>1549</v>
      </c>
      <c r="T1490" s="16" t="n">
        <v>0</v>
      </c>
      <c r="U1490" s="1" t="str">
        <f aca="false">D1490&amp;"-"&amp;E1490&amp;"-"&amp;M1490&amp;"-"&amp;O1490&amp;"-"&amp;P1490&amp;"-"&amp;Q1490</f>
        <v>ENAMOR-FO74 PADDED WIRED MEDIUM COVERAGE-FO74-PEACH-34-B</v>
      </c>
    </row>
    <row r="1491" customFormat="false" ht="15" hidden="true" customHeight="false" outlineLevel="0" collapsed="false">
      <c r="B1491" s="29" t="s">
        <v>2017</v>
      </c>
      <c r="C1491" s="29" t="s">
        <v>1856</v>
      </c>
      <c r="D1491" s="29" t="s">
        <v>1857</v>
      </c>
      <c r="E1491" s="17" t="s">
        <v>1993</v>
      </c>
      <c r="F1491" s="3" t="s">
        <v>997</v>
      </c>
      <c r="G1491" s="143" t="s">
        <v>573</v>
      </c>
      <c r="H1491" s="143" t="s">
        <v>1424</v>
      </c>
      <c r="I1491" s="26" t="s">
        <v>43</v>
      </c>
      <c r="J1491" s="26"/>
      <c r="K1491" s="19"/>
      <c r="L1491" s="19"/>
      <c r="M1491" s="17" t="s">
        <v>1994</v>
      </c>
      <c r="N1491" s="17"/>
      <c r="O1491" s="29" t="s">
        <v>588</v>
      </c>
      <c r="P1491" s="29" t="s">
        <v>134</v>
      </c>
      <c r="Q1491" s="29" t="s">
        <v>592</v>
      </c>
      <c r="R1491" s="16" t="n">
        <v>1000.65</v>
      </c>
      <c r="S1491" s="16" t="n">
        <v>1549</v>
      </c>
      <c r="T1491" s="16" t="n">
        <v>1</v>
      </c>
      <c r="U1491" s="1" t="str">
        <f aca="false">D1491&amp;"-"&amp;E1491&amp;"-"&amp;M1491&amp;"-"&amp;O1491&amp;"-"&amp;P1491&amp;"-"&amp;Q1491</f>
        <v>ENAMOR-FO74 PADDED WIRED MEDIUM COVERAGE-FO74-PURPLE-34-B</v>
      </c>
    </row>
    <row r="1492" customFormat="false" ht="15" hidden="true" customHeight="false" outlineLevel="0" collapsed="false">
      <c r="B1492" s="29" t="s">
        <v>2018</v>
      </c>
      <c r="C1492" s="29" t="s">
        <v>1856</v>
      </c>
      <c r="D1492" s="29" t="s">
        <v>1857</v>
      </c>
      <c r="E1492" s="17" t="s">
        <v>1993</v>
      </c>
      <c r="F1492" s="3" t="s">
        <v>997</v>
      </c>
      <c r="G1492" s="143" t="s">
        <v>573</v>
      </c>
      <c r="H1492" s="143" t="s">
        <v>1424</v>
      </c>
      <c r="I1492" s="26" t="s">
        <v>43</v>
      </c>
      <c r="J1492" s="26"/>
      <c r="K1492" s="19"/>
      <c r="L1492" s="19"/>
      <c r="M1492" s="17" t="s">
        <v>1994</v>
      </c>
      <c r="N1492" s="29"/>
      <c r="O1492" s="29" t="s">
        <v>465</v>
      </c>
      <c r="P1492" s="29" t="s">
        <v>134</v>
      </c>
      <c r="Q1492" s="29" t="s">
        <v>592</v>
      </c>
      <c r="R1492" s="16" t="n">
        <v>1000.65</v>
      </c>
      <c r="S1492" s="16" t="n">
        <v>1549</v>
      </c>
      <c r="T1492" s="16" t="n">
        <v>1</v>
      </c>
      <c r="U1492" s="1" t="str">
        <f aca="false">D1492&amp;"-"&amp;E1492&amp;"-"&amp;M1492&amp;"-"&amp;O1492&amp;"-"&amp;P1492&amp;"-"&amp;Q1492</f>
        <v>ENAMOR-FO74 PADDED WIRED MEDIUM COVERAGE-FO74-SKIN-34-B</v>
      </c>
    </row>
    <row r="1493" customFormat="false" ht="15" hidden="true" customHeight="false" outlineLevel="0" collapsed="false">
      <c r="B1493" s="29" t="s">
        <v>2019</v>
      </c>
      <c r="C1493" s="29" t="s">
        <v>1856</v>
      </c>
      <c r="D1493" s="29" t="s">
        <v>1857</v>
      </c>
      <c r="E1493" s="17" t="s">
        <v>1993</v>
      </c>
      <c r="F1493" s="3" t="s">
        <v>997</v>
      </c>
      <c r="G1493" s="143" t="s">
        <v>573</v>
      </c>
      <c r="H1493" s="143" t="s">
        <v>1424</v>
      </c>
      <c r="I1493" s="26" t="s">
        <v>43</v>
      </c>
      <c r="J1493" s="26"/>
      <c r="K1493" s="19"/>
      <c r="L1493" s="19"/>
      <c r="M1493" s="17" t="s">
        <v>1994</v>
      </c>
      <c r="N1493" s="17"/>
      <c r="O1493" s="29" t="s">
        <v>76</v>
      </c>
      <c r="P1493" s="29" t="s">
        <v>134</v>
      </c>
      <c r="Q1493" s="29" t="s">
        <v>592</v>
      </c>
      <c r="R1493" s="16" t="n">
        <v>1000.65</v>
      </c>
      <c r="S1493" s="16" t="n">
        <v>1549</v>
      </c>
      <c r="T1493" s="16" t="n">
        <v>2</v>
      </c>
      <c r="U1493" s="1" t="str">
        <f aca="false">D1493&amp;"-"&amp;E1493&amp;"-"&amp;M1493&amp;"-"&amp;O1493&amp;"-"&amp;P1493&amp;"-"&amp;Q1493</f>
        <v>ENAMOR-FO74 PADDED WIRED MEDIUM COVERAGE-FO74-BLK-34-B</v>
      </c>
    </row>
    <row r="1494" customFormat="false" ht="15" hidden="true" customHeight="false" outlineLevel="0" collapsed="false">
      <c r="B1494" s="17" t="s">
        <v>2020</v>
      </c>
      <c r="C1494" s="29" t="s">
        <v>1856</v>
      </c>
      <c r="D1494" s="29" t="s">
        <v>1857</v>
      </c>
      <c r="E1494" s="17" t="s">
        <v>1993</v>
      </c>
      <c r="F1494" s="3" t="s">
        <v>997</v>
      </c>
      <c r="G1494" s="143" t="s">
        <v>573</v>
      </c>
      <c r="H1494" s="143" t="s">
        <v>1424</v>
      </c>
      <c r="I1494" s="26" t="s">
        <v>43</v>
      </c>
      <c r="J1494" s="26"/>
      <c r="K1494" s="19"/>
      <c r="L1494" s="19"/>
      <c r="M1494" s="17" t="s">
        <v>1994</v>
      </c>
      <c r="N1494" s="17"/>
      <c r="O1494" s="17" t="s">
        <v>528</v>
      </c>
      <c r="P1494" s="17" t="s">
        <v>134</v>
      </c>
      <c r="Q1494" s="17" t="s">
        <v>592</v>
      </c>
      <c r="R1494" s="16" t="n">
        <v>1000.65</v>
      </c>
      <c r="S1494" s="16" t="n">
        <v>1549</v>
      </c>
      <c r="T1494" s="16" t="n">
        <v>2</v>
      </c>
      <c r="U1494" s="1" t="str">
        <f aca="false">D1494&amp;"-"&amp;E1494&amp;"-"&amp;M1494&amp;"-"&amp;O1494&amp;"-"&amp;P1494&amp;"-"&amp;Q1494</f>
        <v>ENAMOR-FO74 PADDED WIRED MEDIUM COVERAGE-FO74-RED-34-B</v>
      </c>
    </row>
    <row r="1495" customFormat="false" ht="15" hidden="true" customHeight="false" outlineLevel="0" collapsed="false">
      <c r="B1495" s="17" t="s">
        <v>2021</v>
      </c>
      <c r="C1495" s="29" t="s">
        <v>1856</v>
      </c>
      <c r="D1495" s="29" t="s">
        <v>1857</v>
      </c>
      <c r="E1495" s="17" t="s">
        <v>1993</v>
      </c>
      <c r="F1495" s="3" t="s">
        <v>997</v>
      </c>
      <c r="G1495" s="143" t="s">
        <v>573</v>
      </c>
      <c r="H1495" s="143" t="s">
        <v>1424</v>
      </c>
      <c r="I1495" s="26" t="s">
        <v>43</v>
      </c>
      <c r="J1495" s="26"/>
      <c r="K1495" s="19"/>
      <c r="L1495" s="19"/>
      <c r="M1495" s="17" t="s">
        <v>1994</v>
      </c>
      <c r="N1495" s="17"/>
      <c r="O1495" s="17" t="s">
        <v>1995</v>
      </c>
      <c r="P1495" s="17" t="s">
        <v>134</v>
      </c>
      <c r="Q1495" s="17" t="s">
        <v>592</v>
      </c>
      <c r="R1495" s="16" t="n">
        <v>1000.65</v>
      </c>
      <c r="S1495" s="16" t="n">
        <v>1549</v>
      </c>
      <c r="T1495" s="16" t="n">
        <v>0</v>
      </c>
      <c r="U1495" s="1" t="str">
        <f aca="false">D1495&amp;"-"&amp;E1495&amp;"-"&amp;M1495&amp;"-"&amp;O1495&amp;"-"&amp;P1495&amp;"-"&amp;Q1495</f>
        <v>ENAMOR-FO74 PADDED WIRED MEDIUM COVERAGE-FO74-PEACH-34-B</v>
      </c>
    </row>
    <row r="1496" customFormat="false" ht="15" hidden="true" customHeight="false" outlineLevel="0" collapsed="false">
      <c r="B1496" s="29" t="s">
        <v>2022</v>
      </c>
      <c r="C1496" s="29" t="s">
        <v>1856</v>
      </c>
      <c r="D1496" s="29" t="s">
        <v>1857</v>
      </c>
      <c r="E1496" s="17" t="s">
        <v>1993</v>
      </c>
      <c r="F1496" s="3" t="s">
        <v>997</v>
      </c>
      <c r="G1496" s="143" t="s">
        <v>573</v>
      </c>
      <c r="H1496" s="143" t="s">
        <v>1424</v>
      </c>
      <c r="I1496" s="26" t="s">
        <v>43</v>
      </c>
      <c r="J1496" s="26"/>
      <c r="K1496" s="19"/>
      <c r="L1496" s="19"/>
      <c r="M1496" s="17" t="s">
        <v>1994</v>
      </c>
      <c r="N1496" s="29"/>
      <c r="O1496" s="17" t="s">
        <v>1995</v>
      </c>
      <c r="P1496" s="29" t="s">
        <v>134</v>
      </c>
      <c r="Q1496" s="29" t="s">
        <v>595</v>
      </c>
      <c r="R1496" s="16" t="n">
        <v>968.5</v>
      </c>
      <c r="S1496" s="16" t="n">
        <v>1499</v>
      </c>
      <c r="T1496" s="16" t="n">
        <v>0</v>
      </c>
      <c r="U1496" s="1" t="str">
        <f aca="false">D1496&amp;"-"&amp;E1496&amp;"-"&amp;M1496&amp;"-"&amp;O1496&amp;"-"&amp;P1496&amp;"-"&amp;Q1496</f>
        <v>ENAMOR-FO74 PADDED WIRED MEDIUM COVERAGE-FO74-PEACH-34-C</v>
      </c>
    </row>
    <row r="1497" customFormat="false" ht="15" hidden="true" customHeight="false" outlineLevel="0" collapsed="false">
      <c r="B1497" s="17" t="s">
        <v>2023</v>
      </c>
      <c r="C1497" s="29" t="s">
        <v>1856</v>
      </c>
      <c r="D1497" s="29" t="s">
        <v>1857</v>
      </c>
      <c r="E1497" s="17" t="s">
        <v>1993</v>
      </c>
      <c r="F1497" s="3" t="s">
        <v>997</v>
      </c>
      <c r="G1497" s="143" t="s">
        <v>573</v>
      </c>
      <c r="H1497" s="143" t="s">
        <v>1424</v>
      </c>
      <c r="I1497" s="26" t="s">
        <v>43</v>
      </c>
      <c r="J1497" s="26"/>
      <c r="K1497" s="19"/>
      <c r="L1497" s="19"/>
      <c r="M1497" s="17" t="s">
        <v>1994</v>
      </c>
      <c r="N1497" s="17"/>
      <c r="O1497" s="29" t="s">
        <v>588</v>
      </c>
      <c r="P1497" s="17" t="s">
        <v>134</v>
      </c>
      <c r="Q1497" s="17" t="s">
        <v>595</v>
      </c>
      <c r="R1497" s="16" t="n">
        <v>968.5</v>
      </c>
      <c r="S1497" s="16" t="n">
        <v>1499</v>
      </c>
      <c r="T1497" s="16" t="n">
        <v>1</v>
      </c>
      <c r="U1497" s="1" t="str">
        <f aca="false">D1497&amp;"-"&amp;E1497&amp;"-"&amp;M1497&amp;"-"&amp;O1497&amp;"-"&amp;P1497&amp;"-"&amp;Q1497</f>
        <v>ENAMOR-FO74 PADDED WIRED MEDIUM COVERAGE-FO74-PURPLE-34-C</v>
      </c>
    </row>
    <row r="1498" customFormat="false" ht="15" hidden="true" customHeight="false" outlineLevel="0" collapsed="false">
      <c r="B1498" s="17" t="s">
        <v>2024</v>
      </c>
      <c r="C1498" s="29" t="s">
        <v>1856</v>
      </c>
      <c r="D1498" s="29" t="s">
        <v>1857</v>
      </c>
      <c r="E1498" s="17" t="s">
        <v>1993</v>
      </c>
      <c r="F1498" s="3" t="s">
        <v>997</v>
      </c>
      <c r="G1498" s="143" t="s">
        <v>573</v>
      </c>
      <c r="H1498" s="143" t="s">
        <v>1424</v>
      </c>
      <c r="I1498" s="26" t="s">
        <v>43</v>
      </c>
      <c r="J1498" s="26"/>
      <c r="K1498" s="19"/>
      <c r="L1498" s="19"/>
      <c r="M1498" s="17" t="s">
        <v>1994</v>
      </c>
      <c r="N1498" s="17"/>
      <c r="O1498" s="17" t="s">
        <v>76</v>
      </c>
      <c r="P1498" s="17" t="s">
        <v>134</v>
      </c>
      <c r="Q1498" s="17" t="s">
        <v>595</v>
      </c>
      <c r="R1498" s="16" t="n">
        <v>968.5</v>
      </c>
      <c r="S1498" s="16" t="n">
        <v>1449</v>
      </c>
      <c r="T1498" s="16" t="n">
        <v>1</v>
      </c>
      <c r="U1498" s="1" t="str">
        <f aca="false">D1498&amp;"-"&amp;E1498&amp;"-"&amp;M1498&amp;"-"&amp;O1498&amp;"-"&amp;P1498&amp;"-"&amp;Q1498</f>
        <v>ENAMOR-FO74 PADDED WIRED MEDIUM COVERAGE-FO74-BLK-34-C</v>
      </c>
    </row>
    <row r="1499" customFormat="false" ht="15" hidden="true" customHeight="false" outlineLevel="0" collapsed="false">
      <c r="B1499" s="29" t="s">
        <v>2025</v>
      </c>
      <c r="C1499" s="29" t="s">
        <v>1856</v>
      </c>
      <c r="D1499" s="29" t="s">
        <v>1857</v>
      </c>
      <c r="E1499" s="17" t="s">
        <v>1993</v>
      </c>
      <c r="F1499" s="3" t="s">
        <v>997</v>
      </c>
      <c r="G1499" s="143" t="s">
        <v>573</v>
      </c>
      <c r="H1499" s="143" t="s">
        <v>1424</v>
      </c>
      <c r="I1499" s="26" t="s">
        <v>43</v>
      </c>
      <c r="J1499" s="26"/>
      <c r="K1499" s="19"/>
      <c r="L1499" s="19"/>
      <c r="M1499" s="17" t="s">
        <v>1994</v>
      </c>
      <c r="N1499" s="29"/>
      <c r="O1499" s="29" t="s">
        <v>465</v>
      </c>
      <c r="P1499" s="29" t="s">
        <v>134</v>
      </c>
      <c r="Q1499" s="29" t="s">
        <v>595</v>
      </c>
      <c r="R1499" s="16" t="n">
        <v>1065.42</v>
      </c>
      <c r="S1499" s="16" t="n">
        <v>1649</v>
      </c>
      <c r="T1499" s="16" t="n">
        <v>0</v>
      </c>
      <c r="U1499" s="1" t="str">
        <f aca="false">D1499&amp;"-"&amp;E1499&amp;"-"&amp;M1499&amp;"-"&amp;O1499&amp;"-"&amp;P1499&amp;"-"&amp;Q1499</f>
        <v>ENAMOR-FO74 PADDED WIRED MEDIUM COVERAGE-FO74-SKIN-34-C</v>
      </c>
    </row>
    <row r="1500" customFormat="false" ht="15" hidden="true" customHeight="false" outlineLevel="0" collapsed="false">
      <c r="B1500" s="29" t="s">
        <v>2026</v>
      </c>
      <c r="C1500" s="29" t="s">
        <v>1856</v>
      </c>
      <c r="D1500" s="29" t="s">
        <v>1857</v>
      </c>
      <c r="E1500" s="17" t="s">
        <v>1993</v>
      </c>
      <c r="F1500" s="3" t="s">
        <v>997</v>
      </c>
      <c r="G1500" s="143" t="s">
        <v>573</v>
      </c>
      <c r="H1500" s="143" t="s">
        <v>1424</v>
      </c>
      <c r="I1500" s="26" t="s">
        <v>43</v>
      </c>
      <c r="J1500" s="26"/>
      <c r="K1500" s="19"/>
      <c r="L1500" s="19"/>
      <c r="M1500" s="17" t="s">
        <v>1994</v>
      </c>
      <c r="N1500" s="29"/>
      <c r="O1500" s="17" t="s">
        <v>1995</v>
      </c>
      <c r="P1500" s="29" t="s">
        <v>134</v>
      </c>
      <c r="Q1500" s="29" t="s">
        <v>595</v>
      </c>
      <c r="R1500" s="16" t="n">
        <v>968.5</v>
      </c>
      <c r="S1500" s="16" t="n">
        <v>1499</v>
      </c>
      <c r="T1500" s="16" t="n">
        <v>0</v>
      </c>
      <c r="U1500" s="1" t="str">
        <f aca="false">D1500&amp;"-"&amp;E1500&amp;"-"&amp;M1500&amp;"-"&amp;O1500&amp;"-"&amp;P1500&amp;"-"&amp;Q1500</f>
        <v>ENAMOR-FO74 PADDED WIRED MEDIUM COVERAGE-FO74-PEACH-34-C</v>
      </c>
    </row>
    <row r="1501" customFormat="false" ht="15" hidden="true" customHeight="false" outlineLevel="0" collapsed="false">
      <c r="B1501" s="17" t="s">
        <v>2027</v>
      </c>
      <c r="C1501" s="29" t="s">
        <v>1856</v>
      </c>
      <c r="D1501" s="29" t="s">
        <v>1857</v>
      </c>
      <c r="E1501" s="17" t="s">
        <v>1993</v>
      </c>
      <c r="F1501" s="3" t="s">
        <v>997</v>
      </c>
      <c r="G1501" s="143" t="s">
        <v>573</v>
      </c>
      <c r="H1501" s="143" t="s">
        <v>1424</v>
      </c>
      <c r="I1501" s="26" t="s">
        <v>43</v>
      </c>
      <c r="J1501" s="26"/>
      <c r="K1501" s="19"/>
      <c r="L1501" s="19"/>
      <c r="M1501" s="17" t="s">
        <v>1994</v>
      </c>
      <c r="N1501" s="17"/>
      <c r="O1501" s="17" t="s">
        <v>1995</v>
      </c>
      <c r="P1501" s="17" t="s">
        <v>134</v>
      </c>
      <c r="Q1501" s="17" t="s">
        <v>97</v>
      </c>
      <c r="R1501" s="16" t="n">
        <v>968.55</v>
      </c>
      <c r="S1501" s="16" t="n">
        <v>1499</v>
      </c>
      <c r="T1501" s="16" t="n">
        <v>0</v>
      </c>
      <c r="U1501" s="1" t="str">
        <f aca="false">D1501&amp;"-"&amp;E1501&amp;"-"&amp;M1501&amp;"-"&amp;O1501&amp;"-"&amp;P1501&amp;"-"&amp;Q1501</f>
        <v>ENAMOR-FO74 PADDED WIRED MEDIUM COVERAGE-FO74-PEACH-34-D</v>
      </c>
    </row>
    <row r="1502" customFormat="false" ht="15" hidden="true" customHeight="false" outlineLevel="0" collapsed="false">
      <c r="B1502" s="29" t="s">
        <v>2028</v>
      </c>
      <c r="C1502" s="29" t="s">
        <v>1856</v>
      </c>
      <c r="D1502" s="29" t="s">
        <v>1857</v>
      </c>
      <c r="E1502" s="17" t="s">
        <v>1993</v>
      </c>
      <c r="F1502" s="3" t="s">
        <v>997</v>
      </c>
      <c r="G1502" s="143" t="s">
        <v>573</v>
      </c>
      <c r="H1502" s="143" t="s">
        <v>1424</v>
      </c>
      <c r="I1502" s="26" t="s">
        <v>43</v>
      </c>
      <c r="J1502" s="26"/>
      <c r="K1502" s="19"/>
      <c r="L1502" s="19"/>
      <c r="M1502" s="17" t="s">
        <v>1994</v>
      </c>
      <c r="N1502" s="29"/>
      <c r="O1502" s="29" t="s">
        <v>588</v>
      </c>
      <c r="P1502" s="29" t="s">
        <v>134</v>
      </c>
      <c r="Q1502" s="29" t="s">
        <v>97</v>
      </c>
      <c r="R1502" s="16" t="n">
        <v>968.5</v>
      </c>
      <c r="S1502" s="16" t="n">
        <v>1499</v>
      </c>
      <c r="T1502" s="16" t="n">
        <v>1</v>
      </c>
      <c r="U1502" s="1" t="str">
        <f aca="false">D1502&amp;"-"&amp;E1502&amp;"-"&amp;M1502&amp;"-"&amp;O1502&amp;"-"&amp;P1502&amp;"-"&amp;Q1502</f>
        <v>ENAMOR-FO74 PADDED WIRED MEDIUM COVERAGE-FO74-PURPLE-34-D</v>
      </c>
    </row>
    <row r="1503" customFormat="false" ht="15" hidden="true" customHeight="false" outlineLevel="0" collapsed="false">
      <c r="B1503" s="29" t="s">
        <v>2029</v>
      </c>
      <c r="C1503" s="29" t="s">
        <v>1856</v>
      </c>
      <c r="D1503" s="29" t="s">
        <v>1857</v>
      </c>
      <c r="E1503" s="17" t="s">
        <v>1993</v>
      </c>
      <c r="F1503" s="3" t="s">
        <v>997</v>
      </c>
      <c r="G1503" s="143" t="s">
        <v>573</v>
      </c>
      <c r="H1503" s="143" t="s">
        <v>1424</v>
      </c>
      <c r="I1503" s="26" t="s">
        <v>43</v>
      </c>
      <c r="J1503" s="26"/>
      <c r="K1503" s="19"/>
      <c r="L1503" s="19"/>
      <c r="M1503" s="17" t="s">
        <v>1994</v>
      </c>
      <c r="N1503" s="17"/>
      <c r="O1503" s="29" t="s">
        <v>76</v>
      </c>
      <c r="P1503" s="29" t="s">
        <v>134</v>
      </c>
      <c r="Q1503" s="29" t="s">
        <v>97</v>
      </c>
      <c r="R1503" s="16" t="n">
        <v>1065.42</v>
      </c>
      <c r="S1503" s="16" t="n">
        <v>1649</v>
      </c>
      <c r="T1503" s="16" t="n">
        <v>0</v>
      </c>
      <c r="U1503" s="1" t="str">
        <f aca="false">D1503&amp;"-"&amp;E1503&amp;"-"&amp;M1503&amp;"-"&amp;O1503&amp;"-"&amp;P1503&amp;"-"&amp;Q1503</f>
        <v>ENAMOR-FO74 PADDED WIRED MEDIUM COVERAGE-FO74-BLK-34-D</v>
      </c>
    </row>
    <row r="1504" customFormat="false" ht="15" hidden="true" customHeight="false" outlineLevel="0" collapsed="false">
      <c r="B1504" s="29" t="s">
        <v>2030</v>
      </c>
      <c r="C1504" s="29" t="s">
        <v>1856</v>
      </c>
      <c r="D1504" s="29" t="s">
        <v>1857</v>
      </c>
      <c r="E1504" s="17" t="s">
        <v>1993</v>
      </c>
      <c r="F1504" s="3" t="s">
        <v>997</v>
      </c>
      <c r="G1504" s="143" t="s">
        <v>573</v>
      </c>
      <c r="H1504" s="143" t="s">
        <v>1424</v>
      </c>
      <c r="I1504" s="26" t="s">
        <v>43</v>
      </c>
      <c r="J1504" s="26"/>
      <c r="K1504" s="19"/>
      <c r="L1504" s="19"/>
      <c r="M1504" s="17" t="s">
        <v>1994</v>
      </c>
      <c r="N1504" s="29"/>
      <c r="O1504" s="29" t="s">
        <v>465</v>
      </c>
      <c r="P1504" s="29" t="s">
        <v>134</v>
      </c>
      <c r="Q1504" s="29" t="s">
        <v>97</v>
      </c>
      <c r="R1504" s="16" t="n">
        <v>968.5</v>
      </c>
      <c r="S1504" s="16" t="n">
        <v>1499</v>
      </c>
      <c r="T1504" s="16" t="n">
        <v>0</v>
      </c>
      <c r="U1504" s="1" t="str">
        <f aca="false">D1504&amp;"-"&amp;E1504&amp;"-"&amp;M1504&amp;"-"&amp;O1504&amp;"-"&amp;P1504&amp;"-"&amp;Q1504</f>
        <v>ENAMOR-FO74 PADDED WIRED MEDIUM COVERAGE-FO74-SKIN-34-D</v>
      </c>
    </row>
    <row r="1505" customFormat="false" ht="15" hidden="true" customHeight="false" outlineLevel="0" collapsed="false">
      <c r="B1505" s="17" t="s">
        <v>2031</v>
      </c>
      <c r="C1505" s="29" t="s">
        <v>1856</v>
      </c>
      <c r="D1505" s="29" t="s">
        <v>1857</v>
      </c>
      <c r="E1505" s="17" t="s">
        <v>1993</v>
      </c>
      <c r="F1505" s="3" t="s">
        <v>997</v>
      </c>
      <c r="G1505" s="143" t="s">
        <v>573</v>
      </c>
      <c r="H1505" s="143" t="s">
        <v>1424</v>
      </c>
      <c r="I1505" s="26" t="s">
        <v>43</v>
      </c>
      <c r="J1505" s="26"/>
      <c r="K1505" s="19"/>
      <c r="L1505" s="19"/>
      <c r="M1505" s="17" t="s">
        <v>1994</v>
      </c>
      <c r="N1505" s="17"/>
      <c r="O1505" s="17" t="s">
        <v>1995</v>
      </c>
      <c r="P1505" s="17" t="s">
        <v>134</v>
      </c>
      <c r="Q1505" s="17" t="s">
        <v>97</v>
      </c>
      <c r="R1505" s="16" t="n">
        <v>968.5</v>
      </c>
      <c r="S1505" s="16" t="n">
        <v>1499</v>
      </c>
      <c r="T1505" s="16" t="n">
        <v>0</v>
      </c>
      <c r="U1505" s="1" t="str">
        <f aca="false">D1505&amp;"-"&amp;E1505&amp;"-"&amp;M1505&amp;"-"&amp;O1505&amp;"-"&amp;P1505&amp;"-"&amp;Q1505</f>
        <v>ENAMOR-FO74 PADDED WIRED MEDIUM COVERAGE-FO74-PEACH-34-D</v>
      </c>
    </row>
    <row r="1506" customFormat="false" ht="15" hidden="true" customHeight="false" outlineLevel="0" collapsed="false">
      <c r="B1506" s="29" t="s">
        <v>2032</v>
      </c>
      <c r="C1506" s="29" t="s">
        <v>1856</v>
      </c>
      <c r="D1506" s="29" t="s">
        <v>1857</v>
      </c>
      <c r="E1506" s="17" t="s">
        <v>1993</v>
      </c>
      <c r="F1506" s="3" t="s">
        <v>997</v>
      </c>
      <c r="G1506" s="143" t="s">
        <v>573</v>
      </c>
      <c r="H1506" s="143" t="s">
        <v>1424</v>
      </c>
      <c r="I1506" s="26" t="s">
        <v>43</v>
      </c>
      <c r="J1506" s="26"/>
      <c r="K1506" s="19"/>
      <c r="L1506" s="19"/>
      <c r="M1506" s="17" t="s">
        <v>1994</v>
      </c>
      <c r="N1506" s="29"/>
      <c r="O1506" s="17" t="s">
        <v>1995</v>
      </c>
      <c r="P1506" s="29" t="s">
        <v>134</v>
      </c>
      <c r="Q1506" s="29" t="s">
        <v>1890</v>
      </c>
      <c r="R1506" s="16" t="n">
        <v>968.5</v>
      </c>
      <c r="S1506" s="16" t="n">
        <v>1499</v>
      </c>
      <c r="T1506" s="16" t="n">
        <v>0</v>
      </c>
      <c r="U1506" s="1" t="str">
        <f aca="false">D1506&amp;"-"&amp;E1506&amp;"-"&amp;M1506&amp;"-"&amp;O1506&amp;"-"&amp;P1506&amp;"-"&amp;Q1506</f>
        <v>ENAMOR-FO74 PADDED WIRED MEDIUM COVERAGE-FO74-PEACH-34-Z</v>
      </c>
    </row>
    <row r="1507" customFormat="false" ht="15" hidden="true" customHeight="false" outlineLevel="0" collapsed="false">
      <c r="B1507" s="17" t="s">
        <v>2033</v>
      </c>
      <c r="C1507" s="29" t="s">
        <v>1856</v>
      </c>
      <c r="D1507" s="29" t="s">
        <v>1857</v>
      </c>
      <c r="E1507" s="17" t="s">
        <v>1993</v>
      </c>
      <c r="F1507" s="3" t="s">
        <v>997</v>
      </c>
      <c r="G1507" s="143" t="s">
        <v>573</v>
      </c>
      <c r="H1507" s="143" t="s">
        <v>1424</v>
      </c>
      <c r="I1507" s="26" t="s">
        <v>43</v>
      </c>
      <c r="J1507" s="26"/>
      <c r="K1507" s="19"/>
      <c r="L1507" s="19"/>
      <c r="M1507" s="17" t="s">
        <v>1994</v>
      </c>
      <c r="N1507" s="29"/>
      <c r="O1507" s="29" t="s">
        <v>588</v>
      </c>
      <c r="P1507" s="17" t="s">
        <v>134</v>
      </c>
      <c r="Q1507" s="29" t="s">
        <v>1890</v>
      </c>
      <c r="R1507" s="16" t="n">
        <v>1065.42</v>
      </c>
      <c r="S1507" s="16" t="n">
        <v>1649</v>
      </c>
      <c r="T1507" s="16" t="n">
        <v>0</v>
      </c>
      <c r="U1507" s="1" t="str">
        <f aca="false">D1507&amp;"-"&amp;E1507&amp;"-"&amp;M1507&amp;"-"&amp;O1507&amp;"-"&amp;P1507&amp;"-"&amp;Q1507</f>
        <v>ENAMOR-FO74 PADDED WIRED MEDIUM COVERAGE-FO74-PURPLE-34-Z</v>
      </c>
    </row>
    <row r="1508" customFormat="false" ht="15" hidden="true" customHeight="false" outlineLevel="0" collapsed="false">
      <c r="B1508" s="17" t="s">
        <v>2034</v>
      </c>
      <c r="C1508" s="29" t="s">
        <v>1856</v>
      </c>
      <c r="D1508" s="29" t="s">
        <v>1857</v>
      </c>
      <c r="E1508" s="17" t="s">
        <v>1993</v>
      </c>
      <c r="F1508" s="3" t="s">
        <v>997</v>
      </c>
      <c r="G1508" s="143" t="s">
        <v>573</v>
      </c>
      <c r="H1508" s="143" t="s">
        <v>1424</v>
      </c>
      <c r="I1508" s="26" t="s">
        <v>43</v>
      </c>
      <c r="J1508" s="26"/>
      <c r="K1508" s="19"/>
      <c r="L1508" s="19"/>
      <c r="M1508" s="17" t="s">
        <v>1994</v>
      </c>
      <c r="N1508" s="17"/>
      <c r="O1508" s="17" t="s">
        <v>465</v>
      </c>
      <c r="P1508" s="17" t="s">
        <v>134</v>
      </c>
      <c r="Q1508" s="29" t="s">
        <v>1890</v>
      </c>
      <c r="R1508" s="16" t="n">
        <v>1000.65</v>
      </c>
      <c r="S1508" s="16" t="n">
        <v>1549</v>
      </c>
      <c r="T1508" s="16" t="n">
        <v>0</v>
      </c>
      <c r="U1508" s="1" t="str">
        <f aca="false">D1508&amp;"-"&amp;E1508&amp;"-"&amp;M1508&amp;"-"&amp;O1508&amp;"-"&amp;P1508&amp;"-"&amp;Q1508</f>
        <v>ENAMOR-FO74 PADDED WIRED MEDIUM COVERAGE-FO74-SKIN-34-Z</v>
      </c>
    </row>
    <row r="1509" customFormat="false" ht="15" hidden="true" customHeight="false" outlineLevel="0" collapsed="false">
      <c r="B1509" s="17" t="s">
        <v>2035</v>
      </c>
      <c r="C1509" s="29" t="s">
        <v>1856</v>
      </c>
      <c r="D1509" s="29" t="s">
        <v>1857</v>
      </c>
      <c r="E1509" s="17" t="s">
        <v>1993</v>
      </c>
      <c r="F1509" s="3" t="s">
        <v>997</v>
      </c>
      <c r="G1509" s="143" t="s">
        <v>573</v>
      </c>
      <c r="H1509" s="143" t="s">
        <v>1424</v>
      </c>
      <c r="I1509" s="26" t="s">
        <v>43</v>
      </c>
      <c r="J1509" s="26"/>
      <c r="K1509" s="19"/>
      <c r="L1509" s="19"/>
      <c r="M1509" s="17" t="s">
        <v>1994</v>
      </c>
      <c r="N1509" s="17"/>
      <c r="O1509" s="17" t="s">
        <v>528</v>
      </c>
      <c r="P1509" s="17" t="s">
        <v>134</v>
      </c>
      <c r="Q1509" s="29" t="s">
        <v>1890</v>
      </c>
      <c r="R1509" s="16" t="n">
        <v>1000.65</v>
      </c>
      <c r="S1509" s="16" t="n">
        <v>1549</v>
      </c>
      <c r="T1509" s="16" t="n">
        <v>1</v>
      </c>
      <c r="U1509" s="1" t="str">
        <f aca="false">D1509&amp;"-"&amp;E1509&amp;"-"&amp;M1509&amp;"-"&amp;O1509&amp;"-"&amp;P1509&amp;"-"&amp;Q1509</f>
        <v>ENAMOR-FO74 PADDED WIRED MEDIUM COVERAGE-FO74-RED-34-Z</v>
      </c>
    </row>
    <row r="1510" customFormat="false" ht="15" hidden="true" customHeight="false" outlineLevel="0" collapsed="false">
      <c r="B1510" s="29" t="s">
        <v>2036</v>
      </c>
      <c r="C1510" s="29" t="s">
        <v>1856</v>
      </c>
      <c r="D1510" s="29" t="s">
        <v>1857</v>
      </c>
      <c r="E1510" s="17" t="s">
        <v>1993</v>
      </c>
      <c r="F1510" s="3" t="s">
        <v>997</v>
      </c>
      <c r="G1510" s="143" t="s">
        <v>573</v>
      </c>
      <c r="H1510" s="143" t="s">
        <v>1424</v>
      </c>
      <c r="I1510" s="26" t="s">
        <v>43</v>
      </c>
      <c r="J1510" s="26"/>
      <c r="K1510" s="19"/>
      <c r="L1510" s="19"/>
      <c r="M1510" s="17" t="s">
        <v>1994</v>
      </c>
      <c r="N1510" s="29"/>
      <c r="O1510" s="29" t="s">
        <v>465</v>
      </c>
      <c r="P1510" s="29" t="s">
        <v>134</v>
      </c>
      <c r="Q1510" s="29" t="s">
        <v>1890</v>
      </c>
      <c r="R1510" s="16" t="n">
        <v>968.55</v>
      </c>
      <c r="S1510" s="16" t="n">
        <v>1449</v>
      </c>
      <c r="T1510" s="16" t="n">
        <v>0</v>
      </c>
      <c r="U1510" s="1" t="str">
        <f aca="false">D1510&amp;"-"&amp;E1510&amp;"-"&amp;M1510&amp;"-"&amp;O1510&amp;"-"&amp;P1510&amp;"-"&amp;Q1510</f>
        <v>ENAMOR-FO74 PADDED WIRED MEDIUM COVERAGE-FO74-SKIN-34-Z</v>
      </c>
    </row>
    <row r="1511" customFormat="false" ht="15" hidden="true" customHeight="false" outlineLevel="0" collapsed="false">
      <c r="B1511" s="29" t="s">
        <v>2037</v>
      </c>
      <c r="C1511" s="29" t="s">
        <v>1856</v>
      </c>
      <c r="D1511" s="29" t="s">
        <v>1857</v>
      </c>
      <c r="E1511" s="17" t="s">
        <v>1993</v>
      </c>
      <c r="F1511" s="3" t="s">
        <v>997</v>
      </c>
      <c r="G1511" s="143" t="s">
        <v>573</v>
      </c>
      <c r="H1511" s="143" t="s">
        <v>1424</v>
      </c>
      <c r="I1511" s="26" t="s">
        <v>43</v>
      </c>
      <c r="J1511" s="26"/>
      <c r="K1511" s="19"/>
      <c r="L1511" s="19"/>
      <c r="M1511" s="17" t="s">
        <v>1994</v>
      </c>
      <c r="N1511" s="29"/>
      <c r="O1511" s="17" t="s">
        <v>1995</v>
      </c>
      <c r="P1511" s="29" t="s">
        <v>134</v>
      </c>
      <c r="Q1511" s="29" t="s">
        <v>1890</v>
      </c>
      <c r="R1511" s="16" t="n">
        <v>968.5</v>
      </c>
      <c r="S1511" s="16" t="n">
        <v>1499</v>
      </c>
      <c r="T1511" s="16" t="n">
        <v>0</v>
      </c>
      <c r="U1511" s="1" t="str">
        <f aca="false">D1511&amp;"-"&amp;E1511&amp;"-"&amp;M1511&amp;"-"&amp;O1511&amp;"-"&amp;P1511&amp;"-"&amp;Q1511</f>
        <v>ENAMOR-FO74 PADDED WIRED MEDIUM COVERAGE-FO74-PEACH-34-Z</v>
      </c>
    </row>
    <row r="1512" customFormat="false" ht="15" hidden="true" customHeight="false" outlineLevel="0" collapsed="false">
      <c r="B1512" s="29" t="s">
        <v>2038</v>
      </c>
      <c r="C1512" s="29" t="s">
        <v>1856</v>
      </c>
      <c r="D1512" s="29" t="s">
        <v>1857</v>
      </c>
      <c r="E1512" s="17" t="s">
        <v>1993</v>
      </c>
      <c r="F1512" s="3" t="s">
        <v>997</v>
      </c>
      <c r="G1512" s="143" t="s">
        <v>573</v>
      </c>
      <c r="H1512" s="143" t="s">
        <v>1424</v>
      </c>
      <c r="I1512" s="26" t="s">
        <v>43</v>
      </c>
      <c r="J1512" s="26"/>
      <c r="K1512" s="19"/>
      <c r="L1512" s="19"/>
      <c r="M1512" s="17" t="s">
        <v>1994</v>
      </c>
      <c r="N1512" s="17"/>
      <c r="O1512" s="29" t="s">
        <v>76</v>
      </c>
      <c r="P1512" s="29" t="s">
        <v>65</v>
      </c>
      <c r="Q1512" s="29" t="s">
        <v>592</v>
      </c>
      <c r="R1512" s="16" t="n">
        <v>1065.42</v>
      </c>
      <c r="S1512" s="16" t="n">
        <v>1649</v>
      </c>
      <c r="T1512" s="16" t="n">
        <v>1</v>
      </c>
      <c r="U1512" s="1" t="str">
        <f aca="false">D1512&amp;"-"&amp;E1512&amp;"-"&amp;M1512&amp;"-"&amp;O1512&amp;"-"&amp;P1512&amp;"-"&amp;Q1512</f>
        <v>ENAMOR-FO74 PADDED WIRED MEDIUM COVERAGE-FO74-BLK-36-B</v>
      </c>
    </row>
    <row r="1513" customFormat="false" ht="15" hidden="true" customHeight="false" outlineLevel="0" collapsed="false">
      <c r="B1513" s="29" t="s">
        <v>2039</v>
      </c>
      <c r="C1513" s="29" t="s">
        <v>1856</v>
      </c>
      <c r="D1513" s="29" t="s">
        <v>1857</v>
      </c>
      <c r="E1513" s="17" t="s">
        <v>1993</v>
      </c>
      <c r="F1513" s="3" t="s">
        <v>997</v>
      </c>
      <c r="G1513" s="143" t="s">
        <v>573</v>
      </c>
      <c r="H1513" s="143" t="s">
        <v>1424</v>
      </c>
      <c r="I1513" s="26" t="s">
        <v>43</v>
      </c>
      <c r="J1513" s="26"/>
      <c r="K1513" s="19"/>
      <c r="L1513" s="19"/>
      <c r="M1513" s="17" t="s">
        <v>1994</v>
      </c>
      <c r="N1513" s="29"/>
      <c r="O1513" s="29" t="s">
        <v>465</v>
      </c>
      <c r="P1513" s="29" t="s">
        <v>65</v>
      </c>
      <c r="Q1513" s="29" t="s">
        <v>592</v>
      </c>
      <c r="R1513" s="16" t="n">
        <v>968.5</v>
      </c>
      <c r="S1513" s="16" t="n">
        <v>1449</v>
      </c>
      <c r="T1513" s="16" t="n">
        <v>1</v>
      </c>
      <c r="U1513" s="1" t="str">
        <f aca="false">D1513&amp;"-"&amp;E1513&amp;"-"&amp;M1513&amp;"-"&amp;O1513&amp;"-"&amp;P1513&amp;"-"&amp;Q1513</f>
        <v>ENAMOR-FO74 PADDED WIRED MEDIUM COVERAGE-FO74-SKIN-36-B</v>
      </c>
    </row>
    <row r="1514" customFormat="false" ht="15" hidden="true" customHeight="false" outlineLevel="0" collapsed="false">
      <c r="B1514" s="29" t="s">
        <v>2040</v>
      </c>
      <c r="C1514" s="29" t="s">
        <v>1856</v>
      </c>
      <c r="D1514" s="29" t="s">
        <v>1857</v>
      </c>
      <c r="E1514" s="17" t="s">
        <v>1993</v>
      </c>
      <c r="F1514" s="3" t="s">
        <v>997</v>
      </c>
      <c r="G1514" s="143" t="s">
        <v>573</v>
      </c>
      <c r="H1514" s="143" t="s">
        <v>1424</v>
      </c>
      <c r="I1514" s="26" t="s">
        <v>43</v>
      </c>
      <c r="J1514" s="26"/>
      <c r="K1514" s="19"/>
      <c r="L1514" s="19"/>
      <c r="M1514" s="17" t="s">
        <v>1994</v>
      </c>
      <c r="N1514" s="17"/>
      <c r="O1514" s="29" t="s">
        <v>76</v>
      </c>
      <c r="P1514" s="29" t="s">
        <v>65</v>
      </c>
      <c r="Q1514" s="29" t="s">
        <v>595</v>
      </c>
      <c r="R1514" s="16" t="n">
        <v>968.5</v>
      </c>
      <c r="S1514" s="16" t="n">
        <v>1449</v>
      </c>
      <c r="T1514" s="16" t="n">
        <v>1</v>
      </c>
      <c r="U1514" s="1" t="str">
        <f aca="false">D1514&amp;"-"&amp;E1514&amp;"-"&amp;M1514&amp;"-"&amp;O1514&amp;"-"&amp;P1514&amp;"-"&amp;Q1514</f>
        <v>ENAMOR-FO74 PADDED WIRED MEDIUM COVERAGE-FO74-BLK-36-C</v>
      </c>
    </row>
    <row r="1515" customFormat="false" ht="15" hidden="true" customHeight="false" outlineLevel="0" collapsed="false">
      <c r="B1515" s="17" t="s">
        <v>2041</v>
      </c>
      <c r="C1515" s="29" t="s">
        <v>1856</v>
      </c>
      <c r="D1515" s="29" t="s">
        <v>1857</v>
      </c>
      <c r="E1515" s="17" t="s">
        <v>1993</v>
      </c>
      <c r="F1515" s="3" t="s">
        <v>997</v>
      </c>
      <c r="G1515" s="143" t="s">
        <v>573</v>
      </c>
      <c r="H1515" s="143" t="s">
        <v>1424</v>
      </c>
      <c r="I1515" s="26" t="s">
        <v>43</v>
      </c>
      <c r="J1515" s="26"/>
      <c r="K1515" s="19"/>
      <c r="L1515" s="19"/>
      <c r="M1515" s="17" t="s">
        <v>1994</v>
      </c>
      <c r="N1515" s="17"/>
      <c r="O1515" s="17" t="s">
        <v>528</v>
      </c>
      <c r="P1515" s="29" t="s">
        <v>65</v>
      </c>
      <c r="Q1515" s="17" t="s">
        <v>595</v>
      </c>
      <c r="R1515" s="16" t="n">
        <v>968.5</v>
      </c>
      <c r="S1515" s="16" t="n">
        <v>1499</v>
      </c>
      <c r="T1515" s="16" t="n">
        <v>0</v>
      </c>
      <c r="U1515" s="1" t="str">
        <f aca="false">D1515&amp;"-"&amp;E1515&amp;"-"&amp;M1515&amp;"-"&amp;O1515&amp;"-"&amp;P1515&amp;"-"&amp;Q1515</f>
        <v>ENAMOR-FO74 PADDED WIRED MEDIUM COVERAGE-FO74-RED-36-C</v>
      </c>
    </row>
    <row r="1516" customFormat="false" ht="15" hidden="true" customHeight="false" outlineLevel="0" collapsed="false">
      <c r="B1516" s="29" t="s">
        <v>2042</v>
      </c>
      <c r="C1516" s="29" t="s">
        <v>1856</v>
      </c>
      <c r="D1516" s="29" t="s">
        <v>1857</v>
      </c>
      <c r="E1516" s="17" t="s">
        <v>1993</v>
      </c>
      <c r="F1516" s="3" t="s">
        <v>997</v>
      </c>
      <c r="G1516" s="143" t="s">
        <v>573</v>
      </c>
      <c r="H1516" s="143" t="s">
        <v>1424</v>
      </c>
      <c r="I1516" s="26" t="s">
        <v>43</v>
      </c>
      <c r="J1516" s="26"/>
      <c r="K1516" s="19"/>
      <c r="L1516" s="19"/>
      <c r="M1516" s="17" t="s">
        <v>1994</v>
      </c>
      <c r="N1516" s="29"/>
      <c r="O1516" s="29" t="s">
        <v>465</v>
      </c>
      <c r="P1516" s="29" t="s">
        <v>65</v>
      </c>
      <c r="Q1516" s="29" t="s">
        <v>595</v>
      </c>
      <c r="R1516" s="16" t="n">
        <v>1065.42</v>
      </c>
      <c r="S1516" s="16" t="n">
        <v>1649</v>
      </c>
      <c r="T1516" s="16" t="n">
        <v>1</v>
      </c>
      <c r="U1516" s="1" t="str">
        <f aca="false">D1516&amp;"-"&amp;E1516&amp;"-"&amp;M1516&amp;"-"&amp;O1516&amp;"-"&amp;P1516&amp;"-"&amp;Q1516</f>
        <v>ENAMOR-FO74 PADDED WIRED MEDIUM COVERAGE-FO74-SKIN-36-C</v>
      </c>
    </row>
    <row r="1517" customFormat="false" ht="15" hidden="true" customHeight="false" outlineLevel="0" collapsed="false">
      <c r="B1517" s="29" t="s">
        <v>2043</v>
      </c>
      <c r="C1517" s="29" t="s">
        <v>1856</v>
      </c>
      <c r="D1517" s="29" t="s">
        <v>1857</v>
      </c>
      <c r="E1517" s="17" t="s">
        <v>1993</v>
      </c>
      <c r="F1517" s="3" t="s">
        <v>997</v>
      </c>
      <c r="G1517" s="143" t="s">
        <v>573</v>
      </c>
      <c r="H1517" s="143" t="s">
        <v>1424</v>
      </c>
      <c r="I1517" s="26" t="s">
        <v>43</v>
      </c>
      <c r="J1517" s="26"/>
      <c r="K1517" s="19"/>
      <c r="L1517" s="19"/>
      <c r="M1517" s="17" t="s">
        <v>1994</v>
      </c>
      <c r="N1517" s="29"/>
      <c r="O1517" s="17" t="s">
        <v>1995</v>
      </c>
      <c r="P1517" s="29" t="s">
        <v>65</v>
      </c>
      <c r="Q1517" s="29" t="s">
        <v>595</v>
      </c>
      <c r="R1517" s="16" t="n">
        <v>968.5</v>
      </c>
      <c r="S1517" s="16" t="n">
        <v>1449</v>
      </c>
      <c r="T1517" s="16" t="n">
        <v>0</v>
      </c>
      <c r="U1517" s="1" t="str">
        <f aca="false">D1517&amp;"-"&amp;E1517&amp;"-"&amp;M1517&amp;"-"&amp;O1517&amp;"-"&amp;P1517&amp;"-"&amp;Q1517</f>
        <v>ENAMOR-FO74 PADDED WIRED MEDIUM COVERAGE-FO74-PEACH-36-C</v>
      </c>
    </row>
    <row r="1518" customFormat="false" ht="15" hidden="true" customHeight="false" outlineLevel="0" collapsed="false">
      <c r="B1518" s="17" t="s">
        <v>2044</v>
      </c>
      <c r="C1518" s="29" t="s">
        <v>1856</v>
      </c>
      <c r="D1518" s="29" t="s">
        <v>1857</v>
      </c>
      <c r="E1518" s="17" t="s">
        <v>1993</v>
      </c>
      <c r="F1518" s="3" t="s">
        <v>997</v>
      </c>
      <c r="G1518" s="143" t="s">
        <v>573</v>
      </c>
      <c r="H1518" s="143" t="s">
        <v>1424</v>
      </c>
      <c r="I1518" s="26" t="s">
        <v>43</v>
      </c>
      <c r="J1518" s="26"/>
      <c r="K1518" s="19"/>
      <c r="L1518" s="19"/>
      <c r="M1518" s="17" t="s">
        <v>1994</v>
      </c>
      <c r="N1518" s="17"/>
      <c r="O1518" s="17" t="s">
        <v>1995</v>
      </c>
      <c r="P1518" s="29" t="s">
        <v>65</v>
      </c>
      <c r="Q1518" s="17" t="s">
        <v>97</v>
      </c>
      <c r="R1518" s="16" t="n">
        <v>968.5</v>
      </c>
      <c r="S1518" s="16" t="n">
        <v>1499</v>
      </c>
      <c r="T1518" s="16" t="n">
        <v>0</v>
      </c>
      <c r="U1518" s="1" t="str">
        <f aca="false">D1518&amp;"-"&amp;E1518&amp;"-"&amp;M1518&amp;"-"&amp;O1518&amp;"-"&amp;P1518&amp;"-"&amp;Q1518</f>
        <v>ENAMOR-FO74 PADDED WIRED MEDIUM COVERAGE-FO74-PEACH-36-D</v>
      </c>
    </row>
    <row r="1519" customFormat="false" ht="15" hidden="true" customHeight="false" outlineLevel="0" collapsed="false">
      <c r="B1519" s="29" t="s">
        <v>2045</v>
      </c>
      <c r="C1519" s="29" t="s">
        <v>1856</v>
      </c>
      <c r="D1519" s="29" t="s">
        <v>1857</v>
      </c>
      <c r="E1519" s="17" t="s">
        <v>1993</v>
      </c>
      <c r="F1519" s="3" t="s">
        <v>997</v>
      </c>
      <c r="G1519" s="143" t="s">
        <v>573</v>
      </c>
      <c r="H1519" s="143" t="s">
        <v>1424</v>
      </c>
      <c r="I1519" s="26" t="s">
        <v>43</v>
      </c>
      <c r="J1519" s="26"/>
      <c r="K1519" s="19"/>
      <c r="L1519" s="19"/>
      <c r="M1519" s="17" t="s">
        <v>1994</v>
      </c>
      <c r="N1519" s="29"/>
      <c r="O1519" s="29" t="s">
        <v>588</v>
      </c>
      <c r="P1519" s="29" t="s">
        <v>65</v>
      </c>
      <c r="Q1519" s="29" t="s">
        <v>97</v>
      </c>
      <c r="R1519" s="16" t="n">
        <v>1065.42</v>
      </c>
      <c r="S1519" s="16" t="n">
        <v>1649</v>
      </c>
      <c r="T1519" s="16" t="n">
        <v>2</v>
      </c>
      <c r="U1519" s="1" t="str">
        <f aca="false">D1519&amp;"-"&amp;E1519&amp;"-"&amp;M1519&amp;"-"&amp;O1519&amp;"-"&amp;P1519&amp;"-"&amp;Q1519</f>
        <v>ENAMOR-FO74 PADDED WIRED MEDIUM COVERAGE-FO74-PURPLE-36-D</v>
      </c>
    </row>
    <row r="1520" customFormat="false" ht="15" hidden="true" customHeight="false" outlineLevel="0" collapsed="false">
      <c r="B1520" s="29" t="s">
        <v>2046</v>
      </c>
      <c r="C1520" s="29" t="s">
        <v>1856</v>
      </c>
      <c r="D1520" s="29" t="s">
        <v>1857</v>
      </c>
      <c r="E1520" s="17" t="s">
        <v>1993</v>
      </c>
      <c r="F1520" s="3" t="s">
        <v>997</v>
      </c>
      <c r="G1520" s="143" t="s">
        <v>573</v>
      </c>
      <c r="H1520" s="143" t="s">
        <v>1424</v>
      </c>
      <c r="I1520" s="26" t="s">
        <v>43</v>
      </c>
      <c r="J1520" s="26"/>
      <c r="K1520" s="19"/>
      <c r="L1520" s="19"/>
      <c r="M1520" s="17" t="s">
        <v>1994</v>
      </c>
      <c r="N1520" s="29"/>
      <c r="O1520" s="29" t="s">
        <v>528</v>
      </c>
      <c r="P1520" s="29" t="s">
        <v>65</v>
      </c>
      <c r="Q1520" s="29" t="s">
        <v>97</v>
      </c>
      <c r="R1520" s="16" t="n">
        <v>968.5</v>
      </c>
      <c r="S1520" s="16" t="n">
        <v>1449</v>
      </c>
      <c r="T1520" s="16" t="n">
        <v>2</v>
      </c>
      <c r="U1520" s="1" t="str">
        <f aca="false">D1520&amp;"-"&amp;E1520&amp;"-"&amp;M1520&amp;"-"&amp;O1520&amp;"-"&amp;P1520&amp;"-"&amp;Q1520</f>
        <v>ENAMOR-FO74 PADDED WIRED MEDIUM COVERAGE-FO74-RED-36-D</v>
      </c>
    </row>
    <row r="1521" customFormat="false" ht="15" hidden="true" customHeight="false" outlineLevel="0" collapsed="false">
      <c r="B1521" s="29" t="s">
        <v>2047</v>
      </c>
      <c r="C1521" s="29" t="s">
        <v>1856</v>
      </c>
      <c r="D1521" s="29" t="s">
        <v>1857</v>
      </c>
      <c r="E1521" s="17" t="s">
        <v>1993</v>
      </c>
      <c r="F1521" s="3" t="s">
        <v>997</v>
      </c>
      <c r="G1521" s="143" t="s">
        <v>573</v>
      </c>
      <c r="H1521" s="143" t="s">
        <v>1424</v>
      </c>
      <c r="I1521" s="26" t="s">
        <v>43</v>
      </c>
      <c r="J1521" s="26"/>
      <c r="K1521" s="19"/>
      <c r="L1521" s="19"/>
      <c r="M1521" s="17" t="s">
        <v>1994</v>
      </c>
      <c r="N1521" s="29"/>
      <c r="O1521" s="17" t="s">
        <v>1995</v>
      </c>
      <c r="P1521" s="29" t="s">
        <v>65</v>
      </c>
      <c r="Q1521" s="29" t="s">
        <v>1890</v>
      </c>
      <c r="R1521" s="16" t="n">
        <v>968.5</v>
      </c>
      <c r="S1521" s="16" t="n">
        <v>1449</v>
      </c>
      <c r="T1521" s="16" t="n">
        <v>0</v>
      </c>
      <c r="U1521" s="1" t="str">
        <f aca="false">D1521&amp;"-"&amp;E1521&amp;"-"&amp;M1521&amp;"-"&amp;O1521&amp;"-"&amp;P1521&amp;"-"&amp;Q1521</f>
        <v>ENAMOR-FO74 PADDED WIRED MEDIUM COVERAGE-FO74-PEACH-36-Z</v>
      </c>
    </row>
    <row r="1522" customFormat="false" ht="15" hidden="true" customHeight="false" outlineLevel="0" collapsed="false">
      <c r="B1522" s="17" t="s">
        <v>2048</v>
      </c>
      <c r="C1522" s="29" t="s">
        <v>1856</v>
      </c>
      <c r="D1522" s="29" t="s">
        <v>1857</v>
      </c>
      <c r="E1522" s="17" t="s">
        <v>1993</v>
      </c>
      <c r="F1522" s="3" t="s">
        <v>997</v>
      </c>
      <c r="G1522" s="143" t="s">
        <v>573</v>
      </c>
      <c r="H1522" s="143" t="s">
        <v>1424</v>
      </c>
      <c r="I1522" s="26" t="s">
        <v>43</v>
      </c>
      <c r="J1522" s="26"/>
      <c r="K1522" s="19"/>
      <c r="L1522" s="19"/>
      <c r="M1522" s="17" t="s">
        <v>1994</v>
      </c>
      <c r="N1522" s="29"/>
      <c r="O1522" s="29" t="s">
        <v>588</v>
      </c>
      <c r="P1522" s="29" t="s">
        <v>65</v>
      </c>
      <c r="Q1522" s="29" t="s">
        <v>1890</v>
      </c>
      <c r="R1522" s="16" t="n">
        <v>1065.42</v>
      </c>
      <c r="S1522" s="16" t="n">
        <v>1649</v>
      </c>
      <c r="T1522" s="16" t="n">
        <v>1</v>
      </c>
      <c r="U1522" s="1" t="str">
        <f aca="false">D1522&amp;"-"&amp;E1522&amp;"-"&amp;M1522&amp;"-"&amp;O1522&amp;"-"&amp;P1522&amp;"-"&amp;Q1522</f>
        <v>ENAMOR-FO74 PADDED WIRED MEDIUM COVERAGE-FO74-PURPLE-36-Z</v>
      </c>
    </row>
    <row r="1523" customFormat="false" ht="15" hidden="true" customHeight="false" outlineLevel="0" collapsed="false">
      <c r="B1523" s="17" t="s">
        <v>2049</v>
      </c>
      <c r="C1523" s="29" t="s">
        <v>1856</v>
      </c>
      <c r="D1523" s="29" t="s">
        <v>1857</v>
      </c>
      <c r="E1523" s="17" t="s">
        <v>1993</v>
      </c>
      <c r="F1523" s="3" t="s">
        <v>997</v>
      </c>
      <c r="G1523" s="143" t="s">
        <v>573</v>
      </c>
      <c r="H1523" s="143" t="s">
        <v>1424</v>
      </c>
      <c r="I1523" s="26" t="s">
        <v>43</v>
      </c>
      <c r="J1523" s="26"/>
      <c r="K1523" s="19"/>
      <c r="L1523" s="19"/>
      <c r="M1523" s="17" t="s">
        <v>1994</v>
      </c>
      <c r="N1523" s="17"/>
      <c r="O1523" s="17" t="s">
        <v>76</v>
      </c>
      <c r="P1523" s="29" t="s">
        <v>65</v>
      </c>
      <c r="Q1523" s="29" t="s">
        <v>1890</v>
      </c>
      <c r="R1523" s="16" t="n">
        <v>968.5</v>
      </c>
      <c r="S1523" s="16" t="n">
        <v>1499</v>
      </c>
      <c r="T1523" s="16" t="n">
        <v>3</v>
      </c>
      <c r="U1523" s="1" t="str">
        <f aca="false">D1523&amp;"-"&amp;E1523&amp;"-"&amp;M1523&amp;"-"&amp;O1523&amp;"-"&amp;P1523&amp;"-"&amp;Q1523</f>
        <v>ENAMOR-FO74 PADDED WIRED MEDIUM COVERAGE-FO74-BLK-36-Z</v>
      </c>
    </row>
    <row r="1524" customFormat="false" ht="15" hidden="true" customHeight="false" outlineLevel="0" collapsed="false">
      <c r="B1524" s="17" t="s">
        <v>2050</v>
      </c>
      <c r="C1524" s="29" t="s">
        <v>1856</v>
      </c>
      <c r="D1524" s="29" t="s">
        <v>1857</v>
      </c>
      <c r="E1524" s="17" t="s">
        <v>1993</v>
      </c>
      <c r="F1524" s="3" t="s">
        <v>997</v>
      </c>
      <c r="G1524" s="143" t="s">
        <v>573</v>
      </c>
      <c r="H1524" s="143" t="s">
        <v>1424</v>
      </c>
      <c r="I1524" s="26" t="s">
        <v>43</v>
      </c>
      <c r="J1524" s="26"/>
      <c r="K1524" s="19"/>
      <c r="L1524" s="19"/>
      <c r="M1524" s="17" t="s">
        <v>1994</v>
      </c>
      <c r="N1524" s="17"/>
      <c r="O1524" s="17" t="s">
        <v>528</v>
      </c>
      <c r="P1524" s="29" t="s">
        <v>65</v>
      </c>
      <c r="Q1524" s="29" t="s">
        <v>1890</v>
      </c>
      <c r="R1524" s="16" t="n">
        <v>968.5</v>
      </c>
      <c r="S1524" s="16" t="n">
        <v>1449</v>
      </c>
      <c r="T1524" s="16" t="n">
        <v>1</v>
      </c>
      <c r="U1524" s="1" t="str">
        <f aca="false">D1524&amp;"-"&amp;E1524&amp;"-"&amp;M1524&amp;"-"&amp;O1524&amp;"-"&amp;P1524&amp;"-"&amp;Q1524</f>
        <v>ENAMOR-FO74 PADDED WIRED MEDIUM COVERAGE-FO74-RED-36-Z</v>
      </c>
    </row>
    <row r="1525" customFormat="false" ht="15" hidden="true" customHeight="false" outlineLevel="0" collapsed="false">
      <c r="B1525" s="17" t="s">
        <v>2051</v>
      </c>
      <c r="C1525" s="29" t="s">
        <v>1856</v>
      </c>
      <c r="D1525" s="29" t="s">
        <v>1857</v>
      </c>
      <c r="E1525" s="17" t="s">
        <v>1993</v>
      </c>
      <c r="F1525" s="3" t="s">
        <v>997</v>
      </c>
      <c r="G1525" s="143" t="s">
        <v>573</v>
      </c>
      <c r="H1525" s="143" t="s">
        <v>1424</v>
      </c>
      <c r="I1525" s="26" t="s">
        <v>43</v>
      </c>
      <c r="J1525" s="26"/>
      <c r="K1525" s="19"/>
      <c r="L1525" s="19"/>
      <c r="M1525" s="17" t="s">
        <v>1994</v>
      </c>
      <c r="N1525" s="17"/>
      <c r="O1525" s="17" t="s">
        <v>465</v>
      </c>
      <c r="P1525" s="29" t="s">
        <v>65</v>
      </c>
      <c r="Q1525" s="29" t="s">
        <v>1890</v>
      </c>
      <c r="R1525" s="16" t="n">
        <v>1162</v>
      </c>
      <c r="S1525" s="16" t="n">
        <v>1599</v>
      </c>
      <c r="T1525" s="16" t="n">
        <v>0</v>
      </c>
      <c r="U1525" s="1" t="str">
        <f aca="false">D1525&amp;"-"&amp;E1525&amp;"-"&amp;M1525&amp;"-"&amp;O1525&amp;"-"&amp;P1525&amp;"-"&amp;Q1525</f>
        <v>ENAMOR-FO74 PADDED WIRED MEDIUM COVERAGE-FO74-SKIN-36-Z</v>
      </c>
    </row>
    <row r="1526" customFormat="false" ht="15" hidden="true" customHeight="false" outlineLevel="0" collapsed="false">
      <c r="B1526" s="29" t="s">
        <v>2052</v>
      </c>
      <c r="C1526" s="29" t="s">
        <v>1856</v>
      </c>
      <c r="D1526" s="29" t="s">
        <v>1857</v>
      </c>
      <c r="E1526" s="17" t="s">
        <v>1993</v>
      </c>
      <c r="F1526" s="3" t="s">
        <v>997</v>
      </c>
      <c r="G1526" s="143" t="s">
        <v>573</v>
      </c>
      <c r="H1526" s="143" t="s">
        <v>1424</v>
      </c>
      <c r="I1526" s="26" t="s">
        <v>43</v>
      </c>
      <c r="J1526" s="26"/>
      <c r="K1526" s="19"/>
      <c r="L1526" s="19"/>
      <c r="M1526" s="17" t="s">
        <v>1994</v>
      </c>
      <c r="N1526" s="29"/>
      <c r="O1526" s="17" t="s">
        <v>1995</v>
      </c>
      <c r="P1526" s="29" t="s">
        <v>65</v>
      </c>
      <c r="Q1526" s="29" t="s">
        <v>1890</v>
      </c>
      <c r="R1526" s="16" t="n">
        <v>936.054</v>
      </c>
      <c r="S1526" s="16" t="n">
        <v>1449</v>
      </c>
      <c r="T1526" s="16" t="n">
        <v>0</v>
      </c>
      <c r="U1526" s="1" t="str">
        <f aca="false">D1526&amp;"-"&amp;E1526&amp;"-"&amp;M1526&amp;"-"&amp;O1526&amp;"-"&amp;P1526&amp;"-"&amp;Q1526</f>
        <v>ENAMOR-FO74 PADDED WIRED MEDIUM COVERAGE-FO74-PEACH-36-Z</v>
      </c>
    </row>
    <row r="1527" customFormat="false" ht="15" hidden="true" customHeight="false" outlineLevel="0" collapsed="false">
      <c r="B1527" s="29" t="s">
        <v>2053</v>
      </c>
      <c r="C1527" s="29" t="s">
        <v>1856</v>
      </c>
      <c r="D1527" s="29" t="s">
        <v>1857</v>
      </c>
      <c r="E1527" s="17" t="s">
        <v>1993</v>
      </c>
      <c r="F1527" s="3" t="s">
        <v>997</v>
      </c>
      <c r="G1527" s="143" t="s">
        <v>573</v>
      </c>
      <c r="H1527" s="143" t="s">
        <v>1424</v>
      </c>
      <c r="I1527" s="26" t="s">
        <v>43</v>
      </c>
      <c r="J1527" s="26"/>
      <c r="K1527" s="19"/>
      <c r="L1527" s="19"/>
      <c r="M1527" s="17" t="s">
        <v>1994</v>
      </c>
      <c r="N1527" s="29"/>
      <c r="O1527" s="29" t="s">
        <v>588</v>
      </c>
      <c r="P1527" s="17" t="s">
        <v>154</v>
      </c>
      <c r="Q1527" s="29" t="s">
        <v>595</v>
      </c>
      <c r="R1527" s="16" t="n">
        <v>968.5</v>
      </c>
      <c r="S1527" s="16" t="n">
        <v>1499</v>
      </c>
      <c r="T1527" s="16" t="n">
        <v>0</v>
      </c>
      <c r="U1527" s="1" t="str">
        <f aca="false">D1527&amp;"-"&amp;E1527&amp;"-"&amp;M1527&amp;"-"&amp;O1527&amp;"-"&amp;P1527&amp;"-"&amp;Q1527</f>
        <v>ENAMOR-FO74 PADDED WIRED MEDIUM COVERAGE-FO74-PURPLE-38-C</v>
      </c>
    </row>
    <row r="1528" customFormat="false" ht="15" hidden="true" customHeight="false" outlineLevel="0" collapsed="false">
      <c r="B1528" s="17" t="s">
        <v>2054</v>
      </c>
      <c r="C1528" s="29" t="s">
        <v>1856</v>
      </c>
      <c r="D1528" s="29" t="s">
        <v>1857</v>
      </c>
      <c r="E1528" s="17" t="s">
        <v>1993</v>
      </c>
      <c r="F1528" s="3" t="s">
        <v>997</v>
      </c>
      <c r="G1528" s="143" t="s">
        <v>573</v>
      </c>
      <c r="H1528" s="143" t="s">
        <v>1424</v>
      </c>
      <c r="I1528" s="26" t="s">
        <v>43</v>
      </c>
      <c r="J1528" s="26"/>
      <c r="K1528" s="19"/>
      <c r="L1528" s="19"/>
      <c r="M1528" s="17" t="s">
        <v>1994</v>
      </c>
      <c r="N1528" s="17"/>
      <c r="O1528" s="17" t="s">
        <v>76</v>
      </c>
      <c r="P1528" s="17" t="s">
        <v>154</v>
      </c>
      <c r="Q1528" s="17" t="s">
        <v>595</v>
      </c>
      <c r="R1528" s="16" t="n">
        <v>968.5</v>
      </c>
      <c r="S1528" s="16" t="n">
        <v>1499</v>
      </c>
      <c r="T1528" s="16" t="n">
        <v>1</v>
      </c>
      <c r="U1528" s="1" t="str">
        <f aca="false">D1528&amp;"-"&amp;E1528&amp;"-"&amp;M1528&amp;"-"&amp;O1528&amp;"-"&amp;P1528&amp;"-"&amp;Q1528</f>
        <v>ENAMOR-FO74 PADDED WIRED MEDIUM COVERAGE-FO74-BLK-38-C</v>
      </c>
    </row>
    <row r="1529" customFormat="false" ht="15" hidden="true" customHeight="false" outlineLevel="0" collapsed="false">
      <c r="B1529" s="29" t="s">
        <v>2055</v>
      </c>
      <c r="C1529" s="29" t="s">
        <v>1856</v>
      </c>
      <c r="D1529" s="29" t="s">
        <v>1857</v>
      </c>
      <c r="E1529" s="17" t="s">
        <v>1993</v>
      </c>
      <c r="F1529" s="3" t="s">
        <v>997</v>
      </c>
      <c r="G1529" s="143" t="s">
        <v>573</v>
      </c>
      <c r="H1529" s="143" t="s">
        <v>1424</v>
      </c>
      <c r="I1529" s="26" t="s">
        <v>43</v>
      </c>
      <c r="J1529" s="26"/>
      <c r="K1529" s="19"/>
      <c r="L1529" s="19"/>
      <c r="M1529" s="17" t="s">
        <v>1994</v>
      </c>
      <c r="N1529" s="17"/>
      <c r="O1529" s="29" t="s">
        <v>465</v>
      </c>
      <c r="P1529" s="17" t="s">
        <v>154</v>
      </c>
      <c r="Q1529" s="29" t="s">
        <v>595</v>
      </c>
      <c r="R1529" s="16" t="n">
        <v>968.5</v>
      </c>
      <c r="S1529" s="16" t="n">
        <v>1499</v>
      </c>
      <c r="T1529" s="16" t="n">
        <v>1</v>
      </c>
      <c r="U1529" s="1" t="str">
        <f aca="false">D1529&amp;"-"&amp;E1529&amp;"-"&amp;M1529&amp;"-"&amp;O1529&amp;"-"&amp;P1529&amp;"-"&amp;Q1529</f>
        <v>ENAMOR-FO74 PADDED WIRED MEDIUM COVERAGE-FO74-SKIN-38-C</v>
      </c>
    </row>
    <row r="1530" customFormat="false" ht="15" hidden="true" customHeight="false" outlineLevel="0" collapsed="false">
      <c r="B1530" s="17" t="s">
        <v>2056</v>
      </c>
      <c r="C1530" s="29" t="s">
        <v>1856</v>
      </c>
      <c r="D1530" s="29" t="s">
        <v>1857</v>
      </c>
      <c r="E1530" s="17" t="s">
        <v>1993</v>
      </c>
      <c r="F1530" s="3" t="s">
        <v>997</v>
      </c>
      <c r="G1530" s="143" t="s">
        <v>573</v>
      </c>
      <c r="H1530" s="143" t="s">
        <v>1424</v>
      </c>
      <c r="I1530" s="26" t="s">
        <v>43</v>
      </c>
      <c r="J1530" s="26"/>
      <c r="K1530" s="19"/>
      <c r="L1530" s="19"/>
      <c r="M1530" s="17" t="s">
        <v>1994</v>
      </c>
      <c r="N1530" s="17"/>
      <c r="O1530" s="17" t="s">
        <v>1995</v>
      </c>
      <c r="P1530" s="17" t="s">
        <v>154</v>
      </c>
      <c r="Q1530" s="17" t="s">
        <v>595</v>
      </c>
      <c r="R1530" s="16" t="n">
        <v>1065.42</v>
      </c>
      <c r="S1530" s="16" t="n">
        <v>1649</v>
      </c>
      <c r="T1530" s="16" t="n">
        <v>0</v>
      </c>
      <c r="U1530" s="1" t="str">
        <f aca="false">D1530&amp;"-"&amp;E1530&amp;"-"&amp;M1530&amp;"-"&amp;O1530&amp;"-"&amp;P1530&amp;"-"&amp;Q1530</f>
        <v>ENAMOR-FO74 PADDED WIRED MEDIUM COVERAGE-FO74-PEACH-38-C</v>
      </c>
    </row>
    <row r="1531" customFormat="false" ht="15" hidden="true" customHeight="false" outlineLevel="0" collapsed="false">
      <c r="B1531" s="17" t="s">
        <v>2057</v>
      </c>
      <c r="C1531" s="29" t="s">
        <v>1856</v>
      </c>
      <c r="D1531" s="29" t="s">
        <v>1857</v>
      </c>
      <c r="E1531" s="17" t="s">
        <v>1993</v>
      </c>
      <c r="F1531" s="3" t="s">
        <v>997</v>
      </c>
      <c r="G1531" s="143" t="s">
        <v>573</v>
      </c>
      <c r="H1531" s="143" t="s">
        <v>1424</v>
      </c>
      <c r="I1531" s="26" t="s">
        <v>43</v>
      </c>
      <c r="J1531" s="26"/>
      <c r="K1531" s="19"/>
      <c r="L1531" s="19"/>
      <c r="M1531" s="17" t="s">
        <v>1994</v>
      </c>
      <c r="N1531" s="29"/>
      <c r="O1531" s="29" t="s">
        <v>588</v>
      </c>
      <c r="P1531" s="17" t="s">
        <v>154</v>
      </c>
      <c r="Q1531" s="17" t="s">
        <v>97</v>
      </c>
      <c r="R1531" s="16" t="n">
        <v>968.5</v>
      </c>
      <c r="S1531" s="16" t="n">
        <v>1499</v>
      </c>
      <c r="T1531" s="16" t="n">
        <v>0</v>
      </c>
      <c r="U1531" s="1" t="str">
        <f aca="false">D1531&amp;"-"&amp;E1531&amp;"-"&amp;M1531&amp;"-"&amp;O1531&amp;"-"&amp;P1531&amp;"-"&amp;Q1531</f>
        <v>ENAMOR-FO74 PADDED WIRED MEDIUM COVERAGE-FO74-PURPLE-38-D</v>
      </c>
    </row>
    <row r="1532" customFormat="false" ht="15" hidden="true" customHeight="false" outlineLevel="0" collapsed="false">
      <c r="B1532" s="29" t="s">
        <v>2058</v>
      </c>
      <c r="C1532" s="29" t="s">
        <v>1856</v>
      </c>
      <c r="D1532" s="29" t="s">
        <v>1857</v>
      </c>
      <c r="E1532" s="17" t="s">
        <v>1993</v>
      </c>
      <c r="F1532" s="3" t="s">
        <v>997</v>
      </c>
      <c r="G1532" s="143" t="s">
        <v>573</v>
      </c>
      <c r="H1532" s="143" t="s">
        <v>1424</v>
      </c>
      <c r="I1532" s="26" t="s">
        <v>43</v>
      </c>
      <c r="J1532" s="26"/>
      <c r="K1532" s="19"/>
      <c r="L1532" s="19"/>
      <c r="M1532" s="17" t="s">
        <v>1994</v>
      </c>
      <c r="N1532" s="17"/>
      <c r="O1532" s="29" t="s">
        <v>76</v>
      </c>
      <c r="P1532" s="17" t="s">
        <v>154</v>
      </c>
      <c r="Q1532" s="29" t="s">
        <v>97</v>
      </c>
      <c r="R1532" s="16" t="n">
        <v>968.5</v>
      </c>
      <c r="S1532" s="16" t="n">
        <v>1499</v>
      </c>
      <c r="T1532" s="16" t="n">
        <v>2</v>
      </c>
      <c r="U1532" s="1" t="str">
        <f aca="false">D1532&amp;"-"&amp;E1532&amp;"-"&amp;M1532&amp;"-"&amp;O1532&amp;"-"&amp;P1532&amp;"-"&amp;Q1532</f>
        <v>ENAMOR-FO74 PADDED WIRED MEDIUM COVERAGE-FO74-BLK-38-D</v>
      </c>
    </row>
    <row r="1533" customFormat="false" ht="15" hidden="true" customHeight="false" outlineLevel="0" collapsed="false">
      <c r="B1533" s="17" t="s">
        <v>2059</v>
      </c>
      <c r="C1533" s="29" t="s">
        <v>1856</v>
      </c>
      <c r="D1533" s="29" t="s">
        <v>1857</v>
      </c>
      <c r="E1533" s="17" t="s">
        <v>1993</v>
      </c>
      <c r="F1533" s="3" t="s">
        <v>997</v>
      </c>
      <c r="G1533" s="143" t="s">
        <v>573</v>
      </c>
      <c r="H1533" s="143" t="s">
        <v>1424</v>
      </c>
      <c r="I1533" s="26" t="s">
        <v>43</v>
      </c>
      <c r="J1533" s="26"/>
      <c r="K1533" s="19"/>
      <c r="L1533" s="19"/>
      <c r="M1533" s="17" t="s">
        <v>1994</v>
      </c>
      <c r="N1533" s="17"/>
      <c r="O1533" s="17" t="s">
        <v>465</v>
      </c>
      <c r="P1533" s="17" t="s">
        <v>154</v>
      </c>
      <c r="Q1533" s="17" t="s">
        <v>97</v>
      </c>
      <c r="R1533" s="16" t="n">
        <v>1065.42</v>
      </c>
      <c r="S1533" s="16" t="n">
        <v>1649</v>
      </c>
      <c r="T1533" s="16" t="n">
        <v>2</v>
      </c>
      <c r="U1533" s="1" t="str">
        <f aca="false">D1533&amp;"-"&amp;E1533&amp;"-"&amp;M1533&amp;"-"&amp;O1533&amp;"-"&amp;P1533&amp;"-"&amp;Q1533</f>
        <v>ENAMOR-FO74 PADDED WIRED MEDIUM COVERAGE-FO74-SKIN-38-D</v>
      </c>
    </row>
    <row r="1534" customFormat="false" ht="15" hidden="true" customHeight="false" outlineLevel="0" collapsed="false">
      <c r="B1534" s="17" t="s">
        <v>2060</v>
      </c>
      <c r="C1534" s="29" t="s">
        <v>1856</v>
      </c>
      <c r="D1534" s="29" t="s">
        <v>1857</v>
      </c>
      <c r="E1534" s="17" t="s">
        <v>1993</v>
      </c>
      <c r="F1534" s="3" t="s">
        <v>997</v>
      </c>
      <c r="G1534" s="143" t="s">
        <v>573</v>
      </c>
      <c r="H1534" s="143" t="s">
        <v>1424</v>
      </c>
      <c r="I1534" s="26" t="s">
        <v>43</v>
      </c>
      <c r="J1534" s="26"/>
      <c r="K1534" s="19"/>
      <c r="L1534" s="19"/>
      <c r="M1534" s="17" t="s">
        <v>1994</v>
      </c>
      <c r="N1534" s="17"/>
      <c r="O1534" s="17" t="s">
        <v>76</v>
      </c>
      <c r="P1534" s="17" t="s">
        <v>154</v>
      </c>
      <c r="Q1534" s="17" t="s">
        <v>592</v>
      </c>
      <c r="R1534" s="16" t="n">
        <v>968.5</v>
      </c>
      <c r="S1534" s="16" t="n">
        <v>1499</v>
      </c>
      <c r="T1534" s="16" t="n">
        <v>1</v>
      </c>
      <c r="U1534" s="1" t="str">
        <f aca="false">D1534&amp;"-"&amp;E1534&amp;"-"&amp;M1534&amp;"-"&amp;O1534&amp;"-"&amp;P1534&amp;"-"&amp;Q1534</f>
        <v>ENAMOR-FO74 PADDED WIRED MEDIUM COVERAGE-FO74-BLK-38-B</v>
      </c>
    </row>
    <row r="1535" customFormat="false" ht="15" hidden="true" customHeight="false" outlineLevel="0" collapsed="false">
      <c r="B1535" s="17" t="s">
        <v>2061</v>
      </c>
      <c r="C1535" s="29" t="s">
        <v>1856</v>
      </c>
      <c r="D1535" s="29" t="s">
        <v>1857</v>
      </c>
      <c r="E1535" s="17" t="s">
        <v>1993</v>
      </c>
      <c r="F1535" s="3" t="s">
        <v>997</v>
      </c>
      <c r="G1535" s="143" t="s">
        <v>573</v>
      </c>
      <c r="H1535" s="143" t="s">
        <v>1424</v>
      </c>
      <c r="I1535" s="26" t="s">
        <v>43</v>
      </c>
      <c r="J1535" s="26"/>
      <c r="K1535" s="19"/>
      <c r="L1535" s="19"/>
      <c r="M1535" s="17" t="s">
        <v>1994</v>
      </c>
      <c r="N1535" s="17"/>
      <c r="O1535" s="17" t="s">
        <v>465</v>
      </c>
      <c r="P1535" s="17" t="s">
        <v>154</v>
      </c>
      <c r="Q1535" s="17" t="s">
        <v>592</v>
      </c>
      <c r="R1535" s="16" t="n">
        <v>968.5</v>
      </c>
      <c r="S1535" s="16" t="n">
        <v>1449</v>
      </c>
      <c r="T1535" s="16" t="n">
        <v>1</v>
      </c>
      <c r="U1535" s="1" t="str">
        <f aca="false">D1535&amp;"-"&amp;E1535&amp;"-"&amp;M1535&amp;"-"&amp;O1535&amp;"-"&amp;P1535&amp;"-"&amp;Q1535</f>
        <v>ENAMOR-FO74 PADDED WIRED MEDIUM COVERAGE-FO74-SKIN-38-B</v>
      </c>
    </row>
    <row r="1536" customFormat="false" ht="15" hidden="true" customHeight="false" outlineLevel="0" collapsed="false">
      <c r="B1536" s="29" t="s">
        <v>2062</v>
      </c>
      <c r="C1536" s="29" t="s">
        <v>1856</v>
      </c>
      <c r="D1536" s="29" t="s">
        <v>1857</v>
      </c>
      <c r="E1536" s="17" t="s">
        <v>1993</v>
      </c>
      <c r="F1536" s="3" t="s">
        <v>997</v>
      </c>
      <c r="G1536" s="143" t="s">
        <v>573</v>
      </c>
      <c r="H1536" s="143" t="s">
        <v>1424</v>
      </c>
      <c r="I1536" s="26" t="s">
        <v>43</v>
      </c>
      <c r="J1536" s="26"/>
      <c r="K1536" s="19"/>
      <c r="L1536" s="19"/>
      <c r="M1536" s="17" t="s">
        <v>1994</v>
      </c>
      <c r="N1536" s="29"/>
      <c r="O1536" s="29" t="s">
        <v>465</v>
      </c>
      <c r="P1536" s="17" t="s">
        <v>154</v>
      </c>
      <c r="Q1536" s="29" t="s">
        <v>1890</v>
      </c>
      <c r="R1536" s="16" t="n">
        <v>1065.42</v>
      </c>
      <c r="S1536" s="16" t="n">
        <v>1649</v>
      </c>
      <c r="T1536" s="16" t="n">
        <v>1</v>
      </c>
      <c r="U1536" s="1" t="str">
        <f aca="false">D1536&amp;"-"&amp;E1536&amp;"-"&amp;M1536&amp;"-"&amp;O1536&amp;"-"&amp;P1536&amp;"-"&amp;Q1536</f>
        <v>ENAMOR-FO74 PADDED WIRED MEDIUM COVERAGE-FO74-SKIN-38-Z</v>
      </c>
    </row>
    <row r="1537" customFormat="false" ht="15" hidden="true" customHeight="false" outlineLevel="0" collapsed="false">
      <c r="B1537" s="17" t="s">
        <v>2062</v>
      </c>
      <c r="C1537" s="29" t="s">
        <v>1856</v>
      </c>
      <c r="D1537" s="29" t="s">
        <v>1857</v>
      </c>
      <c r="E1537" s="17" t="s">
        <v>1993</v>
      </c>
      <c r="F1537" s="3" t="s">
        <v>997</v>
      </c>
      <c r="G1537" s="143" t="s">
        <v>573</v>
      </c>
      <c r="H1537" s="143" t="s">
        <v>1424</v>
      </c>
      <c r="I1537" s="26" t="s">
        <v>43</v>
      </c>
      <c r="J1537" s="26"/>
      <c r="K1537" s="19"/>
      <c r="L1537" s="19"/>
      <c r="M1537" s="17" t="s">
        <v>1994</v>
      </c>
      <c r="N1537" s="17"/>
      <c r="O1537" s="17" t="s">
        <v>76</v>
      </c>
      <c r="P1537" s="17" t="s">
        <v>154</v>
      </c>
      <c r="Q1537" s="29" t="s">
        <v>1890</v>
      </c>
      <c r="R1537" s="16" t="n">
        <v>1032.954</v>
      </c>
      <c r="S1537" s="16" t="n">
        <v>1599</v>
      </c>
      <c r="T1537" s="16" t="n">
        <v>1</v>
      </c>
      <c r="U1537" s="1" t="str">
        <f aca="false">D1537&amp;"-"&amp;E1537&amp;"-"&amp;M1537&amp;"-"&amp;O1537&amp;"-"&amp;P1537&amp;"-"&amp;Q1537</f>
        <v>ENAMOR-FO74 PADDED WIRED MEDIUM COVERAGE-FO74-BLK-38-Z</v>
      </c>
    </row>
    <row r="1538" customFormat="false" ht="15" hidden="true" customHeight="false" outlineLevel="0" collapsed="false">
      <c r="B1538" s="29" t="s">
        <v>2063</v>
      </c>
      <c r="C1538" s="29" t="s">
        <v>1856</v>
      </c>
      <c r="D1538" s="29" t="s">
        <v>1857</v>
      </c>
      <c r="E1538" s="29" t="s">
        <v>2064</v>
      </c>
      <c r="F1538" s="26" t="s">
        <v>1089</v>
      </c>
      <c r="G1538" s="143" t="s">
        <v>573</v>
      </c>
      <c r="H1538" s="143" t="s">
        <v>1424</v>
      </c>
      <c r="I1538" s="26" t="s">
        <v>43</v>
      </c>
      <c r="J1538" s="26"/>
      <c r="K1538" s="19"/>
      <c r="L1538" s="19"/>
      <c r="M1538" s="29" t="s">
        <v>2065</v>
      </c>
      <c r="N1538" s="29"/>
      <c r="O1538" s="29" t="s">
        <v>607</v>
      </c>
      <c r="P1538" s="17" t="s">
        <v>134</v>
      </c>
      <c r="Q1538" s="1" t="s">
        <v>595</v>
      </c>
      <c r="R1538" s="16" t="n">
        <v>1194.64</v>
      </c>
      <c r="S1538" s="16" t="n">
        <v>1849</v>
      </c>
      <c r="T1538" s="145" t="n">
        <v>1</v>
      </c>
      <c r="U1538" s="1" t="str">
        <f aca="false">D1538&amp;"-"&amp;E1538&amp;"-"&amp;M1538&amp;"-"&amp;O1538&amp;"-"&amp;P1538&amp;"-"&amp;Q1538</f>
        <v>ENAMOR-F040-PADDED WIRED MEDIUM COVERAGE-FO40-MAROON-34-C</v>
      </c>
    </row>
    <row r="1539" customFormat="false" ht="15" hidden="true" customHeight="false" outlineLevel="0" collapsed="false">
      <c r="B1539" s="17" t="s">
        <v>2066</v>
      </c>
      <c r="C1539" s="29" t="s">
        <v>1856</v>
      </c>
      <c r="D1539" s="29" t="s">
        <v>1857</v>
      </c>
      <c r="E1539" s="29" t="s">
        <v>2064</v>
      </c>
      <c r="F1539" s="26" t="s">
        <v>1089</v>
      </c>
      <c r="G1539" s="143" t="s">
        <v>573</v>
      </c>
      <c r="H1539" s="143" t="s">
        <v>1424</v>
      </c>
      <c r="I1539" s="26" t="s">
        <v>43</v>
      </c>
      <c r="J1539" s="26"/>
      <c r="K1539" s="19"/>
      <c r="L1539" s="19"/>
      <c r="M1539" s="29" t="s">
        <v>2065</v>
      </c>
      <c r="N1539" s="29"/>
      <c r="O1539" s="17" t="s">
        <v>607</v>
      </c>
      <c r="P1539" s="17" t="s">
        <v>92</v>
      </c>
      <c r="Q1539" s="1" t="s">
        <v>97</v>
      </c>
      <c r="R1539" s="16" t="n">
        <v>1194.64</v>
      </c>
      <c r="S1539" s="16" t="n">
        <v>1849</v>
      </c>
      <c r="T1539" s="145" t="n">
        <v>1</v>
      </c>
      <c r="U1539" s="1" t="str">
        <f aca="false">D1539&amp;"-"&amp;E1539&amp;"-"&amp;M1539&amp;"-"&amp;O1539&amp;"-"&amp;P1539&amp;"-"&amp;Q1539</f>
        <v>ENAMOR-F040-PADDED WIRED MEDIUM COVERAGE-FO40-MAROON-32-D</v>
      </c>
    </row>
    <row r="1540" customFormat="false" ht="15" hidden="true" customHeight="false" outlineLevel="0" collapsed="false">
      <c r="B1540" s="146" t="s">
        <v>2067</v>
      </c>
      <c r="C1540" s="146" t="s">
        <v>2068</v>
      </c>
      <c r="D1540" s="147" t="s">
        <v>2069</v>
      </c>
      <c r="E1540" s="146" t="s">
        <v>2070</v>
      </c>
      <c r="F1540" s="148" t="s">
        <v>2071</v>
      </c>
      <c r="G1540" s="148" t="s">
        <v>2072</v>
      </c>
      <c r="H1540" s="148" t="s">
        <v>70</v>
      </c>
      <c r="I1540" s="26" t="s">
        <v>43</v>
      </c>
      <c r="J1540" s="26"/>
      <c r="K1540" s="149"/>
      <c r="L1540" s="149"/>
      <c r="M1540" s="147" t="s">
        <v>2073</v>
      </c>
      <c r="N1540" s="146" t="s">
        <v>1687</v>
      </c>
      <c r="O1540" s="147" t="s">
        <v>465</v>
      </c>
      <c r="P1540" s="147" t="s">
        <v>92</v>
      </c>
      <c r="Q1540" s="146" t="s">
        <v>592</v>
      </c>
      <c r="R1540" s="150" t="n">
        <v>743.75</v>
      </c>
      <c r="S1540" s="150" t="n">
        <v>1190</v>
      </c>
      <c r="T1540" s="150" t="n">
        <v>1</v>
      </c>
      <c r="U1540" s="1" t="str">
        <f aca="false">D1540&amp;"-"&amp;E1540&amp;"-"&amp;M1540&amp;"-"&amp;O1540&amp;"-"&amp;P1540&amp;"-"&amp;Q1540</f>
        <v>SOIE-FB-705 EVERYDAY BRA-FB-705-SKIN-32-B</v>
      </c>
    </row>
    <row r="1541" customFormat="false" ht="15" hidden="true" customHeight="false" outlineLevel="0" collapsed="false">
      <c r="B1541" s="151" t="s">
        <v>2074</v>
      </c>
      <c r="C1541" s="146" t="s">
        <v>2068</v>
      </c>
      <c r="D1541" s="147" t="s">
        <v>2069</v>
      </c>
      <c r="E1541" s="146" t="s">
        <v>2070</v>
      </c>
      <c r="F1541" s="148" t="s">
        <v>2071</v>
      </c>
      <c r="G1541" s="148" t="s">
        <v>2072</v>
      </c>
      <c r="H1541" s="148" t="s">
        <v>70</v>
      </c>
      <c r="I1541" s="26" t="s">
        <v>43</v>
      </c>
      <c r="J1541" s="26"/>
      <c r="K1541" s="149"/>
      <c r="L1541" s="152"/>
      <c r="M1541" s="147" t="s">
        <v>2073</v>
      </c>
      <c r="N1541" s="153" t="s">
        <v>2075</v>
      </c>
      <c r="O1541" s="153" t="s">
        <v>528</v>
      </c>
      <c r="P1541" s="153" t="s">
        <v>92</v>
      </c>
      <c r="Q1541" s="151" t="s">
        <v>595</v>
      </c>
      <c r="R1541" s="150" t="n">
        <v>743.75</v>
      </c>
      <c r="S1541" s="150" t="n">
        <v>1190</v>
      </c>
      <c r="T1541" s="150" t="n">
        <v>1</v>
      </c>
      <c r="U1541" s="1" t="str">
        <f aca="false">D1541&amp;"-"&amp;E1541&amp;"-"&amp;M1541&amp;"-"&amp;O1541&amp;"-"&amp;P1541&amp;"-"&amp;Q1541</f>
        <v>SOIE-FB-705 EVERYDAY BRA-FB-705-RED-32-C</v>
      </c>
    </row>
    <row r="1542" customFormat="false" ht="15" hidden="true" customHeight="false" outlineLevel="0" collapsed="false">
      <c r="B1542" s="146" t="s">
        <v>2076</v>
      </c>
      <c r="C1542" s="146" t="s">
        <v>2068</v>
      </c>
      <c r="D1542" s="147" t="s">
        <v>2069</v>
      </c>
      <c r="E1542" s="146" t="s">
        <v>2070</v>
      </c>
      <c r="F1542" s="148" t="s">
        <v>2071</v>
      </c>
      <c r="G1542" s="148" t="s">
        <v>2072</v>
      </c>
      <c r="H1542" s="148" t="s">
        <v>70</v>
      </c>
      <c r="I1542" s="26" t="s">
        <v>43</v>
      </c>
      <c r="J1542" s="26"/>
      <c r="K1542" s="149"/>
      <c r="L1542" s="149"/>
      <c r="M1542" s="147" t="s">
        <v>2073</v>
      </c>
      <c r="N1542" s="146" t="s">
        <v>2077</v>
      </c>
      <c r="O1542" s="147" t="s">
        <v>619</v>
      </c>
      <c r="P1542" s="153" t="s">
        <v>92</v>
      </c>
      <c r="Q1542" s="151" t="s">
        <v>595</v>
      </c>
      <c r="R1542" s="150" t="n">
        <v>743.75</v>
      </c>
      <c r="S1542" s="150" t="n">
        <v>1190</v>
      </c>
      <c r="T1542" s="150" t="n">
        <v>0</v>
      </c>
      <c r="U1542" s="1" t="str">
        <f aca="false">D1542&amp;"-"&amp;E1542&amp;"-"&amp;M1542&amp;"-"&amp;O1542&amp;"-"&amp;P1542&amp;"-"&amp;Q1542</f>
        <v>SOIE-FB-705 EVERYDAY BRA-FB-705-GREEN-32-C</v>
      </c>
    </row>
    <row r="1543" customFormat="false" ht="15" hidden="true" customHeight="false" outlineLevel="0" collapsed="false">
      <c r="B1543" s="146" t="s">
        <v>2078</v>
      </c>
      <c r="C1543" s="146" t="s">
        <v>2068</v>
      </c>
      <c r="D1543" s="147" t="s">
        <v>2069</v>
      </c>
      <c r="E1543" s="146" t="s">
        <v>2070</v>
      </c>
      <c r="F1543" s="148" t="s">
        <v>2071</v>
      </c>
      <c r="G1543" s="148" t="s">
        <v>2072</v>
      </c>
      <c r="H1543" s="148" t="s">
        <v>70</v>
      </c>
      <c r="I1543" s="26" t="s">
        <v>43</v>
      </c>
      <c r="J1543" s="26"/>
      <c r="K1543" s="149"/>
      <c r="L1543" s="149"/>
      <c r="M1543" s="147" t="s">
        <v>2073</v>
      </c>
      <c r="N1543" s="146" t="s">
        <v>2079</v>
      </c>
      <c r="O1543" s="147" t="s">
        <v>89</v>
      </c>
      <c r="P1543" s="151" t="s">
        <v>92</v>
      </c>
      <c r="Q1543" s="151" t="s">
        <v>595</v>
      </c>
      <c r="R1543" s="150" t="n">
        <v>743.75</v>
      </c>
      <c r="S1543" s="150" t="n">
        <v>1190</v>
      </c>
      <c r="T1543" s="150" t="n">
        <v>0</v>
      </c>
      <c r="U1543" s="1" t="str">
        <f aca="false">D1543&amp;"-"&amp;E1543&amp;"-"&amp;M1543&amp;"-"&amp;O1543&amp;"-"&amp;P1543&amp;"-"&amp;Q1543</f>
        <v>SOIE-FB-705 EVERYDAY BRA-FB-705-BLUE-32-C</v>
      </c>
    </row>
    <row r="1544" customFormat="false" ht="15" hidden="true" customHeight="false" outlineLevel="0" collapsed="false">
      <c r="A1544" s="137"/>
      <c r="B1544" s="154" t="n">
        <v>8903976931885</v>
      </c>
      <c r="C1544" s="146" t="s">
        <v>2068</v>
      </c>
      <c r="D1544" s="147" t="s">
        <v>2069</v>
      </c>
      <c r="E1544" s="146" t="s">
        <v>2070</v>
      </c>
      <c r="F1544" s="148" t="s">
        <v>2071</v>
      </c>
      <c r="G1544" s="148" t="s">
        <v>2072</v>
      </c>
      <c r="H1544" s="148" t="s">
        <v>70</v>
      </c>
      <c r="I1544" s="26" t="s">
        <v>43</v>
      </c>
      <c r="J1544" s="131"/>
      <c r="K1544" s="155"/>
      <c r="L1544" s="156"/>
      <c r="M1544" s="147" t="s">
        <v>2073</v>
      </c>
      <c r="N1544" s="157" t="s">
        <v>2080</v>
      </c>
      <c r="O1544" s="157" t="s">
        <v>76</v>
      </c>
      <c r="P1544" s="151" t="s">
        <v>92</v>
      </c>
      <c r="Q1544" s="151" t="s">
        <v>595</v>
      </c>
      <c r="R1544" s="150" t="n">
        <v>743.75</v>
      </c>
      <c r="S1544" s="150" t="n">
        <v>1190</v>
      </c>
      <c r="T1544" s="150" t="n">
        <v>1</v>
      </c>
      <c r="U1544" s="1" t="str">
        <f aca="false">D1544&amp;"-"&amp;E1544&amp;"-"&amp;M1544&amp;"-"&amp;O1544&amp;"-"&amp;P1544&amp;"-"&amp;Q1544</f>
        <v>SOIE-FB-705 EVERYDAY BRA-FB-705-BLK-32-C</v>
      </c>
    </row>
    <row r="1545" customFormat="false" ht="15" hidden="true" customHeight="false" outlineLevel="0" collapsed="false">
      <c r="A1545" s="137"/>
      <c r="B1545" s="154" t="n">
        <v>8903976931885</v>
      </c>
      <c r="C1545" s="146" t="s">
        <v>2068</v>
      </c>
      <c r="D1545" s="147" t="s">
        <v>2069</v>
      </c>
      <c r="E1545" s="146" t="s">
        <v>2070</v>
      </c>
      <c r="F1545" s="148" t="s">
        <v>2071</v>
      </c>
      <c r="G1545" s="148" t="s">
        <v>2072</v>
      </c>
      <c r="H1545" s="148" t="s">
        <v>70</v>
      </c>
      <c r="I1545" s="26" t="s">
        <v>43</v>
      </c>
      <c r="J1545" s="131"/>
      <c r="K1545" s="155"/>
      <c r="L1545" s="149"/>
      <c r="M1545" s="147" t="s">
        <v>2073</v>
      </c>
      <c r="N1545" s="146" t="s">
        <v>1687</v>
      </c>
      <c r="O1545" s="157" t="s">
        <v>465</v>
      </c>
      <c r="P1545" s="151" t="s">
        <v>92</v>
      </c>
      <c r="Q1545" s="151" t="s">
        <v>595</v>
      </c>
      <c r="R1545" s="150" t="n">
        <v>743.75</v>
      </c>
      <c r="S1545" s="150" t="n">
        <v>1190</v>
      </c>
      <c r="T1545" s="150" t="n">
        <v>1</v>
      </c>
      <c r="U1545" s="1" t="str">
        <f aca="false">D1545&amp;"-"&amp;E1545&amp;"-"&amp;M1545&amp;"-"&amp;O1545&amp;"-"&amp;P1545&amp;"-"&amp;Q1545</f>
        <v>SOIE-FB-705 EVERYDAY BRA-FB-705-SKIN-32-C</v>
      </c>
    </row>
    <row r="1546" customFormat="false" ht="15" hidden="true" customHeight="false" outlineLevel="0" collapsed="false">
      <c r="B1546" s="146" t="s">
        <v>2081</v>
      </c>
      <c r="C1546" s="146" t="s">
        <v>2068</v>
      </c>
      <c r="D1546" s="147" t="s">
        <v>2069</v>
      </c>
      <c r="E1546" s="146" t="s">
        <v>2070</v>
      </c>
      <c r="F1546" s="148" t="s">
        <v>2071</v>
      </c>
      <c r="G1546" s="148" t="s">
        <v>2072</v>
      </c>
      <c r="H1546" s="148" t="s">
        <v>70</v>
      </c>
      <c r="I1546" s="26" t="s">
        <v>43</v>
      </c>
      <c r="J1546" s="26"/>
      <c r="K1546" s="149"/>
      <c r="L1546" s="156"/>
      <c r="M1546" s="147" t="s">
        <v>2073</v>
      </c>
      <c r="N1546" s="157" t="s">
        <v>2080</v>
      </c>
      <c r="O1546" s="147" t="s">
        <v>76</v>
      </c>
      <c r="P1546" s="146" t="s">
        <v>92</v>
      </c>
      <c r="Q1546" s="158" t="s">
        <v>97</v>
      </c>
      <c r="R1546" s="150" t="n">
        <v>743.75</v>
      </c>
      <c r="S1546" s="150" t="n">
        <v>1190</v>
      </c>
      <c r="T1546" s="150" t="n">
        <v>1</v>
      </c>
      <c r="U1546" s="1" t="str">
        <f aca="false">D1546&amp;"-"&amp;E1546&amp;"-"&amp;M1546&amp;"-"&amp;O1546&amp;"-"&amp;P1546&amp;"-"&amp;Q1546</f>
        <v>SOIE-FB-705 EVERYDAY BRA-FB-705-BLK-32-D</v>
      </c>
    </row>
    <row r="1547" customFormat="false" ht="15" hidden="true" customHeight="false" outlineLevel="0" collapsed="false">
      <c r="B1547" s="151" t="s">
        <v>2082</v>
      </c>
      <c r="C1547" s="146" t="s">
        <v>2068</v>
      </c>
      <c r="D1547" s="147" t="s">
        <v>2069</v>
      </c>
      <c r="E1547" s="146" t="s">
        <v>2070</v>
      </c>
      <c r="F1547" s="148" t="s">
        <v>2071</v>
      </c>
      <c r="G1547" s="148" t="s">
        <v>2072</v>
      </c>
      <c r="H1547" s="148" t="s">
        <v>70</v>
      </c>
      <c r="I1547" s="26" t="s">
        <v>43</v>
      </c>
      <c r="J1547" s="26"/>
      <c r="K1547" s="149"/>
      <c r="L1547" s="149"/>
      <c r="M1547" s="147" t="s">
        <v>2073</v>
      </c>
      <c r="N1547" s="146" t="s">
        <v>1687</v>
      </c>
      <c r="O1547" s="153" t="s">
        <v>465</v>
      </c>
      <c r="P1547" s="146" t="s">
        <v>92</v>
      </c>
      <c r="Q1547" s="158" t="s">
        <v>97</v>
      </c>
      <c r="R1547" s="150" t="n">
        <v>743.75</v>
      </c>
      <c r="S1547" s="150" t="n">
        <v>1190</v>
      </c>
      <c r="T1547" s="150" t="n">
        <v>2</v>
      </c>
      <c r="U1547" s="1" t="str">
        <f aca="false">D1547&amp;"-"&amp;E1547&amp;"-"&amp;M1547&amp;"-"&amp;O1547&amp;"-"&amp;P1547&amp;"-"&amp;Q1547</f>
        <v>SOIE-FB-705 EVERYDAY BRA-FB-705-SKIN-32-D</v>
      </c>
    </row>
    <row r="1548" customFormat="false" ht="15" hidden="true" customHeight="false" outlineLevel="0" collapsed="false">
      <c r="B1548" s="151" t="s">
        <v>2083</v>
      </c>
      <c r="C1548" s="146" t="s">
        <v>2068</v>
      </c>
      <c r="D1548" s="147" t="s">
        <v>2069</v>
      </c>
      <c r="E1548" s="146" t="s">
        <v>2070</v>
      </c>
      <c r="F1548" s="148" t="s">
        <v>2071</v>
      </c>
      <c r="G1548" s="148" t="s">
        <v>2072</v>
      </c>
      <c r="H1548" s="148" t="s">
        <v>70</v>
      </c>
      <c r="I1548" s="26" t="s">
        <v>43</v>
      </c>
      <c r="J1548" s="26"/>
      <c r="K1548" s="149"/>
      <c r="L1548" s="149"/>
      <c r="M1548" s="147" t="s">
        <v>2073</v>
      </c>
      <c r="N1548" s="151" t="s">
        <v>2084</v>
      </c>
      <c r="O1548" s="153" t="s">
        <v>619</v>
      </c>
      <c r="P1548" s="146" t="s">
        <v>92</v>
      </c>
      <c r="Q1548" s="158" t="s">
        <v>97</v>
      </c>
      <c r="R1548" s="150" t="n">
        <v>743.75</v>
      </c>
      <c r="S1548" s="150" t="n">
        <v>1190</v>
      </c>
      <c r="T1548" s="150" t="n">
        <v>0</v>
      </c>
      <c r="U1548" s="1" t="str">
        <f aca="false">D1548&amp;"-"&amp;E1548&amp;"-"&amp;M1548&amp;"-"&amp;O1548&amp;"-"&amp;P1548&amp;"-"&amp;Q1548</f>
        <v>SOIE-FB-705 EVERYDAY BRA-FB-705-GREEN-32-D</v>
      </c>
    </row>
    <row r="1549" customFormat="false" ht="15" hidden="true" customHeight="false" outlineLevel="0" collapsed="false">
      <c r="A1549" s="137"/>
      <c r="B1549" s="154" t="n">
        <v>8903976712088</v>
      </c>
      <c r="C1549" s="146" t="s">
        <v>2068</v>
      </c>
      <c r="D1549" s="147" t="s">
        <v>2069</v>
      </c>
      <c r="E1549" s="146" t="s">
        <v>2070</v>
      </c>
      <c r="F1549" s="148" t="s">
        <v>2071</v>
      </c>
      <c r="G1549" s="148" t="s">
        <v>2072</v>
      </c>
      <c r="H1549" s="148" t="s">
        <v>70</v>
      </c>
      <c r="I1549" s="26" t="s">
        <v>43</v>
      </c>
      <c r="J1549" s="131"/>
      <c r="K1549" s="155"/>
      <c r="L1549" s="159"/>
      <c r="M1549" s="147" t="s">
        <v>2073</v>
      </c>
      <c r="N1549" s="160" t="s">
        <v>2075</v>
      </c>
      <c r="O1549" s="157" t="s">
        <v>528</v>
      </c>
      <c r="P1549" s="146" t="s">
        <v>92</v>
      </c>
      <c r="Q1549" s="158" t="s">
        <v>97</v>
      </c>
      <c r="R1549" s="150" t="n">
        <v>743.75</v>
      </c>
      <c r="S1549" s="150" t="n">
        <v>1190</v>
      </c>
      <c r="T1549" s="150" t="n">
        <v>1</v>
      </c>
      <c r="U1549" s="1" t="str">
        <f aca="false">D1549&amp;"-"&amp;E1549&amp;"-"&amp;M1549&amp;"-"&amp;O1549&amp;"-"&amp;P1549&amp;"-"&amp;Q1549</f>
        <v>SOIE-FB-705 EVERYDAY BRA-FB-705-RED-32-D</v>
      </c>
    </row>
    <row r="1550" customFormat="false" ht="15" hidden="true" customHeight="false" outlineLevel="0" collapsed="false">
      <c r="B1550" s="151" t="s">
        <v>2085</v>
      </c>
      <c r="C1550" s="146" t="s">
        <v>2068</v>
      </c>
      <c r="D1550" s="147" t="s">
        <v>2069</v>
      </c>
      <c r="E1550" s="146" t="s">
        <v>2070</v>
      </c>
      <c r="F1550" s="148" t="s">
        <v>2071</v>
      </c>
      <c r="G1550" s="148" t="s">
        <v>2072</v>
      </c>
      <c r="H1550" s="148" t="s">
        <v>70</v>
      </c>
      <c r="I1550" s="26" t="s">
        <v>43</v>
      </c>
      <c r="J1550" s="26"/>
      <c r="K1550" s="149"/>
      <c r="L1550" s="159"/>
      <c r="M1550" s="147" t="s">
        <v>2073</v>
      </c>
      <c r="N1550" s="160" t="s">
        <v>2075</v>
      </c>
      <c r="O1550" s="157" t="s">
        <v>528</v>
      </c>
      <c r="P1550" s="146" t="s">
        <v>134</v>
      </c>
      <c r="Q1550" s="146" t="s">
        <v>592</v>
      </c>
      <c r="R1550" s="150" t="n">
        <v>743.75</v>
      </c>
      <c r="S1550" s="150" t="n">
        <v>1190</v>
      </c>
      <c r="T1550" s="150" t="n">
        <v>1</v>
      </c>
      <c r="U1550" s="1" t="str">
        <f aca="false">D1550&amp;"-"&amp;E1550&amp;"-"&amp;M1550&amp;"-"&amp;O1550&amp;"-"&amp;P1550&amp;"-"&amp;Q1550</f>
        <v>SOIE-FB-705 EVERYDAY BRA-FB-705-RED-34-B</v>
      </c>
    </row>
    <row r="1551" customFormat="false" ht="15" hidden="true" customHeight="false" outlineLevel="0" collapsed="false">
      <c r="B1551" s="146" t="s">
        <v>2086</v>
      </c>
      <c r="C1551" s="146" t="s">
        <v>2068</v>
      </c>
      <c r="D1551" s="147" t="s">
        <v>2069</v>
      </c>
      <c r="E1551" s="146" t="s">
        <v>2070</v>
      </c>
      <c r="F1551" s="148" t="s">
        <v>2071</v>
      </c>
      <c r="G1551" s="148" t="s">
        <v>2072</v>
      </c>
      <c r="H1551" s="148" t="s">
        <v>70</v>
      </c>
      <c r="I1551" s="26" t="s">
        <v>43</v>
      </c>
      <c r="J1551" s="26"/>
      <c r="K1551" s="149"/>
      <c r="L1551" s="149"/>
      <c r="M1551" s="147" t="s">
        <v>2073</v>
      </c>
      <c r="N1551" s="146" t="s">
        <v>2079</v>
      </c>
      <c r="O1551" s="147" t="s">
        <v>89</v>
      </c>
      <c r="P1551" s="146" t="s">
        <v>134</v>
      </c>
      <c r="Q1551" s="146" t="s">
        <v>592</v>
      </c>
      <c r="R1551" s="150" t="n">
        <v>743.75</v>
      </c>
      <c r="S1551" s="150" t="n">
        <v>1190</v>
      </c>
      <c r="T1551" s="150" t="n">
        <v>1</v>
      </c>
      <c r="U1551" s="1" t="str">
        <f aca="false">D1551&amp;"-"&amp;E1551&amp;"-"&amp;M1551&amp;"-"&amp;O1551&amp;"-"&amp;P1551&amp;"-"&amp;Q1551</f>
        <v>SOIE-FB-705 EVERYDAY BRA-FB-705-BLUE-34-B</v>
      </c>
    </row>
    <row r="1552" customFormat="false" ht="15" hidden="true" customHeight="false" outlineLevel="0" collapsed="false">
      <c r="B1552" s="146" t="s">
        <v>2087</v>
      </c>
      <c r="C1552" s="146" t="s">
        <v>2068</v>
      </c>
      <c r="D1552" s="147" t="s">
        <v>2069</v>
      </c>
      <c r="E1552" s="146" t="s">
        <v>2070</v>
      </c>
      <c r="F1552" s="148" t="s">
        <v>2071</v>
      </c>
      <c r="G1552" s="148" t="s">
        <v>2072</v>
      </c>
      <c r="H1552" s="148" t="s">
        <v>70</v>
      </c>
      <c r="I1552" s="26" t="s">
        <v>43</v>
      </c>
      <c r="J1552" s="26"/>
      <c r="K1552" s="149"/>
      <c r="L1552" s="149"/>
      <c r="M1552" s="147" t="s">
        <v>2073</v>
      </c>
      <c r="N1552" s="146" t="s">
        <v>868</v>
      </c>
      <c r="O1552" s="147" t="s">
        <v>465</v>
      </c>
      <c r="P1552" s="146" t="s">
        <v>134</v>
      </c>
      <c r="Q1552" s="146" t="s">
        <v>592</v>
      </c>
      <c r="R1552" s="150" t="n">
        <v>743.75</v>
      </c>
      <c r="S1552" s="150" t="n">
        <v>1190</v>
      </c>
      <c r="T1552" s="150" t="n">
        <v>1</v>
      </c>
      <c r="U1552" s="1" t="str">
        <f aca="false">D1552&amp;"-"&amp;E1552&amp;"-"&amp;M1552&amp;"-"&amp;O1552&amp;"-"&amp;P1552&amp;"-"&amp;Q1552</f>
        <v>SOIE-FB-705 EVERYDAY BRA-FB-705-SKIN-34-B</v>
      </c>
    </row>
    <row r="1553" customFormat="false" ht="15" hidden="true" customHeight="false" outlineLevel="0" collapsed="false">
      <c r="B1553" s="146" t="s">
        <v>2088</v>
      </c>
      <c r="C1553" s="146" t="s">
        <v>2068</v>
      </c>
      <c r="D1553" s="147" t="s">
        <v>2069</v>
      </c>
      <c r="E1553" s="146" t="s">
        <v>2070</v>
      </c>
      <c r="F1553" s="148" t="s">
        <v>2071</v>
      </c>
      <c r="G1553" s="148" t="s">
        <v>2072</v>
      </c>
      <c r="H1553" s="148" t="s">
        <v>70</v>
      </c>
      <c r="I1553" s="26" t="s">
        <v>43</v>
      </c>
      <c r="J1553" s="26"/>
      <c r="K1553" s="149"/>
      <c r="L1553" s="149"/>
      <c r="M1553" s="147" t="s">
        <v>2073</v>
      </c>
      <c r="N1553" s="151" t="s">
        <v>2084</v>
      </c>
      <c r="O1553" s="147" t="s">
        <v>619</v>
      </c>
      <c r="P1553" s="146" t="s">
        <v>134</v>
      </c>
      <c r="Q1553" s="146" t="s">
        <v>592</v>
      </c>
      <c r="R1553" s="150" t="n">
        <v>743.75</v>
      </c>
      <c r="S1553" s="150" t="n">
        <v>1190</v>
      </c>
      <c r="T1553" s="150" t="n">
        <v>1</v>
      </c>
      <c r="U1553" s="1" t="str">
        <f aca="false">D1553&amp;"-"&amp;E1553&amp;"-"&amp;M1553&amp;"-"&amp;O1553&amp;"-"&amp;P1553&amp;"-"&amp;Q1553</f>
        <v>SOIE-FB-705 EVERYDAY BRA-FB-705-GREEN-34-B</v>
      </c>
    </row>
    <row r="1554" customFormat="false" ht="15" hidden="true" customHeight="false" outlineLevel="0" collapsed="false">
      <c r="B1554" s="146" t="s">
        <v>2089</v>
      </c>
      <c r="C1554" s="146" t="s">
        <v>2068</v>
      </c>
      <c r="D1554" s="147" t="s">
        <v>2069</v>
      </c>
      <c r="E1554" s="146" t="s">
        <v>2070</v>
      </c>
      <c r="F1554" s="148" t="s">
        <v>2071</v>
      </c>
      <c r="G1554" s="148" t="s">
        <v>2072</v>
      </c>
      <c r="H1554" s="148" t="s">
        <v>70</v>
      </c>
      <c r="I1554" s="26" t="s">
        <v>43</v>
      </c>
      <c r="J1554" s="26"/>
      <c r="K1554" s="149"/>
      <c r="L1554" s="149"/>
      <c r="M1554" s="147" t="s">
        <v>2073</v>
      </c>
      <c r="N1554" s="146" t="s">
        <v>1687</v>
      </c>
      <c r="O1554" s="147" t="s">
        <v>465</v>
      </c>
      <c r="P1554" s="146" t="s">
        <v>134</v>
      </c>
      <c r="Q1554" s="147" t="s">
        <v>595</v>
      </c>
      <c r="R1554" s="150" t="n">
        <v>743.75</v>
      </c>
      <c r="S1554" s="150" t="n">
        <v>1190</v>
      </c>
      <c r="T1554" s="150" t="n">
        <v>1</v>
      </c>
      <c r="U1554" s="1" t="str">
        <f aca="false">D1554&amp;"-"&amp;E1554&amp;"-"&amp;M1554&amp;"-"&amp;O1554&amp;"-"&amp;P1554&amp;"-"&amp;Q1554</f>
        <v>SOIE-FB-705 EVERYDAY BRA-FB-705-SKIN-34-C</v>
      </c>
    </row>
    <row r="1555" customFormat="false" ht="15" hidden="true" customHeight="false" outlineLevel="0" collapsed="false">
      <c r="B1555" s="151" t="s">
        <v>2090</v>
      </c>
      <c r="C1555" s="146" t="s">
        <v>2068</v>
      </c>
      <c r="D1555" s="147" t="s">
        <v>2069</v>
      </c>
      <c r="E1555" s="146" t="s">
        <v>2070</v>
      </c>
      <c r="F1555" s="148" t="s">
        <v>2071</v>
      </c>
      <c r="G1555" s="148" t="s">
        <v>2072</v>
      </c>
      <c r="H1555" s="148" t="s">
        <v>70</v>
      </c>
      <c r="I1555" s="26" t="s">
        <v>43</v>
      </c>
      <c r="J1555" s="26"/>
      <c r="K1555" s="149"/>
      <c r="L1555" s="149"/>
      <c r="M1555" s="147" t="s">
        <v>2073</v>
      </c>
      <c r="N1555" s="151" t="s">
        <v>2079</v>
      </c>
      <c r="O1555" s="153" t="s">
        <v>89</v>
      </c>
      <c r="P1555" s="146" t="s">
        <v>134</v>
      </c>
      <c r="Q1555" s="147" t="s">
        <v>595</v>
      </c>
      <c r="R1555" s="150" t="n">
        <v>743.75</v>
      </c>
      <c r="S1555" s="150" t="n">
        <v>1190</v>
      </c>
      <c r="T1555" s="150" t="n">
        <v>1</v>
      </c>
      <c r="U1555" s="1" t="str">
        <f aca="false">D1555&amp;"-"&amp;E1555&amp;"-"&amp;M1555&amp;"-"&amp;O1555&amp;"-"&amp;P1555&amp;"-"&amp;Q1555</f>
        <v>SOIE-FB-705 EVERYDAY BRA-FB-705-BLUE-34-C</v>
      </c>
    </row>
    <row r="1556" customFormat="false" ht="15" hidden="true" customHeight="false" outlineLevel="0" collapsed="false">
      <c r="B1556" s="151" t="s">
        <v>2091</v>
      </c>
      <c r="C1556" s="146" t="s">
        <v>2068</v>
      </c>
      <c r="D1556" s="147" t="s">
        <v>2069</v>
      </c>
      <c r="E1556" s="146" t="s">
        <v>2070</v>
      </c>
      <c r="F1556" s="148" t="s">
        <v>2071</v>
      </c>
      <c r="G1556" s="148" t="s">
        <v>2072</v>
      </c>
      <c r="H1556" s="148" t="s">
        <v>70</v>
      </c>
      <c r="I1556" s="26" t="s">
        <v>43</v>
      </c>
      <c r="J1556" s="26"/>
      <c r="K1556" s="149"/>
      <c r="L1556" s="152"/>
      <c r="M1556" s="147" t="s">
        <v>2073</v>
      </c>
      <c r="N1556" s="153" t="s">
        <v>2080</v>
      </c>
      <c r="O1556" s="153" t="s">
        <v>76</v>
      </c>
      <c r="P1556" s="146" t="s">
        <v>134</v>
      </c>
      <c r="Q1556" s="147" t="s">
        <v>595</v>
      </c>
      <c r="R1556" s="150" t="n">
        <v>743.75</v>
      </c>
      <c r="S1556" s="150" t="n">
        <v>1190</v>
      </c>
      <c r="T1556" s="150" t="n">
        <v>0</v>
      </c>
      <c r="U1556" s="1" t="str">
        <f aca="false">D1556&amp;"-"&amp;E1556&amp;"-"&amp;M1556&amp;"-"&amp;O1556&amp;"-"&amp;P1556&amp;"-"&amp;Q1556</f>
        <v>SOIE-FB-705 EVERYDAY BRA-FB-705-BLK-34-C</v>
      </c>
    </row>
    <row r="1557" customFormat="false" ht="15" hidden="true" customHeight="false" outlineLevel="0" collapsed="false">
      <c r="B1557" s="146" t="s">
        <v>2092</v>
      </c>
      <c r="C1557" s="146" t="s">
        <v>2068</v>
      </c>
      <c r="D1557" s="147" t="s">
        <v>2069</v>
      </c>
      <c r="E1557" s="146" t="s">
        <v>2070</v>
      </c>
      <c r="F1557" s="148" t="s">
        <v>2071</v>
      </c>
      <c r="G1557" s="148" t="s">
        <v>2072</v>
      </c>
      <c r="H1557" s="148" t="s">
        <v>70</v>
      </c>
      <c r="I1557" s="26" t="s">
        <v>43</v>
      </c>
      <c r="J1557" s="26"/>
      <c r="K1557" s="149"/>
      <c r="L1557" s="149"/>
      <c r="M1557" s="147" t="s">
        <v>2073</v>
      </c>
      <c r="N1557" s="146" t="s">
        <v>2093</v>
      </c>
      <c r="O1557" s="147" t="s">
        <v>619</v>
      </c>
      <c r="P1557" s="146" t="s">
        <v>134</v>
      </c>
      <c r="Q1557" s="147" t="s">
        <v>595</v>
      </c>
      <c r="R1557" s="150" t="n">
        <v>743.75</v>
      </c>
      <c r="S1557" s="150" t="n">
        <v>1190</v>
      </c>
      <c r="T1557" s="150" t="n">
        <v>1</v>
      </c>
      <c r="U1557" s="1" t="str">
        <f aca="false">D1557&amp;"-"&amp;E1557&amp;"-"&amp;M1557&amp;"-"&amp;O1557&amp;"-"&amp;P1557&amp;"-"&amp;Q1557</f>
        <v>SOIE-FB-705 EVERYDAY BRA-FB-705-GREEN-34-C</v>
      </c>
    </row>
    <row r="1558" customFormat="false" ht="15" hidden="true" customHeight="false" outlineLevel="0" collapsed="false">
      <c r="B1558" s="151" t="s">
        <v>2094</v>
      </c>
      <c r="C1558" s="146" t="s">
        <v>2068</v>
      </c>
      <c r="D1558" s="147" t="s">
        <v>2069</v>
      </c>
      <c r="E1558" s="146" t="s">
        <v>2070</v>
      </c>
      <c r="F1558" s="148" t="s">
        <v>2071</v>
      </c>
      <c r="G1558" s="148" t="s">
        <v>2072</v>
      </c>
      <c r="H1558" s="148" t="s">
        <v>70</v>
      </c>
      <c r="I1558" s="26" t="s">
        <v>43</v>
      </c>
      <c r="J1558" s="26"/>
      <c r="K1558" s="149"/>
      <c r="L1558" s="149"/>
      <c r="M1558" s="147" t="s">
        <v>2073</v>
      </c>
      <c r="N1558" s="151" t="s">
        <v>1687</v>
      </c>
      <c r="O1558" s="153" t="s">
        <v>465</v>
      </c>
      <c r="P1558" s="146" t="s">
        <v>134</v>
      </c>
      <c r="Q1558" s="147" t="s">
        <v>97</v>
      </c>
      <c r="R1558" s="150" t="n">
        <v>743.75</v>
      </c>
      <c r="S1558" s="150" t="n">
        <v>1190</v>
      </c>
      <c r="T1558" s="150" t="n">
        <v>0</v>
      </c>
      <c r="U1558" s="1" t="str">
        <f aca="false">D1558&amp;"-"&amp;E1558&amp;"-"&amp;M1558&amp;"-"&amp;O1558&amp;"-"&amp;P1558&amp;"-"&amp;Q1558</f>
        <v>SOIE-FB-705 EVERYDAY BRA-FB-705-SKIN-34-D</v>
      </c>
    </row>
    <row r="1559" customFormat="false" ht="15" hidden="true" customHeight="false" outlineLevel="0" collapsed="false">
      <c r="B1559" s="151" t="s">
        <v>2095</v>
      </c>
      <c r="C1559" s="146" t="s">
        <v>2068</v>
      </c>
      <c r="D1559" s="147" t="s">
        <v>2069</v>
      </c>
      <c r="E1559" s="146" t="s">
        <v>2070</v>
      </c>
      <c r="F1559" s="148" t="s">
        <v>2071</v>
      </c>
      <c r="G1559" s="148" t="s">
        <v>2072</v>
      </c>
      <c r="H1559" s="148" t="s">
        <v>70</v>
      </c>
      <c r="I1559" s="26" t="s">
        <v>43</v>
      </c>
      <c r="J1559" s="26"/>
      <c r="K1559" s="149"/>
      <c r="L1559" s="149"/>
      <c r="M1559" s="147" t="s">
        <v>2073</v>
      </c>
      <c r="N1559" s="151" t="s">
        <v>2084</v>
      </c>
      <c r="O1559" s="153" t="s">
        <v>619</v>
      </c>
      <c r="P1559" s="146" t="s">
        <v>134</v>
      </c>
      <c r="Q1559" s="147" t="s">
        <v>97</v>
      </c>
      <c r="R1559" s="150" t="n">
        <v>743.75</v>
      </c>
      <c r="S1559" s="150" t="n">
        <v>1190</v>
      </c>
      <c r="T1559" s="150" t="n">
        <v>0</v>
      </c>
      <c r="U1559" s="1" t="str">
        <f aca="false">D1559&amp;"-"&amp;E1559&amp;"-"&amp;M1559&amp;"-"&amp;O1559&amp;"-"&amp;P1559&amp;"-"&amp;Q1559</f>
        <v>SOIE-FB-705 EVERYDAY BRA-FB-705-GREEN-34-D</v>
      </c>
    </row>
    <row r="1560" customFormat="false" ht="15" hidden="true" customHeight="false" outlineLevel="0" collapsed="false">
      <c r="B1560" s="146" t="s">
        <v>2096</v>
      </c>
      <c r="C1560" s="146" t="s">
        <v>2068</v>
      </c>
      <c r="D1560" s="147" t="s">
        <v>2069</v>
      </c>
      <c r="E1560" s="146" t="s">
        <v>2070</v>
      </c>
      <c r="F1560" s="148" t="s">
        <v>2071</v>
      </c>
      <c r="G1560" s="148" t="s">
        <v>2072</v>
      </c>
      <c r="H1560" s="148" t="s">
        <v>70</v>
      </c>
      <c r="I1560" s="26" t="s">
        <v>43</v>
      </c>
      <c r="J1560" s="26"/>
      <c r="K1560" s="149"/>
      <c r="L1560" s="152"/>
      <c r="M1560" s="147" t="s">
        <v>2073</v>
      </c>
      <c r="N1560" s="147" t="s">
        <v>2080</v>
      </c>
      <c r="O1560" s="147" t="s">
        <v>76</v>
      </c>
      <c r="P1560" s="146" t="s">
        <v>134</v>
      </c>
      <c r="Q1560" s="147" t="s">
        <v>97</v>
      </c>
      <c r="R1560" s="150" t="n">
        <v>743.75</v>
      </c>
      <c r="S1560" s="150" t="n">
        <v>1190</v>
      </c>
      <c r="T1560" s="150" t="n">
        <v>0</v>
      </c>
      <c r="U1560" s="1" t="str">
        <f aca="false">D1560&amp;"-"&amp;E1560&amp;"-"&amp;M1560&amp;"-"&amp;O1560&amp;"-"&amp;P1560&amp;"-"&amp;Q1560</f>
        <v>SOIE-FB-705 EVERYDAY BRA-FB-705-BLK-34-D</v>
      </c>
    </row>
    <row r="1561" customFormat="false" ht="15" hidden="true" customHeight="false" outlineLevel="0" collapsed="false">
      <c r="A1561" s="137"/>
      <c r="B1561" s="154" t="n">
        <v>8903976892339</v>
      </c>
      <c r="C1561" s="146" t="s">
        <v>2068</v>
      </c>
      <c r="D1561" s="147" t="s">
        <v>2069</v>
      </c>
      <c r="E1561" s="146" t="s">
        <v>2070</v>
      </c>
      <c r="F1561" s="148" t="s">
        <v>2071</v>
      </c>
      <c r="G1561" s="148" t="s">
        <v>2072</v>
      </c>
      <c r="H1561" s="148" t="s">
        <v>70</v>
      </c>
      <c r="I1561" s="26" t="s">
        <v>43</v>
      </c>
      <c r="J1561" s="131"/>
      <c r="K1561" s="155"/>
      <c r="L1561" s="149"/>
      <c r="M1561" s="147" t="s">
        <v>2073</v>
      </c>
      <c r="N1561" s="146" t="s">
        <v>2079</v>
      </c>
      <c r="O1561" s="161" t="s">
        <v>89</v>
      </c>
      <c r="P1561" s="146" t="s">
        <v>134</v>
      </c>
      <c r="Q1561" s="157" t="s">
        <v>97</v>
      </c>
      <c r="R1561" s="150" t="n">
        <v>743.75</v>
      </c>
      <c r="S1561" s="150" t="n">
        <v>1190</v>
      </c>
      <c r="T1561" s="150" t="n">
        <v>1</v>
      </c>
      <c r="U1561" s="1" t="str">
        <f aca="false">D1561&amp;"-"&amp;E1561&amp;"-"&amp;M1561&amp;"-"&amp;O1561&amp;"-"&amp;P1561&amp;"-"&amp;Q1561</f>
        <v>SOIE-FB-705 EVERYDAY BRA-FB-705-BLUE-34-D</v>
      </c>
    </row>
    <row r="1562" customFormat="false" ht="15" hidden="true" customHeight="false" outlineLevel="0" collapsed="false">
      <c r="B1562" s="151" t="s">
        <v>2097</v>
      </c>
      <c r="C1562" s="146" t="s">
        <v>2068</v>
      </c>
      <c r="D1562" s="147" t="s">
        <v>2069</v>
      </c>
      <c r="E1562" s="146" t="s">
        <v>2070</v>
      </c>
      <c r="F1562" s="148" t="s">
        <v>2071</v>
      </c>
      <c r="G1562" s="148" t="s">
        <v>2072</v>
      </c>
      <c r="H1562" s="148" t="s">
        <v>70</v>
      </c>
      <c r="I1562" s="26" t="s">
        <v>43</v>
      </c>
      <c r="J1562" s="26"/>
      <c r="K1562" s="149"/>
      <c r="L1562" s="152"/>
      <c r="M1562" s="147" t="s">
        <v>2073</v>
      </c>
      <c r="N1562" s="153" t="s">
        <v>868</v>
      </c>
      <c r="O1562" s="153" t="s">
        <v>465</v>
      </c>
      <c r="P1562" s="146" t="s">
        <v>134</v>
      </c>
      <c r="Q1562" s="162" t="s">
        <v>1890</v>
      </c>
      <c r="R1562" s="150" t="n">
        <v>743.75</v>
      </c>
      <c r="S1562" s="150" t="n">
        <v>1190</v>
      </c>
      <c r="T1562" s="150" t="n">
        <v>2</v>
      </c>
      <c r="U1562" s="1" t="str">
        <f aca="false">D1562&amp;"-"&amp;E1562&amp;"-"&amp;M1562&amp;"-"&amp;O1562&amp;"-"&amp;P1562&amp;"-"&amp;Q1562</f>
        <v>SOIE-FB-705 EVERYDAY BRA-FB-705-SKIN-34-Z</v>
      </c>
    </row>
    <row r="1563" customFormat="false" ht="15" hidden="true" customHeight="false" outlineLevel="0" collapsed="false">
      <c r="B1563" s="151" t="s">
        <v>2098</v>
      </c>
      <c r="C1563" s="146" t="s">
        <v>2068</v>
      </c>
      <c r="D1563" s="147" t="s">
        <v>2069</v>
      </c>
      <c r="E1563" s="146" t="s">
        <v>2070</v>
      </c>
      <c r="F1563" s="148" t="s">
        <v>2071</v>
      </c>
      <c r="G1563" s="148" t="s">
        <v>2072</v>
      </c>
      <c r="H1563" s="148" t="s">
        <v>70</v>
      </c>
      <c r="I1563" s="26" t="s">
        <v>43</v>
      </c>
      <c r="J1563" s="26"/>
      <c r="K1563" s="149"/>
      <c r="L1563" s="152"/>
      <c r="M1563" s="147" t="s">
        <v>2073</v>
      </c>
      <c r="N1563" s="153" t="s">
        <v>2080</v>
      </c>
      <c r="O1563" s="153" t="s">
        <v>76</v>
      </c>
      <c r="P1563" s="146" t="s">
        <v>134</v>
      </c>
      <c r="Q1563" s="162" t="s">
        <v>1890</v>
      </c>
      <c r="R1563" s="150" t="n">
        <v>743.75</v>
      </c>
      <c r="S1563" s="150" t="n">
        <v>1190</v>
      </c>
      <c r="T1563" s="150" t="n">
        <v>1</v>
      </c>
      <c r="U1563" s="1" t="str">
        <f aca="false">D1563&amp;"-"&amp;E1563&amp;"-"&amp;M1563&amp;"-"&amp;O1563&amp;"-"&amp;P1563&amp;"-"&amp;Q1563</f>
        <v>SOIE-FB-705 EVERYDAY BRA-FB-705-BLK-34-Z</v>
      </c>
    </row>
    <row r="1564" customFormat="false" ht="15" hidden="true" customHeight="false" outlineLevel="0" collapsed="false">
      <c r="B1564" s="146" t="s">
        <v>2099</v>
      </c>
      <c r="C1564" s="146" t="s">
        <v>2068</v>
      </c>
      <c r="D1564" s="147" t="s">
        <v>2069</v>
      </c>
      <c r="E1564" s="146" t="s">
        <v>2070</v>
      </c>
      <c r="F1564" s="148" t="s">
        <v>2071</v>
      </c>
      <c r="G1564" s="148" t="s">
        <v>2072</v>
      </c>
      <c r="H1564" s="148" t="s">
        <v>70</v>
      </c>
      <c r="I1564" s="26" t="s">
        <v>43</v>
      </c>
      <c r="J1564" s="26"/>
      <c r="K1564" s="149"/>
      <c r="L1564" s="149"/>
      <c r="M1564" s="147" t="s">
        <v>2073</v>
      </c>
      <c r="N1564" s="146" t="s">
        <v>2079</v>
      </c>
      <c r="O1564" s="147" t="s">
        <v>89</v>
      </c>
      <c r="P1564" s="146" t="s">
        <v>134</v>
      </c>
      <c r="Q1564" s="162" t="s">
        <v>1890</v>
      </c>
      <c r="R1564" s="150" t="n">
        <v>743.75</v>
      </c>
      <c r="S1564" s="150" t="n">
        <v>1190</v>
      </c>
      <c r="T1564" s="150" t="n">
        <v>0</v>
      </c>
      <c r="U1564" s="1" t="str">
        <f aca="false">D1564&amp;"-"&amp;E1564&amp;"-"&amp;M1564&amp;"-"&amp;O1564&amp;"-"&amp;P1564&amp;"-"&amp;Q1564</f>
        <v>SOIE-FB-705 EVERYDAY BRA-FB-705-BLUE-34-Z</v>
      </c>
    </row>
    <row r="1565" customFormat="false" ht="15" hidden="true" customHeight="false" outlineLevel="0" collapsed="false">
      <c r="A1565" s="137"/>
      <c r="B1565" s="154" t="n">
        <v>8903976712125</v>
      </c>
      <c r="C1565" s="146" t="s">
        <v>2068</v>
      </c>
      <c r="D1565" s="147" t="s">
        <v>2069</v>
      </c>
      <c r="E1565" s="146" t="s">
        <v>2070</v>
      </c>
      <c r="F1565" s="148" t="s">
        <v>2071</v>
      </c>
      <c r="G1565" s="148" t="s">
        <v>2072</v>
      </c>
      <c r="H1565" s="148" t="s">
        <v>70</v>
      </c>
      <c r="I1565" s="26" t="s">
        <v>43</v>
      </c>
      <c r="J1565" s="131"/>
      <c r="K1565" s="155"/>
      <c r="L1565" s="149"/>
      <c r="M1565" s="147" t="s">
        <v>2073</v>
      </c>
      <c r="N1565" s="151" t="s">
        <v>2075</v>
      </c>
      <c r="O1565" s="161" t="s">
        <v>528</v>
      </c>
      <c r="P1565" s="146" t="s">
        <v>134</v>
      </c>
      <c r="Q1565" s="163" t="s">
        <v>1890</v>
      </c>
      <c r="R1565" s="150" t="n">
        <v>743.75</v>
      </c>
      <c r="S1565" s="150" t="n">
        <v>1190</v>
      </c>
      <c r="T1565" s="150" t="n">
        <v>1</v>
      </c>
      <c r="U1565" s="1" t="str">
        <f aca="false">D1565&amp;"-"&amp;E1565&amp;"-"&amp;M1565&amp;"-"&amp;O1565&amp;"-"&amp;P1565&amp;"-"&amp;Q1565</f>
        <v>SOIE-FB-705 EVERYDAY BRA-FB-705-RED-34-Z</v>
      </c>
    </row>
    <row r="1566" customFormat="false" ht="15" hidden="true" customHeight="false" outlineLevel="0" collapsed="false">
      <c r="B1566" s="146" t="s">
        <v>2100</v>
      </c>
      <c r="C1566" s="146" t="s">
        <v>2068</v>
      </c>
      <c r="D1566" s="147" t="s">
        <v>2069</v>
      </c>
      <c r="E1566" s="146" t="s">
        <v>2070</v>
      </c>
      <c r="F1566" s="148" t="s">
        <v>2071</v>
      </c>
      <c r="G1566" s="148" t="s">
        <v>2072</v>
      </c>
      <c r="H1566" s="148" t="s">
        <v>70</v>
      </c>
      <c r="I1566" s="26" t="s">
        <v>43</v>
      </c>
      <c r="J1566" s="26"/>
      <c r="K1566" s="149"/>
      <c r="L1566" s="152"/>
      <c r="M1566" s="147" t="s">
        <v>2073</v>
      </c>
      <c r="N1566" s="147" t="s">
        <v>868</v>
      </c>
      <c r="O1566" s="147" t="s">
        <v>465</v>
      </c>
      <c r="P1566" s="146" t="s">
        <v>65</v>
      </c>
      <c r="Q1566" s="162" t="s">
        <v>592</v>
      </c>
      <c r="R1566" s="150" t="n">
        <v>743.75</v>
      </c>
      <c r="S1566" s="150" t="n">
        <v>1190</v>
      </c>
      <c r="T1566" s="150" t="n">
        <v>1</v>
      </c>
      <c r="U1566" s="1" t="str">
        <f aca="false">D1566&amp;"-"&amp;E1566&amp;"-"&amp;M1566&amp;"-"&amp;O1566&amp;"-"&amp;P1566&amp;"-"&amp;Q1566</f>
        <v>SOIE-FB-705 EVERYDAY BRA-FB-705-SKIN-36-B</v>
      </c>
    </row>
    <row r="1567" customFormat="false" ht="15" hidden="true" customHeight="false" outlineLevel="0" collapsed="false">
      <c r="B1567" s="146" t="s">
        <v>2101</v>
      </c>
      <c r="C1567" s="146" t="s">
        <v>2068</v>
      </c>
      <c r="D1567" s="147" t="s">
        <v>2069</v>
      </c>
      <c r="E1567" s="146" t="s">
        <v>2070</v>
      </c>
      <c r="F1567" s="148" t="s">
        <v>2071</v>
      </c>
      <c r="G1567" s="148" t="s">
        <v>2072</v>
      </c>
      <c r="H1567" s="148" t="s">
        <v>70</v>
      </c>
      <c r="I1567" s="26" t="s">
        <v>43</v>
      </c>
      <c r="J1567" s="26"/>
      <c r="K1567" s="149"/>
      <c r="L1567" s="149"/>
      <c r="M1567" s="147" t="s">
        <v>2073</v>
      </c>
      <c r="N1567" s="146" t="s">
        <v>2079</v>
      </c>
      <c r="O1567" s="147" t="s">
        <v>89</v>
      </c>
      <c r="P1567" s="146" t="s">
        <v>65</v>
      </c>
      <c r="Q1567" s="162" t="s">
        <v>592</v>
      </c>
      <c r="R1567" s="150" t="n">
        <v>743.75</v>
      </c>
      <c r="S1567" s="150" t="n">
        <v>1190</v>
      </c>
      <c r="T1567" s="150" t="n">
        <v>1</v>
      </c>
      <c r="U1567" s="1" t="str">
        <f aca="false">D1567&amp;"-"&amp;E1567&amp;"-"&amp;M1567&amp;"-"&amp;O1567&amp;"-"&amp;P1567&amp;"-"&amp;Q1567</f>
        <v>SOIE-FB-705 EVERYDAY BRA-FB-705-BLUE-36-B</v>
      </c>
    </row>
    <row r="1568" customFormat="false" ht="15" hidden="true" customHeight="false" outlineLevel="0" collapsed="false">
      <c r="B1568" s="151" t="s">
        <v>2102</v>
      </c>
      <c r="C1568" s="146" t="s">
        <v>2068</v>
      </c>
      <c r="D1568" s="147" t="s">
        <v>2069</v>
      </c>
      <c r="E1568" s="146" t="s">
        <v>2070</v>
      </c>
      <c r="F1568" s="148" t="s">
        <v>2071</v>
      </c>
      <c r="G1568" s="148" t="s">
        <v>2072</v>
      </c>
      <c r="H1568" s="148" t="s">
        <v>70</v>
      </c>
      <c r="I1568" s="26" t="s">
        <v>43</v>
      </c>
      <c r="J1568" s="26"/>
      <c r="K1568" s="149"/>
      <c r="L1568" s="152"/>
      <c r="M1568" s="147" t="s">
        <v>2073</v>
      </c>
      <c r="N1568" s="153" t="s">
        <v>868</v>
      </c>
      <c r="O1568" s="153" t="s">
        <v>465</v>
      </c>
      <c r="P1568" s="146" t="s">
        <v>65</v>
      </c>
      <c r="Q1568" s="162" t="s">
        <v>595</v>
      </c>
      <c r="R1568" s="150" t="n">
        <v>743.75</v>
      </c>
      <c r="S1568" s="150" t="n">
        <v>1190</v>
      </c>
      <c r="T1568" s="150" t="n">
        <v>0</v>
      </c>
      <c r="U1568" s="1" t="str">
        <f aca="false">D1568&amp;"-"&amp;E1568&amp;"-"&amp;M1568&amp;"-"&amp;O1568&amp;"-"&amp;P1568&amp;"-"&amp;Q1568</f>
        <v>SOIE-FB-705 EVERYDAY BRA-FB-705-SKIN-36-C</v>
      </c>
    </row>
    <row r="1569" customFormat="false" ht="15" hidden="true" customHeight="false" outlineLevel="0" collapsed="false">
      <c r="B1569" s="151" t="s">
        <v>2103</v>
      </c>
      <c r="C1569" s="146" t="s">
        <v>2068</v>
      </c>
      <c r="D1569" s="147" t="s">
        <v>2069</v>
      </c>
      <c r="E1569" s="146" t="s">
        <v>2070</v>
      </c>
      <c r="F1569" s="148" t="s">
        <v>2071</v>
      </c>
      <c r="G1569" s="148" t="s">
        <v>2072</v>
      </c>
      <c r="H1569" s="148" t="s">
        <v>70</v>
      </c>
      <c r="I1569" s="26" t="s">
        <v>43</v>
      </c>
      <c r="J1569" s="26"/>
      <c r="K1569" s="149"/>
      <c r="L1569" s="152"/>
      <c r="M1569" s="147" t="s">
        <v>2073</v>
      </c>
      <c r="N1569" s="153" t="s">
        <v>2080</v>
      </c>
      <c r="O1569" s="153" t="s">
        <v>76</v>
      </c>
      <c r="P1569" s="146" t="s">
        <v>65</v>
      </c>
      <c r="Q1569" s="162" t="s">
        <v>595</v>
      </c>
      <c r="R1569" s="150" t="n">
        <v>743.75</v>
      </c>
      <c r="S1569" s="150" t="n">
        <v>1190</v>
      </c>
      <c r="T1569" s="150" t="n">
        <v>0</v>
      </c>
      <c r="U1569" s="1" t="str">
        <f aca="false">D1569&amp;"-"&amp;E1569&amp;"-"&amp;M1569&amp;"-"&amp;O1569&amp;"-"&amp;P1569&amp;"-"&amp;Q1569</f>
        <v>SOIE-FB-705 EVERYDAY BRA-FB-705-BLK-36-C</v>
      </c>
    </row>
    <row r="1570" customFormat="false" ht="15" hidden="true" customHeight="false" outlineLevel="0" collapsed="false">
      <c r="B1570" s="146" t="s">
        <v>2104</v>
      </c>
      <c r="C1570" s="146" t="s">
        <v>2068</v>
      </c>
      <c r="D1570" s="147" t="s">
        <v>2069</v>
      </c>
      <c r="E1570" s="146" t="s">
        <v>2070</v>
      </c>
      <c r="F1570" s="148" t="s">
        <v>2071</v>
      </c>
      <c r="G1570" s="148" t="s">
        <v>2072</v>
      </c>
      <c r="H1570" s="148" t="s">
        <v>70</v>
      </c>
      <c r="I1570" s="26" t="s">
        <v>43</v>
      </c>
      <c r="J1570" s="26"/>
      <c r="K1570" s="149"/>
      <c r="L1570" s="149"/>
      <c r="M1570" s="147" t="s">
        <v>2073</v>
      </c>
      <c r="N1570" s="146" t="s">
        <v>2079</v>
      </c>
      <c r="O1570" s="147" t="s">
        <v>89</v>
      </c>
      <c r="P1570" s="146" t="s">
        <v>65</v>
      </c>
      <c r="Q1570" s="162" t="s">
        <v>595</v>
      </c>
      <c r="R1570" s="150" t="n">
        <v>743.75</v>
      </c>
      <c r="S1570" s="150" t="n">
        <v>1190</v>
      </c>
      <c r="T1570" s="150" t="n">
        <v>0</v>
      </c>
      <c r="U1570" s="1" t="str">
        <f aca="false">D1570&amp;"-"&amp;E1570&amp;"-"&amp;M1570&amp;"-"&amp;O1570&amp;"-"&amp;P1570&amp;"-"&amp;Q1570</f>
        <v>SOIE-FB-705 EVERYDAY BRA-FB-705-BLUE-36-C</v>
      </c>
    </row>
    <row r="1571" customFormat="false" ht="15" hidden="true" customHeight="false" outlineLevel="0" collapsed="false">
      <c r="B1571" s="151" t="s">
        <v>2105</v>
      </c>
      <c r="C1571" s="146" t="s">
        <v>2068</v>
      </c>
      <c r="D1571" s="147" t="s">
        <v>2069</v>
      </c>
      <c r="E1571" s="146" t="s">
        <v>2070</v>
      </c>
      <c r="F1571" s="148" t="s">
        <v>2071</v>
      </c>
      <c r="G1571" s="148" t="s">
        <v>2072</v>
      </c>
      <c r="H1571" s="148" t="s">
        <v>70</v>
      </c>
      <c r="I1571" s="26" t="s">
        <v>43</v>
      </c>
      <c r="J1571" s="26"/>
      <c r="K1571" s="149"/>
      <c r="L1571" s="149"/>
      <c r="M1571" s="147" t="s">
        <v>2073</v>
      </c>
      <c r="N1571" s="151" t="s">
        <v>2093</v>
      </c>
      <c r="O1571" s="153" t="s">
        <v>619</v>
      </c>
      <c r="P1571" s="146" t="s">
        <v>65</v>
      </c>
      <c r="Q1571" s="162" t="s">
        <v>595</v>
      </c>
      <c r="R1571" s="150" t="n">
        <v>743.75</v>
      </c>
      <c r="S1571" s="150" t="n">
        <v>1190</v>
      </c>
      <c r="T1571" s="150" t="n">
        <v>0</v>
      </c>
      <c r="U1571" s="1" t="str">
        <f aca="false">D1571&amp;"-"&amp;E1571&amp;"-"&amp;M1571&amp;"-"&amp;O1571&amp;"-"&amp;P1571&amp;"-"&amp;Q1571</f>
        <v>SOIE-FB-705 EVERYDAY BRA-FB-705-GREEN-36-C</v>
      </c>
    </row>
    <row r="1572" customFormat="false" ht="15" hidden="true" customHeight="false" outlineLevel="0" collapsed="false">
      <c r="B1572" s="146" t="s">
        <v>2106</v>
      </c>
      <c r="C1572" s="146" t="s">
        <v>2068</v>
      </c>
      <c r="D1572" s="147" t="s">
        <v>2069</v>
      </c>
      <c r="E1572" s="146" t="s">
        <v>2070</v>
      </c>
      <c r="F1572" s="148" t="s">
        <v>2071</v>
      </c>
      <c r="G1572" s="148" t="s">
        <v>2072</v>
      </c>
      <c r="H1572" s="148" t="s">
        <v>70</v>
      </c>
      <c r="I1572" s="26" t="s">
        <v>43</v>
      </c>
      <c r="J1572" s="26"/>
      <c r="K1572" s="149"/>
      <c r="L1572" s="152"/>
      <c r="M1572" s="147" t="s">
        <v>2073</v>
      </c>
      <c r="N1572" s="147" t="s">
        <v>868</v>
      </c>
      <c r="O1572" s="147" t="s">
        <v>465</v>
      </c>
      <c r="P1572" s="146" t="s">
        <v>65</v>
      </c>
      <c r="Q1572" s="162" t="s">
        <v>97</v>
      </c>
      <c r="R1572" s="150" t="n">
        <v>743.75</v>
      </c>
      <c r="S1572" s="150" t="n">
        <v>1190</v>
      </c>
      <c r="T1572" s="150" t="n">
        <v>2</v>
      </c>
      <c r="U1572" s="1" t="str">
        <f aca="false">D1572&amp;"-"&amp;E1572&amp;"-"&amp;M1572&amp;"-"&amp;O1572&amp;"-"&amp;P1572&amp;"-"&amp;Q1572</f>
        <v>SOIE-FB-705 EVERYDAY BRA-FB-705-SKIN-36-D</v>
      </c>
    </row>
    <row r="1573" customFormat="false" ht="15" hidden="true" customHeight="false" outlineLevel="0" collapsed="false">
      <c r="B1573" s="146" t="s">
        <v>2107</v>
      </c>
      <c r="C1573" s="146" t="s">
        <v>2068</v>
      </c>
      <c r="D1573" s="147" t="s">
        <v>2069</v>
      </c>
      <c r="E1573" s="146" t="s">
        <v>2070</v>
      </c>
      <c r="F1573" s="148" t="s">
        <v>2071</v>
      </c>
      <c r="G1573" s="148" t="s">
        <v>2072</v>
      </c>
      <c r="H1573" s="148" t="s">
        <v>70</v>
      </c>
      <c r="I1573" s="26" t="s">
        <v>43</v>
      </c>
      <c r="J1573" s="26"/>
      <c r="K1573" s="149"/>
      <c r="L1573" s="152"/>
      <c r="M1573" s="147" t="s">
        <v>2073</v>
      </c>
      <c r="N1573" s="147" t="s">
        <v>2080</v>
      </c>
      <c r="O1573" s="147" t="s">
        <v>76</v>
      </c>
      <c r="P1573" s="146" t="s">
        <v>65</v>
      </c>
      <c r="Q1573" s="162" t="s">
        <v>97</v>
      </c>
      <c r="R1573" s="150" t="n">
        <v>743.75</v>
      </c>
      <c r="S1573" s="150" t="n">
        <v>1190</v>
      </c>
      <c r="T1573" s="150" t="n">
        <v>1</v>
      </c>
      <c r="U1573" s="1" t="str">
        <f aca="false">D1573&amp;"-"&amp;E1573&amp;"-"&amp;M1573&amp;"-"&amp;O1573&amp;"-"&amp;P1573&amp;"-"&amp;Q1573</f>
        <v>SOIE-FB-705 EVERYDAY BRA-FB-705-BLK-36-D</v>
      </c>
    </row>
    <row r="1574" customFormat="false" ht="15" hidden="true" customHeight="false" outlineLevel="0" collapsed="false">
      <c r="B1574" s="146" t="s">
        <v>2108</v>
      </c>
      <c r="C1574" s="146" t="s">
        <v>2068</v>
      </c>
      <c r="D1574" s="147" t="s">
        <v>2069</v>
      </c>
      <c r="E1574" s="146" t="s">
        <v>2070</v>
      </c>
      <c r="F1574" s="148" t="s">
        <v>2071</v>
      </c>
      <c r="G1574" s="148" t="s">
        <v>2072</v>
      </c>
      <c r="H1574" s="148" t="s">
        <v>70</v>
      </c>
      <c r="I1574" s="26" t="s">
        <v>43</v>
      </c>
      <c r="J1574" s="26"/>
      <c r="K1574" s="149"/>
      <c r="L1574" s="149"/>
      <c r="M1574" s="147" t="s">
        <v>2073</v>
      </c>
      <c r="N1574" s="146" t="s">
        <v>2079</v>
      </c>
      <c r="O1574" s="147" t="s">
        <v>89</v>
      </c>
      <c r="P1574" s="146" t="s">
        <v>65</v>
      </c>
      <c r="Q1574" s="162" t="s">
        <v>97</v>
      </c>
      <c r="R1574" s="150" t="n">
        <v>743.75</v>
      </c>
      <c r="S1574" s="150" t="n">
        <v>1190</v>
      </c>
      <c r="T1574" s="150" t="n">
        <v>1</v>
      </c>
      <c r="U1574" s="1" t="str">
        <f aca="false">D1574&amp;"-"&amp;E1574&amp;"-"&amp;M1574&amp;"-"&amp;O1574&amp;"-"&amp;P1574&amp;"-"&amp;Q1574</f>
        <v>SOIE-FB-705 EVERYDAY BRA-FB-705-BLUE-36-D</v>
      </c>
    </row>
    <row r="1575" customFormat="false" ht="15" hidden="true" customHeight="false" outlineLevel="0" collapsed="false">
      <c r="B1575" s="146" t="s">
        <v>2109</v>
      </c>
      <c r="C1575" s="146" t="s">
        <v>2068</v>
      </c>
      <c r="D1575" s="147" t="s">
        <v>2069</v>
      </c>
      <c r="E1575" s="146" t="s">
        <v>2070</v>
      </c>
      <c r="F1575" s="148" t="s">
        <v>2071</v>
      </c>
      <c r="G1575" s="148" t="s">
        <v>2072</v>
      </c>
      <c r="H1575" s="148" t="s">
        <v>70</v>
      </c>
      <c r="I1575" s="26" t="s">
        <v>43</v>
      </c>
      <c r="J1575" s="26"/>
      <c r="K1575" s="149"/>
      <c r="L1575" s="149"/>
      <c r="M1575" s="147" t="s">
        <v>2073</v>
      </c>
      <c r="N1575" s="146" t="s">
        <v>2093</v>
      </c>
      <c r="O1575" s="147" t="s">
        <v>619</v>
      </c>
      <c r="P1575" s="146" t="s">
        <v>65</v>
      </c>
      <c r="Q1575" s="162" t="s">
        <v>97</v>
      </c>
      <c r="R1575" s="150" t="n">
        <v>743.75</v>
      </c>
      <c r="S1575" s="150" t="n">
        <v>1190</v>
      </c>
      <c r="T1575" s="150" t="n">
        <v>0</v>
      </c>
      <c r="U1575" s="1" t="str">
        <f aca="false">D1575&amp;"-"&amp;E1575&amp;"-"&amp;M1575&amp;"-"&amp;O1575&amp;"-"&amp;P1575&amp;"-"&amp;Q1575</f>
        <v>SOIE-FB-705 EVERYDAY BRA-FB-705-GREEN-36-D</v>
      </c>
    </row>
    <row r="1576" customFormat="false" ht="15" hidden="true" customHeight="false" outlineLevel="0" collapsed="false">
      <c r="B1576" s="146" t="s">
        <v>2110</v>
      </c>
      <c r="C1576" s="146" t="s">
        <v>2068</v>
      </c>
      <c r="D1576" s="147" t="s">
        <v>2069</v>
      </c>
      <c r="E1576" s="146" t="s">
        <v>2070</v>
      </c>
      <c r="F1576" s="148" t="s">
        <v>2071</v>
      </c>
      <c r="G1576" s="148" t="s">
        <v>2072</v>
      </c>
      <c r="H1576" s="148" t="s">
        <v>70</v>
      </c>
      <c r="I1576" s="26" t="s">
        <v>43</v>
      </c>
      <c r="J1576" s="26"/>
      <c r="K1576" s="149"/>
      <c r="L1576" s="149"/>
      <c r="M1576" s="147" t="s">
        <v>2073</v>
      </c>
      <c r="N1576" s="146" t="s">
        <v>2075</v>
      </c>
      <c r="O1576" s="147" t="s">
        <v>528</v>
      </c>
      <c r="P1576" s="146" t="s">
        <v>65</v>
      </c>
      <c r="Q1576" s="162" t="s">
        <v>97</v>
      </c>
      <c r="R1576" s="150" t="n">
        <v>743.75</v>
      </c>
      <c r="S1576" s="150" t="n">
        <v>1190</v>
      </c>
      <c r="T1576" s="150" t="n">
        <v>0</v>
      </c>
      <c r="U1576" s="1" t="str">
        <f aca="false">D1576&amp;"-"&amp;E1576&amp;"-"&amp;M1576&amp;"-"&amp;O1576&amp;"-"&amp;P1576&amp;"-"&amp;Q1576</f>
        <v>SOIE-FB-705 EVERYDAY BRA-FB-705-RED-36-D</v>
      </c>
    </row>
    <row r="1577" customFormat="false" ht="15" hidden="true" customHeight="false" outlineLevel="0" collapsed="false">
      <c r="B1577" s="151" t="s">
        <v>2111</v>
      </c>
      <c r="C1577" s="146" t="s">
        <v>2068</v>
      </c>
      <c r="D1577" s="147" t="s">
        <v>2069</v>
      </c>
      <c r="E1577" s="146" t="s">
        <v>2070</v>
      </c>
      <c r="F1577" s="148" t="s">
        <v>2071</v>
      </c>
      <c r="G1577" s="148" t="s">
        <v>2072</v>
      </c>
      <c r="H1577" s="148" t="s">
        <v>70</v>
      </c>
      <c r="I1577" s="26" t="s">
        <v>43</v>
      </c>
      <c r="J1577" s="26"/>
      <c r="K1577" s="149"/>
      <c r="L1577" s="149"/>
      <c r="M1577" s="147" t="s">
        <v>2073</v>
      </c>
      <c r="N1577" s="151" t="s">
        <v>1687</v>
      </c>
      <c r="O1577" s="153" t="s">
        <v>465</v>
      </c>
      <c r="P1577" s="146" t="s">
        <v>65</v>
      </c>
      <c r="Q1577" s="162" t="s">
        <v>1890</v>
      </c>
      <c r="R1577" s="150" t="n">
        <v>837.5</v>
      </c>
      <c r="S1577" s="150" t="n">
        <v>1340</v>
      </c>
      <c r="T1577" s="150" t="n">
        <v>3</v>
      </c>
      <c r="U1577" s="1" t="str">
        <f aca="false">D1577&amp;"-"&amp;E1577&amp;"-"&amp;M1577&amp;"-"&amp;O1577&amp;"-"&amp;P1577&amp;"-"&amp;Q1577</f>
        <v>SOIE-FB-705 EVERYDAY BRA-FB-705-SKIN-36-Z</v>
      </c>
    </row>
    <row r="1578" customFormat="false" ht="15" hidden="true" customHeight="false" outlineLevel="0" collapsed="false">
      <c r="B1578" s="151" t="s">
        <v>2112</v>
      </c>
      <c r="C1578" s="146" t="s">
        <v>2068</v>
      </c>
      <c r="D1578" s="147" t="s">
        <v>2069</v>
      </c>
      <c r="E1578" s="146" t="s">
        <v>2070</v>
      </c>
      <c r="F1578" s="148" t="s">
        <v>2071</v>
      </c>
      <c r="G1578" s="148" t="s">
        <v>2072</v>
      </c>
      <c r="H1578" s="148" t="s">
        <v>70</v>
      </c>
      <c r="I1578" s="26" t="s">
        <v>43</v>
      </c>
      <c r="J1578" s="26"/>
      <c r="K1578" s="149"/>
      <c r="L1578" s="152"/>
      <c r="M1578" s="147" t="s">
        <v>2073</v>
      </c>
      <c r="N1578" s="153" t="s">
        <v>2080</v>
      </c>
      <c r="O1578" s="153" t="s">
        <v>76</v>
      </c>
      <c r="P1578" s="146" t="s">
        <v>65</v>
      </c>
      <c r="Q1578" s="162" t="s">
        <v>1890</v>
      </c>
      <c r="R1578" s="150" t="n">
        <v>837.5</v>
      </c>
      <c r="S1578" s="150" t="n">
        <v>1340</v>
      </c>
      <c r="T1578" s="150" t="n">
        <v>0</v>
      </c>
      <c r="U1578" s="1" t="str">
        <f aca="false">D1578&amp;"-"&amp;E1578&amp;"-"&amp;M1578&amp;"-"&amp;O1578&amp;"-"&amp;P1578&amp;"-"&amp;Q1578</f>
        <v>SOIE-FB-705 EVERYDAY BRA-FB-705-BLK-36-Z</v>
      </c>
    </row>
    <row r="1579" customFormat="false" ht="15" hidden="true" customHeight="false" outlineLevel="0" collapsed="false">
      <c r="B1579" s="146" t="s">
        <v>2113</v>
      </c>
      <c r="C1579" s="146" t="s">
        <v>2068</v>
      </c>
      <c r="D1579" s="147" t="s">
        <v>2069</v>
      </c>
      <c r="E1579" s="146" t="s">
        <v>2070</v>
      </c>
      <c r="F1579" s="148" t="s">
        <v>2071</v>
      </c>
      <c r="G1579" s="148" t="s">
        <v>2072</v>
      </c>
      <c r="H1579" s="148" t="s">
        <v>70</v>
      </c>
      <c r="I1579" s="26" t="s">
        <v>43</v>
      </c>
      <c r="J1579" s="26"/>
      <c r="K1579" s="149"/>
      <c r="L1579" s="149"/>
      <c r="M1579" s="147" t="s">
        <v>2073</v>
      </c>
      <c r="N1579" s="146" t="s">
        <v>2079</v>
      </c>
      <c r="O1579" s="147" t="s">
        <v>89</v>
      </c>
      <c r="P1579" s="146" t="s">
        <v>65</v>
      </c>
      <c r="Q1579" s="162" t="s">
        <v>1890</v>
      </c>
      <c r="R1579" s="150" t="n">
        <v>837.5</v>
      </c>
      <c r="S1579" s="150" t="n">
        <v>1340</v>
      </c>
      <c r="T1579" s="150" t="n">
        <v>0</v>
      </c>
      <c r="U1579" s="1" t="str">
        <f aca="false">D1579&amp;"-"&amp;E1579&amp;"-"&amp;M1579&amp;"-"&amp;O1579&amp;"-"&amp;P1579&amp;"-"&amp;Q1579</f>
        <v>SOIE-FB-705 EVERYDAY BRA-FB-705-BLUE-36-Z</v>
      </c>
    </row>
    <row r="1580" customFormat="false" ht="15" hidden="true" customHeight="false" outlineLevel="0" collapsed="false">
      <c r="B1580" s="151" t="s">
        <v>2114</v>
      </c>
      <c r="C1580" s="146" t="s">
        <v>2068</v>
      </c>
      <c r="D1580" s="147" t="s">
        <v>2069</v>
      </c>
      <c r="E1580" s="146" t="s">
        <v>2070</v>
      </c>
      <c r="F1580" s="148" t="s">
        <v>2071</v>
      </c>
      <c r="G1580" s="148" t="s">
        <v>2072</v>
      </c>
      <c r="H1580" s="148" t="s">
        <v>70</v>
      </c>
      <c r="I1580" s="26" t="s">
        <v>43</v>
      </c>
      <c r="J1580" s="26"/>
      <c r="K1580" s="149"/>
      <c r="L1580" s="149"/>
      <c r="M1580" s="147" t="s">
        <v>2073</v>
      </c>
      <c r="N1580" s="151" t="s">
        <v>2075</v>
      </c>
      <c r="O1580" s="153" t="s">
        <v>528</v>
      </c>
      <c r="P1580" s="146" t="s">
        <v>65</v>
      </c>
      <c r="Q1580" s="162" t="s">
        <v>1890</v>
      </c>
      <c r="R1580" s="150" t="n">
        <v>837.5</v>
      </c>
      <c r="S1580" s="150" t="n">
        <v>1340</v>
      </c>
      <c r="T1580" s="150" t="n">
        <v>0</v>
      </c>
      <c r="U1580" s="1" t="str">
        <f aca="false">D1580&amp;"-"&amp;E1580&amp;"-"&amp;M1580&amp;"-"&amp;O1580&amp;"-"&amp;P1580&amp;"-"&amp;Q1580</f>
        <v>SOIE-FB-705 EVERYDAY BRA-FB-705-RED-36-Z</v>
      </c>
    </row>
    <row r="1581" customFormat="false" ht="15" hidden="true" customHeight="false" outlineLevel="0" collapsed="false">
      <c r="B1581" s="146" t="s">
        <v>2115</v>
      </c>
      <c r="C1581" s="146" t="s">
        <v>2068</v>
      </c>
      <c r="D1581" s="147" t="s">
        <v>2069</v>
      </c>
      <c r="E1581" s="146" t="s">
        <v>2070</v>
      </c>
      <c r="F1581" s="148" t="s">
        <v>2071</v>
      </c>
      <c r="G1581" s="148" t="s">
        <v>2072</v>
      </c>
      <c r="H1581" s="148" t="s">
        <v>70</v>
      </c>
      <c r="I1581" s="26" t="s">
        <v>43</v>
      </c>
      <c r="J1581" s="26"/>
      <c r="K1581" s="149"/>
      <c r="L1581" s="149"/>
      <c r="M1581" s="147" t="s">
        <v>2073</v>
      </c>
      <c r="N1581" s="146" t="s">
        <v>2093</v>
      </c>
      <c r="O1581" s="147" t="s">
        <v>619</v>
      </c>
      <c r="P1581" s="146" t="s">
        <v>154</v>
      </c>
      <c r="Q1581" s="162" t="s">
        <v>592</v>
      </c>
      <c r="R1581" s="150" t="n">
        <v>743.75</v>
      </c>
      <c r="S1581" s="150" t="n">
        <v>1190</v>
      </c>
      <c r="T1581" s="150" t="n">
        <v>2</v>
      </c>
      <c r="U1581" s="1" t="str">
        <f aca="false">D1581&amp;"-"&amp;E1581&amp;"-"&amp;M1581&amp;"-"&amp;O1581&amp;"-"&amp;P1581&amp;"-"&amp;Q1581</f>
        <v>SOIE-FB-705 EVERYDAY BRA-FB-705-GREEN-38-B</v>
      </c>
    </row>
    <row r="1582" customFormat="false" ht="15" hidden="true" customHeight="false" outlineLevel="0" collapsed="false">
      <c r="B1582" s="151" t="s">
        <v>2116</v>
      </c>
      <c r="C1582" s="146" t="s">
        <v>2068</v>
      </c>
      <c r="D1582" s="147" t="s">
        <v>2069</v>
      </c>
      <c r="E1582" s="146" t="s">
        <v>2070</v>
      </c>
      <c r="F1582" s="148" t="s">
        <v>2071</v>
      </c>
      <c r="G1582" s="148" t="s">
        <v>2072</v>
      </c>
      <c r="H1582" s="148" t="s">
        <v>70</v>
      </c>
      <c r="I1582" s="26" t="s">
        <v>43</v>
      </c>
      <c r="J1582" s="26"/>
      <c r="K1582" s="149"/>
      <c r="L1582" s="152"/>
      <c r="M1582" s="147" t="s">
        <v>2073</v>
      </c>
      <c r="N1582" s="153" t="s">
        <v>868</v>
      </c>
      <c r="O1582" s="153" t="s">
        <v>465</v>
      </c>
      <c r="P1582" s="146" t="s">
        <v>154</v>
      </c>
      <c r="Q1582" s="162" t="s">
        <v>592</v>
      </c>
      <c r="R1582" s="150" t="n">
        <v>743.75</v>
      </c>
      <c r="S1582" s="150" t="n">
        <v>1190</v>
      </c>
      <c r="T1582" s="150" t="n">
        <v>0</v>
      </c>
      <c r="U1582" s="1" t="str">
        <f aca="false">D1582&amp;"-"&amp;E1582&amp;"-"&amp;M1582&amp;"-"&amp;O1582&amp;"-"&amp;P1582&amp;"-"&amp;Q1582</f>
        <v>SOIE-FB-705 EVERYDAY BRA-FB-705-SKIN-38-B</v>
      </c>
    </row>
    <row r="1583" customFormat="false" ht="15" hidden="true" customHeight="false" outlineLevel="0" collapsed="false">
      <c r="B1583" s="146" t="s">
        <v>2117</v>
      </c>
      <c r="C1583" s="146" t="s">
        <v>2068</v>
      </c>
      <c r="D1583" s="147" t="s">
        <v>2069</v>
      </c>
      <c r="E1583" s="146" t="s">
        <v>2070</v>
      </c>
      <c r="F1583" s="148" t="s">
        <v>2071</v>
      </c>
      <c r="G1583" s="148" t="s">
        <v>2072</v>
      </c>
      <c r="H1583" s="148" t="s">
        <v>70</v>
      </c>
      <c r="I1583" s="26" t="s">
        <v>43</v>
      </c>
      <c r="J1583" s="26"/>
      <c r="K1583" s="149"/>
      <c r="L1583" s="149"/>
      <c r="M1583" s="147" t="s">
        <v>2073</v>
      </c>
      <c r="N1583" s="146" t="s">
        <v>2079</v>
      </c>
      <c r="O1583" s="147" t="s">
        <v>89</v>
      </c>
      <c r="P1583" s="146" t="s">
        <v>154</v>
      </c>
      <c r="Q1583" s="162" t="s">
        <v>592</v>
      </c>
      <c r="R1583" s="150" t="n">
        <v>743.75</v>
      </c>
      <c r="S1583" s="150" t="n">
        <v>1190</v>
      </c>
      <c r="T1583" s="150" t="n">
        <v>1</v>
      </c>
      <c r="U1583" s="1" t="str">
        <f aca="false">D1583&amp;"-"&amp;E1583&amp;"-"&amp;M1583&amp;"-"&amp;O1583&amp;"-"&amp;P1583&amp;"-"&amp;Q1583</f>
        <v>SOIE-FB-705 EVERYDAY BRA-FB-705-BLUE-38-B</v>
      </c>
    </row>
    <row r="1584" customFormat="false" ht="15" hidden="true" customHeight="false" outlineLevel="0" collapsed="false">
      <c r="B1584" s="146" t="s">
        <v>2118</v>
      </c>
      <c r="C1584" s="146" t="s">
        <v>2068</v>
      </c>
      <c r="D1584" s="147" t="s">
        <v>2069</v>
      </c>
      <c r="E1584" s="146" t="s">
        <v>2070</v>
      </c>
      <c r="F1584" s="148" t="s">
        <v>2071</v>
      </c>
      <c r="G1584" s="148" t="s">
        <v>2072</v>
      </c>
      <c r="H1584" s="148" t="s">
        <v>70</v>
      </c>
      <c r="I1584" s="26" t="s">
        <v>43</v>
      </c>
      <c r="J1584" s="26"/>
      <c r="K1584" s="149"/>
      <c r="L1584" s="149"/>
      <c r="M1584" s="147" t="s">
        <v>2073</v>
      </c>
      <c r="N1584" s="146" t="s">
        <v>2075</v>
      </c>
      <c r="O1584" s="147" t="s">
        <v>528</v>
      </c>
      <c r="P1584" s="146" t="s">
        <v>154</v>
      </c>
      <c r="Q1584" s="162" t="s">
        <v>592</v>
      </c>
      <c r="R1584" s="150" t="n">
        <v>743.75</v>
      </c>
      <c r="S1584" s="150" t="n">
        <v>1190</v>
      </c>
      <c r="T1584" s="150" t="n">
        <v>0</v>
      </c>
      <c r="U1584" s="1" t="str">
        <f aca="false">D1584&amp;"-"&amp;E1584&amp;"-"&amp;M1584&amp;"-"&amp;O1584&amp;"-"&amp;P1584&amp;"-"&amp;Q1584</f>
        <v>SOIE-FB-705 EVERYDAY BRA-FB-705-RED-38-B</v>
      </c>
    </row>
    <row r="1585" customFormat="false" ht="15" hidden="true" customHeight="false" outlineLevel="0" collapsed="false">
      <c r="B1585" s="151" t="s">
        <v>2119</v>
      </c>
      <c r="C1585" s="146" t="s">
        <v>2068</v>
      </c>
      <c r="D1585" s="147" t="s">
        <v>2069</v>
      </c>
      <c r="E1585" s="146" t="s">
        <v>2070</v>
      </c>
      <c r="F1585" s="148" t="s">
        <v>2071</v>
      </c>
      <c r="G1585" s="148" t="s">
        <v>2072</v>
      </c>
      <c r="H1585" s="148" t="s">
        <v>70</v>
      </c>
      <c r="I1585" s="26" t="s">
        <v>43</v>
      </c>
      <c r="J1585" s="26"/>
      <c r="K1585" s="149"/>
      <c r="L1585" s="149"/>
      <c r="M1585" s="147" t="s">
        <v>2073</v>
      </c>
      <c r="N1585" s="151" t="s">
        <v>2075</v>
      </c>
      <c r="O1585" s="153" t="s">
        <v>528</v>
      </c>
      <c r="P1585" s="146" t="s">
        <v>154</v>
      </c>
      <c r="Q1585" s="162" t="s">
        <v>595</v>
      </c>
      <c r="R1585" s="150" t="n">
        <v>743.75</v>
      </c>
      <c r="S1585" s="150" t="n">
        <v>1190</v>
      </c>
      <c r="T1585" s="150" t="n">
        <v>0</v>
      </c>
      <c r="U1585" s="1" t="str">
        <f aca="false">D1585&amp;"-"&amp;E1585&amp;"-"&amp;M1585&amp;"-"&amp;O1585&amp;"-"&amp;P1585&amp;"-"&amp;Q1585</f>
        <v>SOIE-FB-705 EVERYDAY BRA-FB-705-RED-38-C</v>
      </c>
    </row>
    <row r="1586" customFormat="false" ht="15" hidden="true" customHeight="false" outlineLevel="0" collapsed="false">
      <c r="B1586" s="151" t="s">
        <v>2120</v>
      </c>
      <c r="C1586" s="146" t="s">
        <v>2068</v>
      </c>
      <c r="D1586" s="147" t="s">
        <v>2069</v>
      </c>
      <c r="E1586" s="146" t="s">
        <v>2070</v>
      </c>
      <c r="F1586" s="148" t="s">
        <v>2071</v>
      </c>
      <c r="G1586" s="148" t="s">
        <v>2072</v>
      </c>
      <c r="H1586" s="148" t="s">
        <v>70</v>
      </c>
      <c r="I1586" s="26" t="s">
        <v>43</v>
      </c>
      <c r="J1586" s="26"/>
      <c r="K1586" s="149"/>
      <c r="L1586" s="149"/>
      <c r="M1586" s="147" t="s">
        <v>2073</v>
      </c>
      <c r="N1586" s="151" t="s">
        <v>2093</v>
      </c>
      <c r="O1586" s="153" t="s">
        <v>619</v>
      </c>
      <c r="P1586" s="146" t="s">
        <v>154</v>
      </c>
      <c r="Q1586" s="162" t="s">
        <v>595</v>
      </c>
      <c r="R1586" s="150" t="n">
        <v>743.75</v>
      </c>
      <c r="S1586" s="150" t="n">
        <v>1190</v>
      </c>
      <c r="T1586" s="150" t="n">
        <v>0</v>
      </c>
      <c r="U1586" s="1" t="str">
        <f aca="false">D1586&amp;"-"&amp;E1586&amp;"-"&amp;M1586&amp;"-"&amp;O1586&amp;"-"&amp;P1586&amp;"-"&amp;Q1586</f>
        <v>SOIE-FB-705 EVERYDAY BRA-FB-705-GREEN-38-C</v>
      </c>
    </row>
    <row r="1587" customFormat="false" ht="15" hidden="true" customHeight="false" outlineLevel="0" collapsed="false">
      <c r="B1587" s="151" t="s">
        <v>2121</v>
      </c>
      <c r="C1587" s="146" t="s">
        <v>2068</v>
      </c>
      <c r="D1587" s="147" t="s">
        <v>2069</v>
      </c>
      <c r="E1587" s="146" t="s">
        <v>2070</v>
      </c>
      <c r="F1587" s="148" t="s">
        <v>2071</v>
      </c>
      <c r="G1587" s="148" t="s">
        <v>2072</v>
      </c>
      <c r="H1587" s="148" t="s">
        <v>70</v>
      </c>
      <c r="I1587" s="26" t="s">
        <v>43</v>
      </c>
      <c r="J1587" s="26"/>
      <c r="K1587" s="149"/>
      <c r="L1587" s="152"/>
      <c r="M1587" s="147" t="s">
        <v>2073</v>
      </c>
      <c r="N1587" s="153" t="s">
        <v>868</v>
      </c>
      <c r="O1587" s="153" t="s">
        <v>465</v>
      </c>
      <c r="P1587" s="146" t="s">
        <v>154</v>
      </c>
      <c r="Q1587" s="162" t="s">
        <v>595</v>
      </c>
      <c r="R1587" s="150" t="n">
        <v>743.75</v>
      </c>
      <c r="S1587" s="150" t="n">
        <v>1190</v>
      </c>
      <c r="T1587" s="150" t="n">
        <v>0</v>
      </c>
      <c r="U1587" s="1" t="str">
        <f aca="false">D1587&amp;"-"&amp;E1587&amp;"-"&amp;M1587&amp;"-"&amp;O1587&amp;"-"&amp;P1587&amp;"-"&amp;Q1587</f>
        <v>SOIE-FB-705 EVERYDAY BRA-FB-705-SKIN-38-C</v>
      </c>
    </row>
    <row r="1588" customFormat="false" ht="15" hidden="true" customHeight="false" outlineLevel="0" collapsed="false">
      <c r="B1588" s="151" t="s">
        <v>2122</v>
      </c>
      <c r="C1588" s="146" t="s">
        <v>2068</v>
      </c>
      <c r="D1588" s="147" t="s">
        <v>2069</v>
      </c>
      <c r="E1588" s="146" t="s">
        <v>2070</v>
      </c>
      <c r="F1588" s="148" t="s">
        <v>2071</v>
      </c>
      <c r="G1588" s="148" t="s">
        <v>2072</v>
      </c>
      <c r="H1588" s="148" t="s">
        <v>70</v>
      </c>
      <c r="I1588" s="26" t="s">
        <v>43</v>
      </c>
      <c r="J1588" s="26"/>
      <c r="K1588" s="149"/>
      <c r="L1588" s="149"/>
      <c r="M1588" s="147" t="s">
        <v>2073</v>
      </c>
      <c r="N1588" s="151" t="s">
        <v>2079</v>
      </c>
      <c r="O1588" s="153" t="s">
        <v>89</v>
      </c>
      <c r="P1588" s="146" t="s">
        <v>154</v>
      </c>
      <c r="Q1588" s="162" t="s">
        <v>595</v>
      </c>
      <c r="R1588" s="150" t="n">
        <v>743.75</v>
      </c>
      <c r="S1588" s="150" t="n">
        <v>1190</v>
      </c>
      <c r="T1588" s="150" t="n">
        <v>0</v>
      </c>
      <c r="U1588" s="1" t="str">
        <f aca="false">D1588&amp;"-"&amp;E1588&amp;"-"&amp;M1588&amp;"-"&amp;O1588&amp;"-"&amp;P1588&amp;"-"&amp;Q1588</f>
        <v>SOIE-FB-705 EVERYDAY BRA-FB-705-BLUE-38-C</v>
      </c>
    </row>
    <row r="1589" customFormat="false" ht="15" hidden="true" customHeight="false" outlineLevel="0" collapsed="false">
      <c r="B1589" s="151" t="s">
        <v>2123</v>
      </c>
      <c r="C1589" s="146" t="s">
        <v>2068</v>
      </c>
      <c r="D1589" s="147" t="s">
        <v>2069</v>
      </c>
      <c r="E1589" s="146" t="s">
        <v>2070</v>
      </c>
      <c r="F1589" s="148" t="s">
        <v>2071</v>
      </c>
      <c r="G1589" s="148" t="s">
        <v>2072</v>
      </c>
      <c r="H1589" s="148" t="s">
        <v>70</v>
      </c>
      <c r="I1589" s="26" t="s">
        <v>43</v>
      </c>
      <c r="J1589" s="26"/>
      <c r="K1589" s="149"/>
      <c r="L1589" s="152"/>
      <c r="M1589" s="147" t="s">
        <v>2073</v>
      </c>
      <c r="N1589" s="153" t="s">
        <v>2080</v>
      </c>
      <c r="O1589" s="153" t="s">
        <v>76</v>
      </c>
      <c r="P1589" s="146" t="s">
        <v>154</v>
      </c>
      <c r="Q1589" s="162" t="s">
        <v>595</v>
      </c>
      <c r="R1589" s="150" t="n">
        <v>743.75</v>
      </c>
      <c r="S1589" s="150" t="n">
        <v>1190</v>
      </c>
      <c r="T1589" s="150" t="n">
        <v>0</v>
      </c>
      <c r="U1589" s="1" t="str">
        <f aca="false">D1589&amp;"-"&amp;E1589&amp;"-"&amp;M1589&amp;"-"&amp;O1589&amp;"-"&amp;P1589&amp;"-"&amp;Q1589</f>
        <v>SOIE-FB-705 EVERYDAY BRA-FB-705-BLK-38-C</v>
      </c>
    </row>
    <row r="1590" customFormat="false" ht="15" hidden="true" customHeight="false" outlineLevel="0" collapsed="false">
      <c r="B1590" s="146" t="s">
        <v>2124</v>
      </c>
      <c r="C1590" s="146" t="s">
        <v>2068</v>
      </c>
      <c r="D1590" s="147" t="s">
        <v>2069</v>
      </c>
      <c r="E1590" s="146" t="s">
        <v>2070</v>
      </c>
      <c r="F1590" s="148" t="s">
        <v>2071</v>
      </c>
      <c r="G1590" s="148" t="s">
        <v>2072</v>
      </c>
      <c r="H1590" s="148" t="s">
        <v>70</v>
      </c>
      <c r="I1590" s="26" t="s">
        <v>43</v>
      </c>
      <c r="J1590" s="26"/>
      <c r="K1590" s="149"/>
      <c r="L1590" s="149"/>
      <c r="M1590" s="147" t="s">
        <v>2073</v>
      </c>
      <c r="N1590" s="146" t="s">
        <v>2075</v>
      </c>
      <c r="O1590" s="147" t="s">
        <v>528</v>
      </c>
      <c r="P1590" s="146" t="s">
        <v>154</v>
      </c>
      <c r="Q1590" s="162" t="s">
        <v>97</v>
      </c>
      <c r="R1590" s="150" t="n">
        <v>743.75</v>
      </c>
      <c r="S1590" s="150" t="n">
        <v>1190</v>
      </c>
      <c r="T1590" s="150" t="n">
        <v>0</v>
      </c>
      <c r="U1590" s="1" t="str">
        <f aca="false">D1590&amp;"-"&amp;E1590&amp;"-"&amp;M1590&amp;"-"&amp;O1590&amp;"-"&amp;P1590&amp;"-"&amp;Q1590</f>
        <v>SOIE-FB-705 EVERYDAY BRA-FB-705-RED-38-D</v>
      </c>
    </row>
    <row r="1591" customFormat="false" ht="15" hidden="true" customHeight="false" outlineLevel="0" collapsed="false">
      <c r="B1591" s="146" t="s">
        <v>2125</v>
      </c>
      <c r="C1591" s="146" t="s">
        <v>2068</v>
      </c>
      <c r="D1591" s="147" t="s">
        <v>2069</v>
      </c>
      <c r="E1591" s="146" t="s">
        <v>2070</v>
      </c>
      <c r="F1591" s="148" t="s">
        <v>2071</v>
      </c>
      <c r="G1591" s="148" t="s">
        <v>2072</v>
      </c>
      <c r="H1591" s="148" t="s">
        <v>70</v>
      </c>
      <c r="I1591" s="26" t="s">
        <v>43</v>
      </c>
      <c r="J1591" s="26"/>
      <c r="K1591" s="149"/>
      <c r="L1591" s="149"/>
      <c r="M1591" s="147" t="s">
        <v>2073</v>
      </c>
      <c r="N1591" s="146" t="s">
        <v>2093</v>
      </c>
      <c r="O1591" s="147" t="s">
        <v>619</v>
      </c>
      <c r="P1591" s="146" t="s">
        <v>154</v>
      </c>
      <c r="Q1591" s="162" t="s">
        <v>97</v>
      </c>
      <c r="R1591" s="150" t="n">
        <v>743.75</v>
      </c>
      <c r="S1591" s="150" t="n">
        <v>1190</v>
      </c>
      <c r="T1591" s="150" t="n">
        <v>0</v>
      </c>
      <c r="U1591" s="1" t="str">
        <f aca="false">D1591&amp;"-"&amp;E1591&amp;"-"&amp;M1591&amp;"-"&amp;O1591&amp;"-"&amp;P1591&amp;"-"&amp;Q1591</f>
        <v>SOIE-FB-705 EVERYDAY BRA-FB-705-GREEN-38-D</v>
      </c>
    </row>
    <row r="1592" customFormat="false" ht="15" hidden="true" customHeight="false" outlineLevel="0" collapsed="false">
      <c r="B1592" s="146" t="s">
        <v>2126</v>
      </c>
      <c r="C1592" s="146" t="s">
        <v>2068</v>
      </c>
      <c r="D1592" s="147" t="s">
        <v>2069</v>
      </c>
      <c r="E1592" s="146" t="s">
        <v>2070</v>
      </c>
      <c r="F1592" s="148" t="s">
        <v>2071</v>
      </c>
      <c r="G1592" s="148" t="s">
        <v>2072</v>
      </c>
      <c r="H1592" s="148" t="s">
        <v>70</v>
      </c>
      <c r="I1592" s="26" t="s">
        <v>43</v>
      </c>
      <c r="J1592" s="26"/>
      <c r="K1592" s="149"/>
      <c r="L1592" s="152"/>
      <c r="M1592" s="147" t="s">
        <v>2073</v>
      </c>
      <c r="N1592" s="153" t="s">
        <v>868</v>
      </c>
      <c r="O1592" s="147" t="s">
        <v>465</v>
      </c>
      <c r="P1592" s="146" t="s">
        <v>154</v>
      </c>
      <c r="Q1592" s="162" t="s">
        <v>97</v>
      </c>
      <c r="R1592" s="150" t="n">
        <v>743.75</v>
      </c>
      <c r="S1592" s="150" t="n">
        <v>1190</v>
      </c>
      <c r="T1592" s="150" t="n">
        <v>0</v>
      </c>
      <c r="U1592" s="1" t="str">
        <f aca="false">D1592&amp;"-"&amp;E1592&amp;"-"&amp;M1592&amp;"-"&amp;O1592&amp;"-"&amp;P1592&amp;"-"&amp;Q1592</f>
        <v>SOIE-FB-705 EVERYDAY BRA-FB-705-SKIN-38-D</v>
      </c>
    </row>
    <row r="1593" customFormat="false" ht="15" hidden="true" customHeight="false" outlineLevel="0" collapsed="false">
      <c r="B1593" s="151" t="s">
        <v>2127</v>
      </c>
      <c r="C1593" s="146" t="s">
        <v>2068</v>
      </c>
      <c r="D1593" s="147" t="s">
        <v>2069</v>
      </c>
      <c r="E1593" s="146" t="s">
        <v>2070</v>
      </c>
      <c r="F1593" s="148" t="s">
        <v>2071</v>
      </c>
      <c r="G1593" s="148" t="s">
        <v>2072</v>
      </c>
      <c r="H1593" s="148" t="s">
        <v>70</v>
      </c>
      <c r="I1593" s="26" t="s">
        <v>43</v>
      </c>
      <c r="J1593" s="26"/>
      <c r="K1593" s="149"/>
      <c r="L1593" s="149"/>
      <c r="M1593" s="147" t="s">
        <v>2073</v>
      </c>
      <c r="N1593" s="151" t="s">
        <v>2079</v>
      </c>
      <c r="O1593" s="153" t="s">
        <v>89</v>
      </c>
      <c r="P1593" s="146" t="s">
        <v>154</v>
      </c>
      <c r="Q1593" s="162" t="s">
        <v>97</v>
      </c>
      <c r="R1593" s="150" t="n">
        <v>743.75</v>
      </c>
      <c r="S1593" s="150" t="n">
        <v>1190</v>
      </c>
      <c r="T1593" s="150" t="n">
        <v>0</v>
      </c>
      <c r="U1593" s="1" t="str">
        <f aca="false">D1593&amp;"-"&amp;E1593&amp;"-"&amp;M1593&amp;"-"&amp;O1593&amp;"-"&amp;P1593&amp;"-"&amp;Q1593</f>
        <v>SOIE-FB-705 EVERYDAY BRA-FB-705-BLUE-38-D</v>
      </c>
    </row>
    <row r="1594" customFormat="false" ht="15" hidden="true" customHeight="false" outlineLevel="0" collapsed="false">
      <c r="B1594" s="146" t="s">
        <v>2128</v>
      </c>
      <c r="C1594" s="146" t="s">
        <v>2068</v>
      </c>
      <c r="D1594" s="147" t="s">
        <v>2069</v>
      </c>
      <c r="E1594" s="146" t="s">
        <v>2070</v>
      </c>
      <c r="F1594" s="148" t="s">
        <v>2071</v>
      </c>
      <c r="G1594" s="148" t="s">
        <v>2072</v>
      </c>
      <c r="H1594" s="148" t="s">
        <v>70</v>
      </c>
      <c r="I1594" s="26" t="s">
        <v>43</v>
      </c>
      <c r="J1594" s="26"/>
      <c r="K1594" s="149"/>
      <c r="L1594" s="152"/>
      <c r="M1594" s="147" t="s">
        <v>2073</v>
      </c>
      <c r="N1594" s="147" t="s">
        <v>2080</v>
      </c>
      <c r="O1594" s="147" t="s">
        <v>76</v>
      </c>
      <c r="P1594" s="146" t="s">
        <v>154</v>
      </c>
      <c r="Q1594" s="162" t="s">
        <v>97</v>
      </c>
      <c r="R1594" s="150" t="n">
        <v>743.75</v>
      </c>
      <c r="S1594" s="150" t="n">
        <v>1190</v>
      </c>
      <c r="T1594" s="150" t="n">
        <v>0</v>
      </c>
      <c r="U1594" s="1" t="str">
        <f aca="false">D1594&amp;"-"&amp;E1594&amp;"-"&amp;M1594&amp;"-"&amp;O1594&amp;"-"&amp;P1594&amp;"-"&amp;Q1594</f>
        <v>SOIE-FB-705 EVERYDAY BRA-FB-705-BLK-38-D</v>
      </c>
    </row>
    <row r="1595" customFormat="false" ht="15" hidden="true" customHeight="false" outlineLevel="0" collapsed="false">
      <c r="B1595" s="147" t="s">
        <v>2129</v>
      </c>
      <c r="C1595" s="146" t="s">
        <v>2130</v>
      </c>
      <c r="D1595" s="147" t="s">
        <v>2069</v>
      </c>
      <c r="E1595" s="146" t="s">
        <v>2131</v>
      </c>
      <c r="F1595" s="148" t="s">
        <v>2071</v>
      </c>
      <c r="G1595" s="164" t="s">
        <v>573</v>
      </c>
      <c r="H1595" s="148" t="s">
        <v>42</v>
      </c>
      <c r="I1595" s="26" t="s">
        <v>43</v>
      </c>
      <c r="J1595" s="26"/>
      <c r="K1595" s="149"/>
      <c r="L1595" s="152"/>
      <c r="M1595" s="147" t="s">
        <v>2132</v>
      </c>
      <c r="N1595" s="147" t="s">
        <v>612</v>
      </c>
      <c r="O1595" s="147" t="s">
        <v>72</v>
      </c>
      <c r="P1595" s="147" t="s">
        <v>92</v>
      </c>
      <c r="Q1595" s="162" t="s">
        <v>592</v>
      </c>
      <c r="R1595" s="150" t="n">
        <v>743.75</v>
      </c>
      <c r="S1595" s="150" t="n">
        <v>1190</v>
      </c>
      <c r="T1595" s="150" t="n">
        <v>1</v>
      </c>
      <c r="U1595" s="1" t="str">
        <f aca="false">D1595&amp;"-"&amp;E1595&amp;"-"&amp;M1595&amp;"-"&amp;O1595&amp;"-"&amp;P1595&amp;"-"&amp;Q1595</f>
        <v>SOIE-CB-132 PADDED BRA-CB-132-WHE-32-B</v>
      </c>
    </row>
    <row r="1596" customFormat="false" ht="15" hidden="true" customHeight="false" outlineLevel="0" collapsed="false">
      <c r="B1596" s="147" t="s">
        <v>2133</v>
      </c>
      <c r="C1596" s="146" t="s">
        <v>2130</v>
      </c>
      <c r="D1596" s="147" t="s">
        <v>2069</v>
      </c>
      <c r="E1596" s="146" t="s">
        <v>2131</v>
      </c>
      <c r="F1596" s="148" t="s">
        <v>2071</v>
      </c>
      <c r="G1596" s="164" t="s">
        <v>573</v>
      </c>
      <c r="H1596" s="148" t="s">
        <v>42</v>
      </c>
      <c r="I1596" s="26" t="s">
        <v>43</v>
      </c>
      <c r="J1596" s="26"/>
      <c r="K1596" s="149"/>
      <c r="L1596" s="152"/>
      <c r="M1596" s="147" t="s">
        <v>2132</v>
      </c>
      <c r="N1596" s="147" t="s">
        <v>2134</v>
      </c>
      <c r="O1596" s="147" t="s">
        <v>594</v>
      </c>
      <c r="P1596" s="147" t="s">
        <v>92</v>
      </c>
      <c r="Q1596" s="162" t="s">
        <v>592</v>
      </c>
      <c r="R1596" s="150" t="n">
        <v>743.75</v>
      </c>
      <c r="S1596" s="150" t="n">
        <v>1190</v>
      </c>
      <c r="T1596" s="150" t="n">
        <v>1</v>
      </c>
      <c r="U1596" s="1" t="str">
        <f aca="false">D1596&amp;"-"&amp;E1596&amp;"-"&amp;M1596&amp;"-"&amp;O1596&amp;"-"&amp;P1596&amp;"-"&amp;Q1596</f>
        <v>SOIE-CB-132 PADDED BRA-CB-132-PINK-32-B</v>
      </c>
    </row>
    <row r="1597" customFormat="false" ht="15" hidden="true" customHeight="false" outlineLevel="0" collapsed="false">
      <c r="B1597" s="147" t="s">
        <v>2135</v>
      </c>
      <c r="C1597" s="146" t="s">
        <v>2130</v>
      </c>
      <c r="D1597" s="147" t="s">
        <v>2069</v>
      </c>
      <c r="E1597" s="146" t="s">
        <v>2131</v>
      </c>
      <c r="F1597" s="148" t="s">
        <v>2071</v>
      </c>
      <c r="G1597" s="164" t="s">
        <v>573</v>
      </c>
      <c r="H1597" s="148" t="s">
        <v>42</v>
      </c>
      <c r="I1597" s="26" t="s">
        <v>43</v>
      </c>
      <c r="J1597" s="26"/>
      <c r="K1597" s="149"/>
      <c r="L1597" s="152"/>
      <c r="M1597" s="147" t="s">
        <v>2132</v>
      </c>
      <c r="N1597" s="147" t="s">
        <v>528</v>
      </c>
      <c r="O1597" s="147" t="s">
        <v>528</v>
      </c>
      <c r="P1597" s="147" t="s">
        <v>92</v>
      </c>
      <c r="Q1597" s="162" t="s">
        <v>592</v>
      </c>
      <c r="R1597" s="150" t="n">
        <v>743.75</v>
      </c>
      <c r="S1597" s="150" t="n">
        <v>1190</v>
      </c>
      <c r="T1597" s="150" t="n">
        <v>1</v>
      </c>
      <c r="U1597" s="1" t="str">
        <f aca="false">D1597&amp;"-"&amp;E1597&amp;"-"&amp;M1597&amp;"-"&amp;O1597&amp;"-"&amp;P1597&amp;"-"&amp;Q1597</f>
        <v>SOIE-CB-132 PADDED BRA-CB-132-RED-32-B</v>
      </c>
    </row>
    <row r="1598" customFormat="false" ht="15" hidden="true" customHeight="false" outlineLevel="0" collapsed="false">
      <c r="B1598" s="147" t="s">
        <v>2136</v>
      </c>
      <c r="C1598" s="146" t="s">
        <v>2130</v>
      </c>
      <c r="D1598" s="147" t="s">
        <v>2069</v>
      </c>
      <c r="E1598" s="146" t="s">
        <v>2131</v>
      </c>
      <c r="F1598" s="148" t="s">
        <v>2071</v>
      </c>
      <c r="G1598" s="164" t="s">
        <v>573</v>
      </c>
      <c r="H1598" s="148" t="s">
        <v>42</v>
      </c>
      <c r="I1598" s="26" t="s">
        <v>43</v>
      </c>
      <c r="J1598" s="26"/>
      <c r="K1598" s="149"/>
      <c r="L1598" s="152"/>
      <c r="M1598" s="147" t="s">
        <v>2132</v>
      </c>
      <c r="N1598" s="147" t="s">
        <v>77</v>
      </c>
      <c r="O1598" s="147" t="s">
        <v>76</v>
      </c>
      <c r="P1598" s="147" t="s">
        <v>92</v>
      </c>
      <c r="Q1598" s="162" t="s">
        <v>592</v>
      </c>
      <c r="R1598" s="150" t="n">
        <v>743.75</v>
      </c>
      <c r="S1598" s="150" t="n">
        <v>1190</v>
      </c>
      <c r="T1598" s="150" t="n">
        <v>1</v>
      </c>
      <c r="U1598" s="1" t="str">
        <f aca="false">D1598&amp;"-"&amp;E1598&amp;"-"&amp;M1598&amp;"-"&amp;O1598&amp;"-"&amp;P1598&amp;"-"&amp;Q1598</f>
        <v>SOIE-CB-132 PADDED BRA-CB-132-BLK-32-B</v>
      </c>
    </row>
    <row r="1599" customFormat="false" ht="15" hidden="true" customHeight="false" outlineLevel="0" collapsed="false">
      <c r="B1599" s="147" t="s">
        <v>2137</v>
      </c>
      <c r="C1599" s="146" t="s">
        <v>2130</v>
      </c>
      <c r="D1599" s="147" t="s">
        <v>2069</v>
      </c>
      <c r="E1599" s="146" t="s">
        <v>2131</v>
      </c>
      <c r="F1599" s="148" t="s">
        <v>2071</v>
      </c>
      <c r="G1599" s="164" t="s">
        <v>573</v>
      </c>
      <c r="H1599" s="148" t="s">
        <v>42</v>
      </c>
      <c r="I1599" s="26" t="s">
        <v>43</v>
      </c>
      <c r="J1599" s="26"/>
      <c r="K1599" s="149"/>
      <c r="L1599" s="152"/>
      <c r="M1599" s="147" t="s">
        <v>2132</v>
      </c>
      <c r="N1599" s="147" t="s">
        <v>2138</v>
      </c>
      <c r="O1599" s="147" t="s">
        <v>2138</v>
      </c>
      <c r="P1599" s="151" t="s">
        <v>92</v>
      </c>
      <c r="Q1599" s="162" t="s">
        <v>595</v>
      </c>
      <c r="R1599" s="158" t="n">
        <v>743.75</v>
      </c>
      <c r="S1599" s="158" t="n">
        <v>1190</v>
      </c>
      <c r="T1599" s="150" t="n">
        <v>0</v>
      </c>
      <c r="U1599" s="1" t="str">
        <f aca="false">D1599&amp;"-"&amp;E1599&amp;"-"&amp;M1599&amp;"-"&amp;O1599&amp;"-"&amp;P1599&amp;"-"&amp;Q1599</f>
        <v>SOIE-CB-132 PADDED BRA-CB-132-BARK-32-C</v>
      </c>
    </row>
    <row r="1600" customFormat="false" ht="15" hidden="true" customHeight="false" outlineLevel="0" collapsed="false">
      <c r="B1600" s="146" t="s">
        <v>2139</v>
      </c>
      <c r="C1600" s="146" t="s">
        <v>2130</v>
      </c>
      <c r="D1600" s="147" t="s">
        <v>2069</v>
      </c>
      <c r="E1600" s="146" t="s">
        <v>2131</v>
      </c>
      <c r="F1600" s="148" t="s">
        <v>2071</v>
      </c>
      <c r="G1600" s="164" t="s">
        <v>573</v>
      </c>
      <c r="H1600" s="148" t="s">
        <v>42</v>
      </c>
      <c r="I1600" s="26" t="s">
        <v>43</v>
      </c>
      <c r="J1600" s="26"/>
      <c r="K1600" s="149"/>
      <c r="L1600" s="152"/>
      <c r="M1600" s="147" t="s">
        <v>2132</v>
      </c>
      <c r="N1600" s="147" t="s">
        <v>2134</v>
      </c>
      <c r="O1600" s="147" t="s">
        <v>2134</v>
      </c>
      <c r="P1600" s="151" t="s">
        <v>92</v>
      </c>
      <c r="Q1600" s="146" t="s">
        <v>595</v>
      </c>
      <c r="R1600" s="158" t="n">
        <v>743.75</v>
      </c>
      <c r="S1600" s="158" t="n">
        <v>1190</v>
      </c>
      <c r="T1600" s="150" t="n">
        <v>0</v>
      </c>
      <c r="U1600" s="1" t="str">
        <f aca="false">D1600&amp;"-"&amp;E1600&amp;"-"&amp;M1600&amp;"-"&amp;O1600&amp;"-"&amp;P1600&amp;"-"&amp;Q1600</f>
        <v>SOIE-CB-132 PADDED BRA-CB-132-MIST-32-C</v>
      </c>
    </row>
    <row r="1601" customFormat="false" ht="15" hidden="true" customHeight="false" outlineLevel="0" collapsed="false">
      <c r="B1601" s="146" t="s">
        <v>2140</v>
      </c>
      <c r="C1601" s="146" t="s">
        <v>2130</v>
      </c>
      <c r="D1601" s="147" t="s">
        <v>2069</v>
      </c>
      <c r="E1601" s="146" t="s">
        <v>2131</v>
      </c>
      <c r="F1601" s="148" t="s">
        <v>2071</v>
      </c>
      <c r="G1601" s="164" t="s">
        <v>573</v>
      </c>
      <c r="H1601" s="148" t="s">
        <v>42</v>
      </c>
      <c r="I1601" s="26" t="s">
        <v>43</v>
      </c>
      <c r="J1601" s="26"/>
      <c r="K1601" s="149"/>
      <c r="L1601" s="152"/>
      <c r="M1601" s="147" t="s">
        <v>2132</v>
      </c>
      <c r="N1601" s="147" t="s">
        <v>612</v>
      </c>
      <c r="O1601" s="147" t="s">
        <v>72</v>
      </c>
      <c r="P1601" s="151" t="s">
        <v>92</v>
      </c>
      <c r="Q1601" s="146" t="s">
        <v>595</v>
      </c>
      <c r="R1601" s="158" t="n">
        <v>743.75</v>
      </c>
      <c r="S1601" s="158" t="n">
        <v>1190</v>
      </c>
      <c r="T1601" s="150" t="n">
        <v>0</v>
      </c>
      <c r="U1601" s="1" t="str">
        <f aca="false">D1601&amp;"-"&amp;E1601&amp;"-"&amp;M1601&amp;"-"&amp;O1601&amp;"-"&amp;P1601&amp;"-"&amp;Q1601</f>
        <v>SOIE-CB-132 PADDED BRA-CB-132-WHE-32-C</v>
      </c>
    </row>
    <row r="1602" customFormat="false" ht="15" hidden="true" customHeight="false" outlineLevel="0" collapsed="false">
      <c r="B1602" s="146" t="s">
        <v>2141</v>
      </c>
      <c r="C1602" s="146" t="s">
        <v>2130</v>
      </c>
      <c r="D1602" s="147" t="s">
        <v>2069</v>
      </c>
      <c r="E1602" s="146" t="s">
        <v>2131</v>
      </c>
      <c r="F1602" s="148" t="s">
        <v>2071</v>
      </c>
      <c r="G1602" s="164" t="s">
        <v>573</v>
      </c>
      <c r="H1602" s="148" t="s">
        <v>42</v>
      </c>
      <c r="I1602" s="26" t="s">
        <v>43</v>
      </c>
      <c r="J1602" s="26"/>
      <c r="K1602" s="149"/>
      <c r="L1602" s="152"/>
      <c r="M1602" s="147" t="s">
        <v>2132</v>
      </c>
      <c r="N1602" s="147" t="s">
        <v>2080</v>
      </c>
      <c r="O1602" s="147" t="s">
        <v>76</v>
      </c>
      <c r="P1602" s="151" t="s">
        <v>92</v>
      </c>
      <c r="Q1602" s="146" t="s">
        <v>595</v>
      </c>
      <c r="R1602" s="158" t="n">
        <v>743.75</v>
      </c>
      <c r="S1602" s="158" t="n">
        <v>1190</v>
      </c>
      <c r="T1602" s="150" t="n">
        <v>0</v>
      </c>
      <c r="U1602" s="1" t="str">
        <f aca="false">D1602&amp;"-"&amp;E1602&amp;"-"&amp;M1602&amp;"-"&amp;O1602&amp;"-"&amp;P1602&amp;"-"&amp;Q1602</f>
        <v>SOIE-CB-132 PADDED BRA-CB-132-BLK-32-C</v>
      </c>
    </row>
    <row r="1603" customFormat="false" ht="15" hidden="true" customHeight="false" outlineLevel="0" collapsed="false">
      <c r="B1603" s="151" t="s">
        <v>2142</v>
      </c>
      <c r="C1603" s="146" t="s">
        <v>2130</v>
      </c>
      <c r="D1603" s="147" t="s">
        <v>2069</v>
      </c>
      <c r="E1603" s="146" t="s">
        <v>2131</v>
      </c>
      <c r="F1603" s="148" t="s">
        <v>2071</v>
      </c>
      <c r="G1603" s="164" t="s">
        <v>573</v>
      </c>
      <c r="H1603" s="148" t="s">
        <v>42</v>
      </c>
      <c r="I1603" s="26" t="s">
        <v>43</v>
      </c>
      <c r="J1603" s="26"/>
      <c r="K1603" s="149"/>
      <c r="L1603" s="152"/>
      <c r="M1603" s="147" t="s">
        <v>2132</v>
      </c>
      <c r="N1603" s="153" t="s">
        <v>2138</v>
      </c>
      <c r="O1603" s="153" t="s">
        <v>2138</v>
      </c>
      <c r="P1603" s="151" t="s">
        <v>92</v>
      </c>
      <c r="Q1603" s="151" t="s">
        <v>97</v>
      </c>
      <c r="R1603" s="158" t="n">
        <v>743.75</v>
      </c>
      <c r="S1603" s="158" t="n">
        <v>1190</v>
      </c>
      <c r="T1603" s="150" t="n">
        <v>1</v>
      </c>
      <c r="U1603" s="1" t="str">
        <f aca="false">D1603&amp;"-"&amp;E1603&amp;"-"&amp;M1603&amp;"-"&amp;O1603&amp;"-"&amp;P1603&amp;"-"&amp;Q1603</f>
        <v>SOIE-CB-132 PADDED BRA-CB-132-BARK-32-D</v>
      </c>
    </row>
    <row r="1604" customFormat="false" ht="15" hidden="true" customHeight="false" outlineLevel="0" collapsed="false">
      <c r="B1604" s="151" t="s">
        <v>2143</v>
      </c>
      <c r="C1604" s="146" t="s">
        <v>2130</v>
      </c>
      <c r="D1604" s="147" t="s">
        <v>2069</v>
      </c>
      <c r="E1604" s="146" t="s">
        <v>2131</v>
      </c>
      <c r="F1604" s="148" t="s">
        <v>2071</v>
      </c>
      <c r="G1604" s="164" t="s">
        <v>573</v>
      </c>
      <c r="H1604" s="148" t="s">
        <v>42</v>
      </c>
      <c r="I1604" s="26" t="s">
        <v>43</v>
      </c>
      <c r="J1604" s="26"/>
      <c r="K1604" s="149"/>
      <c r="L1604" s="152"/>
      <c r="M1604" s="147" t="s">
        <v>2132</v>
      </c>
      <c r="N1604" s="153" t="s">
        <v>2134</v>
      </c>
      <c r="O1604" s="153" t="s">
        <v>594</v>
      </c>
      <c r="P1604" s="151" t="s">
        <v>92</v>
      </c>
      <c r="Q1604" s="151" t="s">
        <v>97</v>
      </c>
      <c r="R1604" s="158" t="n">
        <v>743.75</v>
      </c>
      <c r="S1604" s="158" t="n">
        <v>1190</v>
      </c>
      <c r="T1604" s="150" t="n">
        <v>1</v>
      </c>
      <c r="U1604" s="1" t="str">
        <f aca="false">D1604&amp;"-"&amp;E1604&amp;"-"&amp;M1604&amp;"-"&amp;O1604&amp;"-"&amp;P1604&amp;"-"&amp;Q1604</f>
        <v>SOIE-CB-132 PADDED BRA-CB-132-PINK-32-D</v>
      </c>
    </row>
    <row r="1605" customFormat="false" ht="15" hidden="true" customHeight="false" outlineLevel="0" collapsed="false">
      <c r="B1605" s="151" t="s">
        <v>2144</v>
      </c>
      <c r="C1605" s="146" t="s">
        <v>2130</v>
      </c>
      <c r="D1605" s="147" t="s">
        <v>2069</v>
      </c>
      <c r="E1605" s="146" t="s">
        <v>2131</v>
      </c>
      <c r="F1605" s="148" t="s">
        <v>2071</v>
      </c>
      <c r="G1605" s="164" t="s">
        <v>573</v>
      </c>
      <c r="H1605" s="148" t="s">
        <v>42</v>
      </c>
      <c r="I1605" s="26" t="s">
        <v>43</v>
      </c>
      <c r="J1605" s="26"/>
      <c r="K1605" s="149"/>
      <c r="L1605" s="152"/>
      <c r="M1605" s="147" t="s">
        <v>2132</v>
      </c>
      <c r="N1605" s="147" t="s">
        <v>612</v>
      </c>
      <c r="O1605" s="153" t="s">
        <v>72</v>
      </c>
      <c r="P1605" s="151" t="s">
        <v>92</v>
      </c>
      <c r="Q1605" s="151" t="s">
        <v>97</v>
      </c>
      <c r="R1605" s="158" t="n">
        <v>743.75</v>
      </c>
      <c r="S1605" s="158" t="n">
        <v>1190</v>
      </c>
      <c r="T1605" s="150" t="n">
        <v>0</v>
      </c>
      <c r="U1605" s="1" t="str">
        <f aca="false">D1605&amp;"-"&amp;E1605&amp;"-"&amp;M1605&amp;"-"&amp;O1605&amp;"-"&amp;P1605&amp;"-"&amp;Q1605</f>
        <v>SOIE-CB-132 PADDED BRA-CB-132-WHE-32-D</v>
      </c>
    </row>
    <row r="1606" customFormat="false" ht="15" hidden="true" customHeight="false" outlineLevel="0" collapsed="false">
      <c r="B1606" s="153" t="s">
        <v>2145</v>
      </c>
      <c r="C1606" s="146" t="s">
        <v>2130</v>
      </c>
      <c r="D1606" s="147" t="s">
        <v>2069</v>
      </c>
      <c r="E1606" s="146" t="s">
        <v>2131</v>
      </c>
      <c r="F1606" s="148" t="s">
        <v>2071</v>
      </c>
      <c r="G1606" s="164" t="s">
        <v>573</v>
      </c>
      <c r="H1606" s="148" t="s">
        <v>42</v>
      </c>
      <c r="I1606" s="26" t="s">
        <v>43</v>
      </c>
      <c r="J1606" s="26"/>
      <c r="K1606" s="149"/>
      <c r="L1606" s="152"/>
      <c r="M1606" s="147" t="s">
        <v>2132</v>
      </c>
      <c r="N1606" s="153" t="s">
        <v>528</v>
      </c>
      <c r="O1606" s="153" t="s">
        <v>528</v>
      </c>
      <c r="P1606" s="151" t="s">
        <v>92</v>
      </c>
      <c r="Q1606" s="151" t="s">
        <v>97</v>
      </c>
      <c r="R1606" s="158" t="n">
        <v>743.75</v>
      </c>
      <c r="S1606" s="158" t="n">
        <v>1190</v>
      </c>
      <c r="T1606" s="150" t="n">
        <v>1</v>
      </c>
      <c r="U1606" s="1" t="str">
        <f aca="false">D1606&amp;"-"&amp;E1606&amp;"-"&amp;M1606&amp;"-"&amp;O1606&amp;"-"&amp;P1606&amp;"-"&amp;Q1606</f>
        <v>SOIE-CB-132 PADDED BRA-CB-132-RED-32-D</v>
      </c>
    </row>
    <row r="1607" customFormat="false" ht="15" hidden="true" customHeight="false" outlineLevel="0" collapsed="false">
      <c r="A1607" s="137"/>
      <c r="B1607" s="154" t="n">
        <v>8903976918992</v>
      </c>
      <c r="C1607" s="146" t="s">
        <v>2130</v>
      </c>
      <c r="D1607" s="147" t="s">
        <v>2069</v>
      </c>
      <c r="E1607" s="146" t="s">
        <v>2131</v>
      </c>
      <c r="F1607" s="148" t="s">
        <v>2071</v>
      </c>
      <c r="G1607" s="164" t="s">
        <v>573</v>
      </c>
      <c r="H1607" s="148" t="s">
        <v>42</v>
      </c>
      <c r="I1607" s="26" t="s">
        <v>43</v>
      </c>
      <c r="J1607" s="131"/>
      <c r="K1607" s="155"/>
      <c r="L1607" s="156"/>
      <c r="M1607" s="147" t="s">
        <v>2132</v>
      </c>
      <c r="N1607" s="161" t="s">
        <v>2080</v>
      </c>
      <c r="O1607" s="161" t="s">
        <v>76</v>
      </c>
      <c r="P1607" s="151" t="s">
        <v>92</v>
      </c>
      <c r="Q1607" s="161" t="s">
        <v>97</v>
      </c>
      <c r="R1607" s="158" t="n">
        <v>743.75</v>
      </c>
      <c r="S1607" s="165" t="n">
        <v>1190</v>
      </c>
      <c r="T1607" s="150" t="n">
        <v>1</v>
      </c>
      <c r="U1607" s="1" t="str">
        <f aca="false">D1607&amp;"-"&amp;E1607&amp;"-"&amp;M1607&amp;"-"&amp;O1607&amp;"-"&amp;P1607&amp;"-"&amp;Q1607</f>
        <v>SOIE-CB-132 PADDED BRA-CB-132-BLK-32-D</v>
      </c>
    </row>
    <row r="1608" customFormat="false" ht="15" hidden="true" customHeight="false" outlineLevel="0" collapsed="false">
      <c r="B1608" s="151" t="s">
        <v>2146</v>
      </c>
      <c r="C1608" s="146" t="s">
        <v>2130</v>
      </c>
      <c r="D1608" s="147" t="s">
        <v>2069</v>
      </c>
      <c r="E1608" s="146" t="s">
        <v>2131</v>
      </c>
      <c r="F1608" s="148" t="s">
        <v>2071</v>
      </c>
      <c r="G1608" s="164" t="s">
        <v>573</v>
      </c>
      <c r="H1608" s="148" t="s">
        <v>42</v>
      </c>
      <c r="I1608" s="26" t="s">
        <v>43</v>
      </c>
      <c r="J1608" s="26"/>
      <c r="K1608" s="149"/>
      <c r="L1608" s="152"/>
      <c r="M1608" s="147" t="s">
        <v>2132</v>
      </c>
      <c r="N1608" s="153" t="s">
        <v>2138</v>
      </c>
      <c r="O1608" s="153" t="s">
        <v>2138</v>
      </c>
      <c r="P1608" s="151" t="s">
        <v>134</v>
      </c>
      <c r="Q1608" s="151" t="s">
        <v>592</v>
      </c>
      <c r="R1608" s="158" t="n">
        <v>743.75</v>
      </c>
      <c r="S1608" s="158" t="n">
        <v>1190</v>
      </c>
      <c r="T1608" s="150" t="n">
        <v>1</v>
      </c>
      <c r="U1608" s="1" t="str">
        <f aca="false">D1608&amp;"-"&amp;E1608&amp;"-"&amp;M1608&amp;"-"&amp;O1608&amp;"-"&amp;P1608&amp;"-"&amp;Q1608</f>
        <v>SOIE-CB-132 PADDED BRA-CB-132-BARK-34-B</v>
      </c>
    </row>
    <row r="1609" customFormat="false" ht="15" hidden="true" customHeight="false" outlineLevel="0" collapsed="false">
      <c r="B1609" s="151" t="s">
        <v>2147</v>
      </c>
      <c r="C1609" s="146" t="s">
        <v>2130</v>
      </c>
      <c r="D1609" s="147" t="s">
        <v>2069</v>
      </c>
      <c r="E1609" s="146" t="s">
        <v>2131</v>
      </c>
      <c r="F1609" s="148" t="s">
        <v>2071</v>
      </c>
      <c r="G1609" s="164" t="s">
        <v>573</v>
      </c>
      <c r="H1609" s="148" t="s">
        <v>42</v>
      </c>
      <c r="I1609" s="26" t="s">
        <v>43</v>
      </c>
      <c r="J1609" s="26"/>
      <c r="K1609" s="149"/>
      <c r="L1609" s="152"/>
      <c r="M1609" s="147" t="s">
        <v>2132</v>
      </c>
      <c r="N1609" s="153" t="s">
        <v>2134</v>
      </c>
      <c r="O1609" s="153" t="s">
        <v>594</v>
      </c>
      <c r="P1609" s="151" t="s">
        <v>134</v>
      </c>
      <c r="Q1609" s="151" t="s">
        <v>592</v>
      </c>
      <c r="R1609" s="158" t="n">
        <v>743.75</v>
      </c>
      <c r="S1609" s="158" t="n">
        <v>1190</v>
      </c>
      <c r="T1609" s="150" t="n">
        <v>0</v>
      </c>
      <c r="U1609" s="1" t="str">
        <f aca="false">D1609&amp;"-"&amp;E1609&amp;"-"&amp;M1609&amp;"-"&amp;O1609&amp;"-"&amp;P1609&amp;"-"&amp;Q1609</f>
        <v>SOIE-CB-132 PADDED BRA-CB-132-PINK-34-B</v>
      </c>
    </row>
    <row r="1610" customFormat="false" ht="15" hidden="true" customHeight="false" outlineLevel="0" collapsed="false">
      <c r="B1610" s="146" t="s">
        <v>2148</v>
      </c>
      <c r="C1610" s="146" t="s">
        <v>2130</v>
      </c>
      <c r="D1610" s="147" t="s">
        <v>2069</v>
      </c>
      <c r="E1610" s="146" t="s">
        <v>2131</v>
      </c>
      <c r="F1610" s="148" t="s">
        <v>2071</v>
      </c>
      <c r="G1610" s="164" t="s">
        <v>573</v>
      </c>
      <c r="H1610" s="148" t="s">
        <v>42</v>
      </c>
      <c r="I1610" s="26" t="s">
        <v>43</v>
      </c>
      <c r="J1610" s="26"/>
      <c r="K1610" s="149"/>
      <c r="L1610" s="152"/>
      <c r="M1610" s="147" t="s">
        <v>2132</v>
      </c>
      <c r="N1610" s="147" t="s">
        <v>612</v>
      </c>
      <c r="O1610" s="147" t="s">
        <v>72</v>
      </c>
      <c r="P1610" s="151" t="s">
        <v>134</v>
      </c>
      <c r="Q1610" s="146" t="s">
        <v>592</v>
      </c>
      <c r="R1610" s="158" t="n">
        <v>743.75</v>
      </c>
      <c r="S1610" s="158" t="n">
        <v>1190</v>
      </c>
      <c r="T1610" s="150" t="n">
        <v>1</v>
      </c>
      <c r="U1610" s="1" t="str">
        <f aca="false">D1610&amp;"-"&amp;E1610&amp;"-"&amp;M1610&amp;"-"&amp;O1610&amp;"-"&amp;P1610&amp;"-"&amp;Q1610</f>
        <v>SOIE-CB-132 PADDED BRA-CB-132-WHE-34-B</v>
      </c>
    </row>
    <row r="1611" customFormat="false" ht="15" hidden="true" customHeight="false" outlineLevel="0" collapsed="false">
      <c r="B1611" s="151" t="s">
        <v>2149</v>
      </c>
      <c r="C1611" s="146" t="s">
        <v>2130</v>
      </c>
      <c r="D1611" s="147" t="s">
        <v>2069</v>
      </c>
      <c r="E1611" s="146" t="s">
        <v>2131</v>
      </c>
      <c r="F1611" s="148" t="s">
        <v>2071</v>
      </c>
      <c r="G1611" s="164" t="s">
        <v>573</v>
      </c>
      <c r="H1611" s="148" t="s">
        <v>42</v>
      </c>
      <c r="I1611" s="26" t="s">
        <v>43</v>
      </c>
      <c r="J1611" s="26"/>
      <c r="K1611" s="149"/>
      <c r="L1611" s="152"/>
      <c r="M1611" s="147" t="s">
        <v>2132</v>
      </c>
      <c r="N1611" s="153" t="s">
        <v>528</v>
      </c>
      <c r="O1611" s="153" t="s">
        <v>528</v>
      </c>
      <c r="P1611" s="151" t="s">
        <v>134</v>
      </c>
      <c r="Q1611" s="151" t="s">
        <v>592</v>
      </c>
      <c r="R1611" s="158" t="n">
        <v>743.75</v>
      </c>
      <c r="S1611" s="158" t="n">
        <v>1190</v>
      </c>
      <c r="T1611" s="150" t="n">
        <v>1</v>
      </c>
      <c r="U1611" s="1" t="str">
        <f aca="false">D1611&amp;"-"&amp;E1611&amp;"-"&amp;M1611&amp;"-"&amp;O1611&amp;"-"&amp;P1611&amp;"-"&amp;Q1611</f>
        <v>SOIE-CB-132 PADDED BRA-CB-132-RED-34-B</v>
      </c>
    </row>
    <row r="1612" customFormat="false" ht="15" hidden="true" customHeight="false" outlineLevel="0" collapsed="false">
      <c r="B1612" s="146" t="s">
        <v>2150</v>
      </c>
      <c r="C1612" s="146" t="s">
        <v>2130</v>
      </c>
      <c r="D1612" s="147" t="s">
        <v>2069</v>
      </c>
      <c r="E1612" s="146" t="s">
        <v>2131</v>
      </c>
      <c r="F1612" s="148" t="s">
        <v>2071</v>
      </c>
      <c r="G1612" s="164" t="s">
        <v>573</v>
      </c>
      <c r="H1612" s="148" t="s">
        <v>42</v>
      </c>
      <c r="I1612" s="26" t="s">
        <v>43</v>
      </c>
      <c r="J1612" s="26"/>
      <c r="K1612" s="149"/>
      <c r="L1612" s="152"/>
      <c r="M1612" s="147" t="s">
        <v>2132</v>
      </c>
      <c r="N1612" s="147" t="s">
        <v>2080</v>
      </c>
      <c r="O1612" s="147" t="s">
        <v>76</v>
      </c>
      <c r="P1612" s="151" t="s">
        <v>134</v>
      </c>
      <c r="Q1612" s="146" t="s">
        <v>592</v>
      </c>
      <c r="R1612" s="158" t="n">
        <v>743.75</v>
      </c>
      <c r="S1612" s="158" t="n">
        <v>1190</v>
      </c>
      <c r="T1612" s="150" t="n">
        <v>0</v>
      </c>
      <c r="U1612" s="1" t="str">
        <f aca="false">D1612&amp;"-"&amp;E1612&amp;"-"&amp;M1612&amp;"-"&amp;O1612&amp;"-"&amp;P1612&amp;"-"&amp;Q1612</f>
        <v>SOIE-CB-132 PADDED BRA-CB-132-BLK-34-B</v>
      </c>
    </row>
    <row r="1613" customFormat="false" ht="15" hidden="true" customHeight="false" outlineLevel="0" collapsed="false">
      <c r="B1613" s="151" t="s">
        <v>2151</v>
      </c>
      <c r="C1613" s="146" t="s">
        <v>2130</v>
      </c>
      <c r="D1613" s="147" t="s">
        <v>2069</v>
      </c>
      <c r="E1613" s="146" t="s">
        <v>2131</v>
      </c>
      <c r="F1613" s="148" t="s">
        <v>2071</v>
      </c>
      <c r="G1613" s="164" t="s">
        <v>573</v>
      </c>
      <c r="H1613" s="148" t="s">
        <v>42</v>
      </c>
      <c r="I1613" s="26" t="s">
        <v>43</v>
      </c>
      <c r="J1613" s="26"/>
      <c r="K1613" s="149"/>
      <c r="L1613" s="152"/>
      <c r="M1613" s="147" t="s">
        <v>2132</v>
      </c>
      <c r="N1613" s="153" t="s">
        <v>2080</v>
      </c>
      <c r="O1613" s="153" t="s">
        <v>76</v>
      </c>
      <c r="P1613" s="151" t="s">
        <v>134</v>
      </c>
      <c r="Q1613" s="151" t="s">
        <v>595</v>
      </c>
      <c r="R1613" s="158" t="n">
        <v>743.75</v>
      </c>
      <c r="S1613" s="158" t="n">
        <v>1190</v>
      </c>
      <c r="T1613" s="150" t="n">
        <v>1</v>
      </c>
      <c r="U1613" s="1" t="str">
        <f aca="false">D1613&amp;"-"&amp;E1613&amp;"-"&amp;M1613&amp;"-"&amp;O1613&amp;"-"&amp;P1613&amp;"-"&amp;Q1613</f>
        <v>SOIE-CB-132 PADDED BRA-CB-132-BLK-34-C</v>
      </c>
    </row>
    <row r="1614" customFormat="false" ht="15" hidden="true" customHeight="false" outlineLevel="0" collapsed="false">
      <c r="B1614" s="146" t="s">
        <v>2152</v>
      </c>
      <c r="C1614" s="146" t="s">
        <v>2130</v>
      </c>
      <c r="D1614" s="147" t="s">
        <v>2069</v>
      </c>
      <c r="E1614" s="146" t="s">
        <v>2131</v>
      </c>
      <c r="F1614" s="148" t="s">
        <v>2071</v>
      </c>
      <c r="G1614" s="164" t="s">
        <v>573</v>
      </c>
      <c r="H1614" s="148" t="s">
        <v>42</v>
      </c>
      <c r="I1614" s="26" t="s">
        <v>43</v>
      </c>
      <c r="J1614" s="26"/>
      <c r="K1614" s="149"/>
      <c r="L1614" s="152"/>
      <c r="M1614" s="147" t="s">
        <v>2132</v>
      </c>
      <c r="N1614" s="147" t="s">
        <v>2138</v>
      </c>
      <c r="O1614" s="147" t="s">
        <v>2138</v>
      </c>
      <c r="P1614" s="151" t="s">
        <v>134</v>
      </c>
      <c r="Q1614" s="146" t="s">
        <v>595</v>
      </c>
      <c r="R1614" s="158" t="n">
        <v>743.75</v>
      </c>
      <c r="S1614" s="158" t="n">
        <v>1190</v>
      </c>
      <c r="T1614" s="150" t="n">
        <v>1</v>
      </c>
      <c r="U1614" s="1" t="str">
        <f aca="false">D1614&amp;"-"&amp;E1614&amp;"-"&amp;M1614&amp;"-"&amp;O1614&amp;"-"&amp;P1614&amp;"-"&amp;Q1614</f>
        <v>SOIE-CB-132 PADDED BRA-CB-132-BARK-34-C</v>
      </c>
    </row>
    <row r="1615" customFormat="false" ht="15" hidden="true" customHeight="false" outlineLevel="0" collapsed="false">
      <c r="B1615" s="146" t="s">
        <v>2153</v>
      </c>
      <c r="C1615" s="146" t="s">
        <v>2130</v>
      </c>
      <c r="D1615" s="147" t="s">
        <v>2069</v>
      </c>
      <c r="E1615" s="146" t="s">
        <v>2131</v>
      </c>
      <c r="F1615" s="148" t="s">
        <v>2071</v>
      </c>
      <c r="G1615" s="164" t="s">
        <v>573</v>
      </c>
      <c r="H1615" s="148" t="s">
        <v>42</v>
      </c>
      <c r="I1615" s="26" t="s">
        <v>43</v>
      </c>
      <c r="J1615" s="26"/>
      <c r="K1615" s="149"/>
      <c r="L1615" s="152"/>
      <c r="M1615" s="147" t="s">
        <v>2132</v>
      </c>
      <c r="N1615" s="147" t="s">
        <v>2134</v>
      </c>
      <c r="O1615" s="147" t="s">
        <v>594</v>
      </c>
      <c r="P1615" s="151" t="s">
        <v>134</v>
      </c>
      <c r="Q1615" s="146" t="s">
        <v>595</v>
      </c>
      <c r="R1615" s="158" t="n">
        <v>743.75</v>
      </c>
      <c r="S1615" s="158" t="n">
        <v>1190</v>
      </c>
      <c r="T1615" s="150" t="n">
        <v>1</v>
      </c>
      <c r="U1615" s="1" t="str">
        <f aca="false">D1615&amp;"-"&amp;E1615&amp;"-"&amp;M1615&amp;"-"&amp;O1615&amp;"-"&amp;P1615&amp;"-"&amp;Q1615</f>
        <v>SOIE-CB-132 PADDED BRA-CB-132-PINK-34-C</v>
      </c>
    </row>
    <row r="1616" customFormat="false" ht="15" hidden="true" customHeight="false" outlineLevel="0" collapsed="false">
      <c r="B1616" s="151" t="s">
        <v>2154</v>
      </c>
      <c r="C1616" s="146" t="s">
        <v>2130</v>
      </c>
      <c r="D1616" s="147" t="s">
        <v>2069</v>
      </c>
      <c r="E1616" s="146" t="s">
        <v>2131</v>
      </c>
      <c r="F1616" s="148" t="s">
        <v>2071</v>
      </c>
      <c r="G1616" s="164" t="s">
        <v>573</v>
      </c>
      <c r="H1616" s="148" t="s">
        <v>42</v>
      </c>
      <c r="I1616" s="26" t="s">
        <v>43</v>
      </c>
      <c r="J1616" s="26"/>
      <c r="K1616" s="149"/>
      <c r="L1616" s="152"/>
      <c r="M1616" s="147" t="s">
        <v>2132</v>
      </c>
      <c r="N1616" s="153" t="s">
        <v>612</v>
      </c>
      <c r="O1616" s="153" t="s">
        <v>72</v>
      </c>
      <c r="P1616" s="151" t="s">
        <v>134</v>
      </c>
      <c r="Q1616" s="151" t="s">
        <v>595</v>
      </c>
      <c r="R1616" s="158" t="n">
        <v>743.75</v>
      </c>
      <c r="S1616" s="158" t="n">
        <v>1190</v>
      </c>
      <c r="T1616" s="150" t="n">
        <v>0</v>
      </c>
      <c r="U1616" s="1" t="str">
        <f aca="false">D1616&amp;"-"&amp;E1616&amp;"-"&amp;M1616&amp;"-"&amp;O1616&amp;"-"&amp;P1616&amp;"-"&amp;Q1616</f>
        <v>SOIE-CB-132 PADDED BRA-CB-132-WHE-34-C</v>
      </c>
    </row>
    <row r="1617" customFormat="false" ht="15" hidden="true" customHeight="false" outlineLevel="0" collapsed="false">
      <c r="B1617" s="147" t="s">
        <v>2155</v>
      </c>
      <c r="C1617" s="146" t="s">
        <v>2130</v>
      </c>
      <c r="D1617" s="147" t="s">
        <v>2069</v>
      </c>
      <c r="E1617" s="146" t="s">
        <v>2131</v>
      </c>
      <c r="F1617" s="148" t="s">
        <v>2071</v>
      </c>
      <c r="G1617" s="164" t="s">
        <v>573</v>
      </c>
      <c r="H1617" s="148" t="s">
        <v>42</v>
      </c>
      <c r="I1617" s="26" t="s">
        <v>43</v>
      </c>
      <c r="J1617" s="26"/>
      <c r="K1617" s="149"/>
      <c r="L1617" s="152"/>
      <c r="M1617" s="147" t="s">
        <v>2132</v>
      </c>
      <c r="N1617" s="147" t="s">
        <v>2138</v>
      </c>
      <c r="O1617" s="147" t="s">
        <v>2138</v>
      </c>
      <c r="P1617" s="151" t="s">
        <v>134</v>
      </c>
      <c r="Q1617" s="146" t="s">
        <v>97</v>
      </c>
      <c r="R1617" s="158" t="n">
        <v>743.75</v>
      </c>
      <c r="S1617" s="158" t="n">
        <v>1190</v>
      </c>
      <c r="T1617" s="150" t="n">
        <v>1</v>
      </c>
      <c r="U1617" s="1" t="str">
        <f aca="false">D1617&amp;"-"&amp;E1617&amp;"-"&amp;M1617&amp;"-"&amp;O1617&amp;"-"&amp;P1617&amp;"-"&amp;Q1617</f>
        <v>SOIE-CB-132 PADDED BRA-CB-132-BARK-34-D</v>
      </c>
    </row>
    <row r="1618" customFormat="false" ht="15" hidden="true" customHeight="false" outlineLevel="0" collapsed="false">
      <c r="B1618" s="146" t="s">
        <v>2156</v>
      </c>
      <c r="C1618" s="146" t="s">
        <v>2130</v>
      </c>
      <c r="D1618" s="147" t="s">
        <v>2069</v>
      </c>
      <c r="E1618" s="146" t="s">
        <v>2131</v>
      </c>
      <c r="F1618" s="148" t="s">
        <v>2071</v>
      </c>
      <c r="G1618" s="164" t="s">
        <v>573</v>
      </c>
      <c r="H1618" s="148" t="s">
        <v>42</v>
      </c>
      <c r="I1618" s="26" t="s">
        <v>43</v>
      </c>
      <c r="J1618" s="26"/>
      <c r="K1618" s="149"/>
      <c r="L1618" s="152"/>
      <c r="M1618" s="147" t="s">
        <v>2132</v>
      </c>
      <c r="N1618" s="147" t="s">
        <v>2134</v>
      </c>
      <c r="O1618" s="147" t="s">
        <v>594</v>
      </c>
      <c r="P1618" s="151" t="s">
        <v>134</v>
      </c>
      <c r="Q1618" s="146" t="s">
        <v>97</v>
      </c>
      <c r="R1618" s="158" t="n">
        <v>743.75</v>
      </c>
      <c r="S1618" s="158" t="n">
        <v>1190</v>
      </c>
      <c r="T1618" s="150" t="n">
        <v>1</v>
      </c>
      <c r="U1618" s="1" t="str">
        <f aca="false">D1618&amp;"-"&amp;E1618&amp;"-"&amp;M1618&amp;"-"&amp;O1618&amp;"-"&amp;P1618&amp;"-"&amp;Q1618</f>
        <v>SOIE-CB-132 PADDED BRA-CB-132-PINK-34-D</v>
      </c>
    </row>
    <row r="1619" customFormat="false" ht="15" hidden="true" customHeight="false" outlineLevel="0" collapsed="false">
      <c r="B1619" s="146" t="s">
        <v>2157</v>
      </c>
      <c r="C1619" s="146" t="s">
        <v>2130</v>
      </c>
      <c r="D1619" s="147" t="s">
        <v>2069</v>
      </c>
      <c r="E1619" s="146" t="s">
        <v>2131</v>
      </c>
      <c r="F1619" s="148" t="s">
        <v>2071</v>
      </c>
      <c r="G1619" s="164" t="s">
        <v>573</v>
      </c>
      <c r="H1619" s="148" t="s">
        <v>42</v>
      </c>
      <c r="I1619" s="26" t="s">
        <v>43</v>
      </c>
      <c r="J1619" s="26"/>
      <c r="K1619" s="149"/>
      <c r="L1619" s="152"/>
      <c r="M1619" s="147" t="s">
        <v>2132</v>
      </c>
      <c r="N1619" s="147" t="s">
        <v>612</v>
      </c>
      <c r="O1619" s="147" t="s">
        <v>72</v>
      </c>
      <c r="P1619" s="151" t="s">
        <v>134</v>
      </c>
      <c r="Q1619" s="146" t="s">
        <v>97</v>
      </c>
      <c r="R1619" s="158" t="n">
        <v>743.75</v>
      </c>
      <c r="S1619" s="158" t="n">
        <v>1190</v>
      </c>
      <c r="T1619" s="150" t="n">
        <v>1</v>
      </c>
      <c r="U1619" s="1" t="str">
        <f aca="false">D1619&amp;"-"&amp;E1619&amp;"-"&amp;M1619&amp;"-"&amp;O1619&amp;"-"&amp;P1619&amp;"-"&amp;Q1619</f>
        <v>SOIE-CB-132 PADDED BRA-CB-132-WHE-34-D</v>
      </c>
    </row>
    <row r="1620" customFormat="false" ht="15" hidden="true" customHeight="false" outlineLevel="0" collapsed="false">
      <c r="B1620" s="146" t="s">
        <v>2158</v>
      </c>
      <c r="C1620" s="146" t="s">
        <v>2130</v>
      </c>
      <c r="D1620" s="147" t="s">
        <v>2069</v>
      </c>
      <c r="E1620" s="146" t="s">
        <v>2131</v>
      </c>
      <c r="F1620" s="148" t="s">
        <v>2071</v>
      </c>
      <c r="G1620" s="164" t="s">
        <v>573</v>
      </c>
      <c r="H1620" s="148" t="s">
        <v>42</v>
      </c>
      <c r="I1620" s="26" t="s">
        <v>43</v>
      </c>
      <c r="J1620" s="26"/>
      <c r="K1620" s="149"/>
      <c r="L1620" s="152"/>
      <c r="M1620" s="147" t="s">
        <v>2132</v>
      </c>
      <c r="N1620" s="147" t="s">
        <v>2080</v>
      </c>
      <c r="O1620" s="147" t="s">
        <v>76</v>
      </c>
      <c r="P1620" s="151" t="s">
        <v>134</v>
      </c>
      <c r="Q1620" s="146" t="s">
        <v>97</v>
      </c>
      <c r="R1620" s="158" t="n">
        <v>743.75</v>
      </c>
      <c r="S1620" s="158" t="n">
        <v>1190</v>
      </c>
      <c r="T1620" s="150" t="n">
        <v>1</v>
      </c>
      <c r="U1620" s="1" t="str">
        <f aca="false">D1620&amp;"-"&amp;E1620&amp;"-"&amp;M1620&amp;"-"&amp;O1620&amp;"-"&amp;P1620&amp;"-"&amp;Q1620</f>
        <v>SOIE-CB-132 PADDED BRA-CB-132-BLK-34-D</v>
      </c>
    </row>
    <row r="1621" customFormat="false" ht="15" hidden="true" customHeight="false" outlineLevel="0" collapsed="false">
      <c r="A1621" s="137"/>
      <c r="B1621" s="154" t="n">
        <v>8903976894661</v>
      </c>
      <c r="C1621" s="146" t="s">
        <v>2130</v>
      </c>
      <c r="D1621" s="147" t="s">
        <v>2069</v>
      </c>
      <c r="E1621" s="146" t="s">
        <v>2131</v>
      </c>
      <c r="F1621" s="148" t="s">
        <v>2071</v>
      </c>
      <c r="G1621" s="164" t="s">
        <v>573</v>
      </c>
      <c r="H1621" s="148" t="s">
        <v>42</v>
      </c>
      <c r="I1621" s="26" t="s">
        <v>43</v>
      </c>
      <c r="J1621" s="131"/>
      <c r="K1621" s="155"/>
      <c r="L1621" s="156"/>
      <c r="M1621" s="147" t="s">
        <v>2132</v>
      </c>
      <c r="N1621" s="157" t="s">
        <v>528</v>
      </c>
      <c r="O1621" s="157" t="s">
        <v>528</v>
      </c>
      <c r="P1621" s="151" t="s">
        <v>134</v>
      </c>
      <c r="Q1621" s="157" t="s">
        <v>97</v>
      </c>
      <c r="R1621" s="158" t="n">
        <v>743.75</v>
      </c>
      <c r="S1621" s="165" t="n">
        <v>1190</v>
      </c>
      <c r="T1621" s="150" t="n">
        <v>1</v>
      </c>
      <c r="U1621" s="1" t="str">
        <f aca="false">D1621&amp;"-"&amp;E1621&amp;"-"&amp;M1621&amp;"-"&amp;O1621&amp;"-"&amp;P1621&amp;"-"&amp;Q1621</f>
        <v>SOIE-CB-132 PADDED BRA-CB-132-RED-34-D</v>
      </c>
    </row>
    <row r="1622" customFormat="false" ht="15" hidden="true" customHeight="false" outlineLevel="0" collapsed="false">
      <c r="B1622" s="151" t="s">
        <v>2159</v>
      </c>
      <c r="C1622" s="146" t="s">
        <v>2130</v>
      </c>
      <c r="D1622" s="147" t="s">
        <v>2069</v>
      </c>
      <c r="E1622" s="146" t="s">
        <v>2131</v>
      </c>
      <c r="F1622" s="148" t="s">
        <v>2071</v>
      </c>
      <c r="G1622" s="164" t="s">
        <v>573</v>
      </c>
      <c r="H1622" s="148" t="s">
        <v>42</v>
      </c>
      <c r="I1622" s="26" t="s">
        <v>43</v>
      </c>
      <c r="J1622" s="26"/>
      <c r="K1622" s="149"/>
      <c r="L1622" s="152"/>
      <c r="M1622" s="147" t="s">
        <v>2132</v>
      </c>
      <c r="N1622" s="153" t="s">
        <v>2138</v>
      </c>
      <c r="O1622" s="153" t="s">
        <v>2138</v>
      </c>
      <c r="P1622" s="151" t="s">
        <v>134</v>
      </c>
      <c r="Q1622" s="153" t="s">
        <v>1890</v>
      </c>
      <c r="R1622" s="158" t="n">
        <v>743.75</v>
      </c>
      <c r="S1622" s="158" t="n">
        <v>773.5</v>
      </c>
      <c r="T1622" s="150" t="n">
        <v>0</v>
      </c>
      <c r="U1622" s="1" t="str">
        <f aca="false">D1622&amp;"-"&amp;E1622&amp;"-"&amp;M1622&amp;"-"&amp;O1622&amp;"-"&amp;P1622&amp;"-"&amp;Q1622</f>
        <v>SOIE-CB-132 PADDED BRA-CB-132-BARK-34-Z</v>
      </c>
    </row>
    <row r="1623" customFormat="false" ht="15" hidden="true" customHeight="false" outlineLevel="0" collapsed="false">
      <c r="B1623" s="151" t="s">
        <v>2160</v>
      </c>
      <c r="C1623" s="146" t="s">
        <v>2130</v>
      </c>
      <c r="D1623" s="147" t="s">
        <v>2069</v>
      </c>
      <c r="E1623" s="146" t="s">
        <v>2131</v>
      </c>
      <c r="F1623" s="148" t="s">
        <v>2071</v>
      </c>
      <c r="G1623" s="164" t="s">
        <v>573</v>
      </c>
      <c r="H1623" s="148" t="s">
        <v>42</v>
      </c>
      <c r="I1623" s="26" t="s">
        <v>43</v>
      </c>
      <c r="J1623" s="26"/>
      <c r="K1623" s="149"/>
      <c r="L1623" s="152"/>
      <c r="M1623" s="147" t="s">
        <v>2132</v>
      </c>
      <c r="N1623" s="153" t="s">
        <v>612</v>
      </c>
      <c r="O1623" s="153" t="s">
        <v>72</v>
      </c>
      <c r="P1623" s="151" t="s">
        <v>134</v>
      </c>
      <c r="Q1623" s="153" t="s">
        <v>1890</v>
      </c>
      <c r="R1623" s="158" t="n">
        <v>743.75</v>
      </c>
      <c r="S1623" s="158" t="n">
        <v>1190</v>
      </c>
      <c r="T1623" s="150" t="n">
        <v>0</v>
      </c>
      <c r="U1623" s="1" t="str">
        <f aca="false">D1623&amp;"-"&amp;E1623&amp;"-"&amp;M1623&amp;"-"&amp;O1623&amp;"-"&amp;P1623&amp;"-"&amp;Q1623</f>
        <v>SOIE-CB-132 PADDED BRA-CB-132-WHE-34-Z</v>
      </c>
    </row>
    <row r="1624" customFormat="false" ht="15" hidden="true" customHeight="false" outlineLevel="0" collapsed="false">
      <c r="B1624" s="151" t="s">
        <v>2161</v>
      </c>
      <c r="C1624" s="146" t="s">
        <v>2130</v>
      </c>
      <c r="D1624" s="147" t="s">
        <v>2069</v>
      </c>
      <c r="E1624" s="146" t="s">
        <v>2131</v>
      </c>
      <c r="F1624" s="148" t="s">
        <v>2071</v>
      </c>
      <c r="G1624" s="164" t="s">
        <v>573</v>
      </c>
      <c r="H1624" s="148" t="s">
        <v>42</v>
      </c>
      <c r="I1624" s="26" t="s">
        <v>43</v>
      </c>
      <c r="J1624" s="26"/>
      <c r="K1624" s="149"/>
      <c r="L1624" s="152"/>
      <c r="M1624" s="147" t="s">
        <v>2132</v>
      </c>
      <c r="N1624" s="153" t="s">
        <v>2080</v>
      </c>
      <c r="O1624" s="153" t="s">
        <v>76</v>
      </c>
      <c r="P1624" s="151" t="s">
        <v>134</v>
      </c>
      <c r="Q1624" s="153" t="s">
        <v>1890</v>
      </c>
      <c r="R1624" s="158" t="n">
        <v>837.5</v>
      </c>
      <c r="S1624" s="158" t="n">
        <v>1340</v>
      </c>
      <c r="T1624" s="150" t="n">
        <v>1</v>
      </c>
      <c r="U1624" s="1" t="str">
        <f aca="false">D1624&amp;"-"&amp;E1624&amp;"-"&amp;M1624&amp;"-"&amp;O1624&amp;"-"&amp;P1624&amp;"-"&amp;Q1624</f>
        <v>SOIE-CB-132 PADDED BRA-CB-132-BLK-34-Z</v>
      </c>
    </row>
    <row r="1625" customFormat="false" ht="15" hidden="true" customHeight="false" outlineLevel="0" collapsed="false">
      <c r="B1625" s="146" t="s">
        <v>2162</v>
      </c>
      <c r="C1625" s="146" t="s">
        <v>2130</v>
      </c>
      <c r="D1625" s="147" t="s">
        <v>2069</v>
      </c>
      <c r="E1625" s="146" t="s">
        <v>2131</v>
      </c>
      <c r="F1625" s="148" t="s">
        <v>2071</v>
      </c>
      <c r="G1625" s="164" t="s">
        <v>573</v>
      </c>
      <c r="H1625" s="148" t="s">
        <v>42</v>
      </c>
      <c r="I1625" s="26" t="s">
        <v>43</v>
      </c>
      <c r="J1625" s="26"/>
      <c r="K1625" s="149"/>
      <c r="L1625" s="152"/>
      <c r="M1625" s="147" t="s">
        <v>2132</v>
      </c>
      <c r="N1625" s="147" t="s">
        <v>2138</v>
      </c>
      <c r="O1625" s="147" t="s">
        <v>2138</v>
      </c>
      <c r="P1625" s="146" t="s">
        <v>65</v>
      </c>
      <c r="Q1625" s="146" t="s">
        <v>592</v>
      </c>
      <c r="R1625" s="158" t="n">
        <v>743.75</v>
      </c>
      <c r="S1625" s="158" t="n">
        <v>1190</v>
      </c>
      <c r="T1625" s="150" t="n">
        <v>0</v>
      </c>
      <c r="U1625" s="1" t="str">
        <f aca="false">D1625&amp;"-"&amp;E1625&amp;"-"&amp;M1625&amp;"-"&amp;O1625&amp;"-"&amp;P1625&amp;"-"&amp;Q1625</f>
        <v>SOIE-CB-132 PADDED BRA-CB-132-BARK-36-B</v>
      </c>
    </row>
    <row r="1626" customFormat="false" ht="15" hidden="true" customHeight="false" outlineLevel="0" collapsed="false">
      <c r="B1626" s="151" t="s">
        <v>2163</v>
      </c>
      <c r="C1626" s="146" t="s">
        <v>2130</v>
      </c>
      <c r="D1626" s="147" t="s">
        <v>2069</v>
      </c>
      <c r="E1626" s="146" t="s">
        <v>2131</v>
      </c>
      <c r="F1626" s="148" t="s">
        <v>2071</v>
      </c>
      <c r="G1626" s="164" t="s">
        <v>573</v>
      </c>
      <c r="H1626" s="148" t="s">
        <v>42</v>
      </c>
      <c r="I1626" s="26" t="s">
        <v>43</v>
      </c>
      <c r="J1626" s="26"/>
      <c r="K1626" s="149"/>
      <c r="L1626" s="152"/>
      <c r="M1626" s="147" t="s">
        <v>2132</v>
      </c>
      <c r="N1626" s="153" t="s">
        <v>612</v>
      </c>
      <c r="O1626" s="153" t="s">
        <v>72</v>
      </c>
      <c r="P1626" s="146" t="s">
        <v>65</v>
      </c>
      <c r="Q1626" s="151" t="s">
        <v>592</v>
      </c>
      <c r="R1626" s="158" t="n">
        <v>743.75</v>
      </c>
      <c r="S1626" s="158" t="n">
        <v>1190</v>
      </c>
      <c r="T1626" s="150" t="n">
        <v>2</v>
      </c>
      <c r="U1626" s="1" t="str">
        <f aca="false">D1626&amp;"-"&amp;E1626&amp;"-"&amp;M1626&amp;"-"&amp;O1626&amp;"-"&amp;P1626&amp;"-"&amp;Q1626</f>
        <v>SOIE-CB-132 PADDED BRA-CB-132-WHE-36-B</v>
      </c>
    </row>
    <row r="1627" customFormat="false" ht="15" hidden="true" customHeight="false" outlineLevel="0" collapsed="false">
      <c r="B1627" s="146" t="s">
        <v>2164</v>
      </c>
      <c r="C1627" s="146" t="s">
        <v>2130</v>
      </c>
      <c r="D1627" s="147" t="s">
        <v>2069</v>
      </c>
      <c r="E1627" s="146" t="s">
        <v>2131</v>
      </c>
      <c r="F1627" s="148" t="s">
        <v>2071</v>
      </c>
      <c r="G1627" s="164" t="s">
        <v>573</v>
      </c>
      <c r="H1627" s="148" t="s">
        <v>42</v>
      </c>
      <c r="I1627" s="26" t="s">
        <v>43</v>
      </c>
      <c r="J1627" s="26"/>
      <c r="K1627" s="149"/>
      <c r="L1627" s="152"/>
      <c r="M1627" s="147" t="s">
        <v>2132</v>
      </c>
      <c r="N1627" s="147" t="s">
        <v>2080</v>
      </c>
      <c r="O1627" s="147" t="s">
        <v>76</v>
      </c>
      <c r="P1627" s="146" t="s">
        <v>65</v>
      </c>
      <c r="Q1627" s="146" t="s">
        <v>592</v>
      </c>
      <c r="R1627" s="158" t="n">
        <v>743.75</v>
      </c>
      <c r="S1627" s="158" t="n">
        <v>1190</v>
      </c>
      <c r="T1627" s="150" t="n">
        <v>0</v>
      </c>
      <c r="U1627" s="1" t="str">
        <f aca="false">D1627&amp;"-"&amp;E1627&amp;"-"&amp;M1627&amp;"-"&amp;O1627&amp;"-"&amp;P1627&amp;"-"&amp;Q1627</f>
        <v>SOIE-CB-132 PADDED BRA-CB-132-BLK-36-B</v>
      </c>
    </row>
    <row r="1628" customFormat="false" ht="15" hidden="true" customHeight="false" outlineLevel="0" collapsed="false">
      <c r="A1628" s="137"/>
      <c r="B1628" s="154" t="n">
        <v>8903976873758</v>
      </c>
      <c r="C1628" s="146" t="s">
        <v>2130</v>
      </c>
      <c r="D1628" s="147" t="s">
        <v>2069</v>
      </c>
      <c r="E1628" s="146" t="s">
        <v>2131</v>
      </c>
      <c r="F1628" s="148" t="s">
        <v>2071</v>
      </c>
      <c r="G1628" s="164" t="s">
        <v>573</v>
      </c>
      <c r="H1628" s="148" t="s">
        <v>42</v>
      </c>
      <c r="I1628" s="26" t="s">
        <v>43</v>
      </c>
      <c r="J1628" s="131"/>
      <c r="K1628" s="155"/>
      <c r="L1628" s="152"/>
      <c r="M1628" s="147" t="s">
        <v>2132</v>
      </c>
      <c r="N1628" s="153" t="s">
        <v>2134</v>
      </c>
      <c r="O1628" s="153" t="s">
        <v>594</v>
      </c>
      <c r="P1628" s="146" t="s">
        <v>65</v>
      </c>
      <c r="Q1628" s="161" t="s">
        <v>592</v>
      </c>
      <c r="R1628" s="158" t="n">
        <v>743.75</v>
      </c>
      <c r="S1628" s="165" t="n">
        <v>1190</v>
      </c>
      <c r="T1628" s="150" t="n">
        <v>1</v>
      </c>
      <c r="U1628" s="1" t="str">
        <f aca="false">D1628&amp;"-"&amp;E1628&amp;"-"&amp;M1628&amp;"-"&amp;O1628&amp;"-"&amp;P1628&amp;"-"&amp;Q1628</f>
        <v>SOIE-CB-132 PADDED BRA-CB-132-PINK-36-B</v>
      </c>
    </row>
    <row r="1629" customFormat="false" ht="15" hidden="true" customHeight="false" outlineLevel="0" collapsed="false">
      <c r="B1629" s="151" t="s">
        <v>2165</v>
      </c>
      <c r="C1629" s="146" t="s">
        <v>2130</v>
      </c>
      <c r="D1629" s="147" t="s">
        <v>2069</v>
      </c>
      <c r="E1629" s="146" t="s">
        <v>2131</v>
      </c>
      <c r="F1629" s="148" t="s">
        <v>2071</v>
      </c>
      <c r="G1629" s="164" t="s">
        <v>573</v>
      </c>
      <c r="H1629" s="148" t="s">
        <v>42</v>
      </c>
      <c r="I1629" s="26" t="s">
        <v>43</v>
      </c>
      <c r="J1629" s="26"/>
      <c r="K1629" s="149"/>
      <c r="L1629" s="152"/>
      <c r="M1629" s="147" t="s">
        <v>2132</v>
      </c>
      <c r="N1629" s="153" t="s">
        <v>2134</v>
      </c>
      <c r="O1629" s="153" t="s">
        <v>594</v>
      </c>
      <c r="P1629" s="146" t="s">
        <v>65</v>
      </c>
      <c r="Q1629" s="151" t="s">
        <v>595</v>
      </c>
      <c r="R1629" s="158" t="n">
        <v>743.75</v>
      </c>
      <c r="S1629" s="158" t="n">
        <v>1190</v>
      </c>
      <c r="T1629" s="150" t="n">
        <v>1</v>
      </c>
      <c r="U1629" s="1" t="str">
        <f aca="false">D1629&amp;"-"&amp;E1629&amp;"-"&amp;M1629&amp;"-"&amp;O1629&amp;"-"&amp;P1629&amp;"-"&amp;Q1629</f>
        <v>SOIE-CB-132 PADDED BRA-CB-132-PINK-36-C</v>
      </c>
    </row>
    <row r="1630" customFormat="false" ht="15" hidden="true" customHeight="false" outlineLevel="0" collapsed="false">
      <c r="B1630" s="151" t="s">
        <v>2166</v>
      </c>
      <c r="C1630" s="146" t="s">
        <v>2130</v>
      </c>
      <c r="D1630" s="147" t="s">
        <v>2069</v>
      </c>
      <c r="E1630" s="146" t="s">
        <v>2131</v>
      </c>
      <c r="F1630" s="148" t="s">
        <v>2071</v>
      </c>
      <c r="G1630" s="164" t="s">
        <v>573</v>
      </c>
      <c r="H1630" s="148" t="s">
        <v>42</v>
      </c>
      <c r="I1630" s="26" t="s">
        <v>43</v>
      </c>
      <c r="J1630" s="26"/>
      <c r="K1630" s="149"/>
      <c r="L1630" s="152"/>
      <c r="M1630" s="147" t="s">
        <v>2132</v>
      </c>
      <c r="N1630" s="153" t="s">
        <v>612</v>
      </c>
      <c r="O1630" s="153" t="s">
        <v>72</v>
      </c>
      <c r="P1630" s="146" t="s">
        <v>65</v>
      </c>
      <c r="Q1630" s="151" t="s">
        <v>595</v>
      </c>
      <c r="R1630" s="158" t="n">
        <v>743.75</v>
      </c>
      <c r="S1630" s="158" t="n">
        <v>1190</v>
      </c>
      <c r="T1630" s="150" t="n">
        <v>1</v>
      </c>
      <c r="U1630" s="1" t="str">
        <f aca="false">D1630&amp;"-"&amp;E1630&amp;"-"&amp;M1630&amp;"-"&amp;O1630&amp;"-"&amp;P1630&amp;"-"&amp;Q1630</f>
        <v>SOIE-CB-132 PADDED BRA-CB-132-WHE-36-C</v>
      </c>
    </row>
    <row r="1631" customFormat="false" ht="15" hidden="true" customHeight="false" outlineLevel="0" collapsed="false">
      <c r="B1631" s="146" t="s">
        <v>2167</v>
      </c>
      <c r="C1631" s="146" t="s">
        <v>2130</v>
      </c>
      <c r="D1631" s="147" t="s">
        <v>2069</v>
      </c>
      <c r="E1631" s="146" t="s">
        <v>2131</v>
      </c>
      <c r="F1631" s="148" t="s">
        <v>2071</v>
      </c>
      <c r="G1631" s="164" t="s">
        <v>573</v>
      </c>
      <c r="H1631" s="148" t="s">
        <v>42</v>
      </c>
      <c r="I1631" s="26" t="s">
        <v>43</v>
      </c>
      <c r="J1631" s="26"/>
      <c r="K1631" s="149"/>
      <c r="L1631" s="152"/>
      <c r="M1631" s="147" t="s">
        <v>2132</v>
      </c>
      <c r="N1631" s="147" t="s">
        <v>528</v>
      </c>
      <c r="O1631" s="147" t="s">
        <v>528</v>
      </c>
      <c r="P1631" s="146" t="s">
        <v>65</v>
      </c>
      <c r="Q1631" s="146" t="s">
        <v>595</v>
      </c>
      <c r="R1631" s="158" t="n">
        <v>743.75</v>
      </c>
      <c r="S1631" s="158" t="n">
        <v>1190</v>
      </c>
      <c r="T1631" s="150" t="n">
        <v>1</v>
      </c>
      <c r="U1631" s="1" t="str">
        <f aca="false">D1631&amp;"-"&amp;E1631&amp;"-"&amp;M1631&amp;"-"&amp;O1631&amp;"-"&amp;P1631&amp;"-"&amp;Q1631</f>
        <v>SOIE-CB-132 PADDED BRA-CB-132-RED-36-C</v>
      </c>
    </row>
    <row r="1632" customFormat="false" ht="15" hidden="true" customHeight="false" outlineLevel="0" collapsed="false">
      <c r="B1632" s="151" t="s">
        <v>2168</v>
      </c>
      <c r="C1632" s="146" t="s">
        <v>2130</v>
      </c>
      <c r="D1632" s="147" t="s">
        <v>2069</v>
      </c>
      <c r="E1632" s="146" t="s">
        <v>2131</v>
      </c>
      <c r="F1632" s="148" t="s">
        <v>2071</v>
      </c>
      <c r="G1632" s="164" t="s">
        <v>573</v>
      </c>
      <c r="H1632" s="148" t="s">
        <v>42</v>
      </c>
      <c r="I1632" s="26" t="s">
        <v>43</v>
      </c>
      <c r="J1632" s="26"/>
      <c r="K1632" s="149"/>
      <c r="L1632" s="152"/>
      <c r="M1632" s="147" t="s">
        <v>2132</v>
      </c>
      <c r="N1632" s="153" t="s">
        <v>2080</v>
      </c>
      <c r="O1632" s="153" t="s">
        <v>76</v>
      </c>
      <c r="P1632" s="146" t="s">
        <v>65</v>
      </c>
      <c r="Q1632" s="151" t="s">
        <v>595</v>
      </c>
      <c r="R1632" s="158" t="n">
        <v>743.75</v>
      </c>
      <c r="S1632" s="158" t="n">
        <v>1190</v>
      </c>
      <c r="T1632" s="150" t="n">
        <v>0</v>
      </c>
      <c r="U1632" s="1" t="str">
        <f aca="false">D1632&amp;"-"&amp;E1632&amp;"-"&amp;M1632&amp;"-"&amp;O1632&amp;"-"&amp;P1632&amp;"-"&amp;Q1632</f>
        <v>SOIE-CB-132 PADDED BRA-CB-132-BLK-36-C</v>
      </c>
    </row>
    <row r="1633" customFormat="false" ht="15" hidden="true" customHeight="false" outlineLevel="0" collapsed="false">
      <c r="B1633" s="151" t="s">
        <v>2169</v>
      </c>
      <c r="C1633" s="146" t="s">
        <v>2130</v>
      </c>
      <c r="D1633" s="147" t="s">
        <v>2069</v>
      </c>
      <c r="E1633" s="146" t="s">
        <v>2131</v>
      </c>
      <c r="F1633" s="148" t="s">
        <v>2071</v>
      </c>
      <c r="G1633" s="164" t="s">
        <v>573</v>
      </c>
      <c r="H1633" s="148" t="s">
        <v>42</v>
      </c>
      <c r="I1633" s="26" t="s">
        <v>43</v>
      </c>
      <c r="J1633" s="26"/>
      <c r="K1633" s="149"/>
      <c r="L1633" s="152"/>
      <c r="M1633" s="147" t="s">
        <v>2132</v>
      </c>
      <c r="N1633" s="153" t="s">
        <v>2138</v>
      </c>
      <c r="O1633" s="153" t="s">
        <v>2138</v>
      </c>
      <c r="P1633" s="146" t="s">
        <v>65</v>
      </c>
      <c r="Q1633" s="151" t="s">
        <v>97</v>
      </c>
      <c r="R1633" s="158" t="n">
        <v>743.75</v>
      </c>
      <c r="S1633" s="158" t="n">
        <v>1190</v>
      </c>
      <c r="T1633" s="150" t="n">
        <v>1</v>
      </c>
      <c r="U1633" s="1" t="str">
        <f aca="false">D1633&amp;"-"&amp;E1633&amp;"-"&amp;M1633&amp;"-"&amp;O1633&amp;"-"&amp;P1633&amp;"-"&amp;Q1633</f>
        <v>SOIE-CB-132 PADDED BRA-CB-132-BARK-36-D</v>
      </c>
    </row>
    <row r="1634" customFormat="false" ht="15" hidden="true" customHeight="false" outlineLevel="0" collapsed="false">
      <c r="B1634" s="151" t="s">
        <v>2170</v>
      </c>
      <c r="C1634" s="146" t="s">
        <v>2130</v>
      </c>
      <c r="D1634" s="147" t="s">
        <v>2069</v>
      </c>
      <c r="E1634" s="146" t="s">
        <v>2131</v>
      </c>
      <c r="F1634" s="148" t="s">
        <v>2071</v>
      </c>
      <c r="G1634" s="164" t="s">
        <v>573</v>
      </c>
      <c r="H1634" s="148" t="s">
        <v>42</v>
      </c>
      <c r="I1634" s="26" t="s">
        <v>43</v>
      </c>
      <c r="J1634" s="26"/>
      <c r="K1634" s="149"/>
      <c r="L1634" s="152"/>
      <c r="M1634" s="147" t="s">
        <v>2132</v>
      </c>
      <c r="N1634" s="153" t="s">
        <v>2134</v>
      </c>
      <c r="O1634" s="153" t="s">
        <v>594</v>
      </c>
      <c r="P1634" s="146" t="s">
        <v>65</v>
      </c>
      <c r="Q1634" s="151" t="s">
        <v>97</v>
      </c>
      <c r="R1634" s="158" t="n">
        <v>743.75</v>
      </c>
      <c r="S1634" s="158" t="n">
        <v>1190</v>
      </c>
      <c r="T1634" s="150" t="n">
        <v>1</v>
      </c>
      <c r="U1634" s="1" t="str">
        <f aca="false">D1634&amp;"-"&amp;E1634&amp;"-"&amp;M1634&amp;"-"&amp;O1634&amp;"-"&amp;P1634&amp;"-"&amp;Q1634</f>
        <v>SOIE-CB-132 PADDED BRA-CB-132-PINK-36-D</v>
      </c>
    </row>
    <row r="1635" customFormat="false" ht="15" hidden="true" customHeight="false" outlineLevel="0" collapsed="false">
      <c r="B1635" s="146" t="s">
        <v>2171</v>
      </c>
      <c r="C1635" s="146" t="s">
        <v>2130</v>
      </c>
      <c r="D1635" s="147" t="s">
        <v>2069</v>
      </c>
      <c r="E1635" s="146" t="s">
        <v>2131</v>
      </c>
      <c r="F1635" s="148" t="s">
        <v>2071</v>
      </c>
      <c r="G1635" s="164" t="s">
        <v>573</v>
      </c>
      <c r="H1635" s="148" t="s">
        <v>42</v>
      </c>
      <c r="I1635" s="26" t="s">
        <v>43</v>
      </c>
      <c r="J1635" s="26"/>
      <c r="K1635" s="149"/>
      <c r="L1635" s="152"/>
      <c r="M1635" s="147" t="s">
        <v>2132</v>
      </c>
      <c r="N1635" s="147" t="s">
        <v>612</v>
      </c>
      <c r="O1635" s="147" t="s">
        <v>72</v>
      </c>
      <c r="P1635" s="146" t="s">
        <v>65</v>
      </c>
      <c r="Q1635" s="146" t="s">
        <v>97</v>
      </c>
      <c r="R1635" s="158" t="n">
        <v>743.75</v>
      </c>
      <c r="S1635" s="158" t="n">
        <v>1190</v>
      </c>
      <c r="T1635" s="150" t="n">
        <v>1</v>
      </c>
      <c r="U1635" s="1" t="str">
        <f aca="false">D1635&amp;"-"&amp;E1635&amp;"-"&amp;M1635&amp;"-"&amp;O1635&amp;"-"&amp;P1635&amp;"-"&amp;Q1635</f>
        <v>SOIE-CB-132 PADDED BRA-CB-132-WHE-36-D</v>
      </c>
    </row>
    <row r="1636" customFormat="false" ht="15" hidden="true" customHeight="false" outlineLevel="0" collapsed="false">
      <c r="B1636" s="151" t="s">
        <v>2172</v>
      </c>
      <c r="C1636" s="146" t="s">
        <v>2130</v>
      </c>
      <c r="D1636" s="147" t="s">
        <v>2069</v>
      </c>
      <c r="E1636" s="146" t="s">
        <v>2131</v>
      </c>
      <c r="F1636" s="148" t="s">
        <v>2071</v>
      </c>
      <c r="G1636" s="164" t="s">
        <v>573</v>
      </c>
      <c r="H1636" s="148" t="s">
        <v>42</v>
      </c>
      <c r="I1636" s="26" t="s">
        <v>43</v>
      </c>
      <c r="J1636" s="26"/>
      <c r="K1636" s="149"/>
      <c r="L1636" s="152"/>
      <c r="M1636" s="147" t="s">
        <v>2132</v>
      </c>
      <c r="N1636" s="153" t="s">
        <v>2080</v>
      </c>
      <c r="O1636" s="153" t="s">
        <v>76</v>
      </c>
      <c r="P1636" s="146" t="s">
        <v>65</v>
      </c>
      <c r="Q1636" s="151" t="s">
        <v>97</v>
      </c>
      <c r="R1636" s="158" t="n">
        <v>743.75</v>
      </c>
      <c r="S1636" s="158" t="n">
        <v>1190</v>
      </c>
      <c r="T1636" s="150" t="n">
        <v>1</v>
      </c>
      <c r="U1636" s="1" t="str">
        <f aca="false">D1636&amp;"-"&amp;E1636&amp;"-"&amp;M1636&amp;"-"&amp;O1636&amp;"-"&amp;P1636&amp;"-"&amp;Q1636</f>
        <v>SOIE-CB-132 PADDED BRA-CB-132-BLK-36-D</v>
      </c>
    </row>
    <row r="1637" customFormat="false" ht="15" hidden="true" customHeight="false" outlineLevel="0" collapsed="false">
      <c r="B1637" s="146" t="s">
        <v>2173</v>
      </c>
      <c r="C1637" s="146" t="s">
        <v>2130</v>
      </c>
      <c r="D1637" s="147" t="s">
        <v>2069</v>
      </c>
      <c r="E1637" s="146" t="s">
        <v>2131</v>
      </c>
      <c r="F1637" s="148" t="s">
        <v>2071</v>
      </c>
      <c r="G1637" s="164" t="s">
        <v>573</v>
      </c>
      <c r="H1637" s="148" t="s">
        <v>42</v>
      </c>
      <c r="I1637" s="26" t="s">
        <v>43</v>
      </c>
      <c r="J1637" s="26"/>
      <c r="K1637" s="149"/>
      <c r="L1637" s="152"/>
      <c r="M1637" s="147" t="s">
        <v>2132</v>
      </c>
      <c r="N1637" s="147" t="s">
        <v>2138</v>
      </c>
      <c r="O1637" s="147" t="s">
        <v>2138</v>
      </c>
      <c r="P1637" s="146" t="s">
        <v>65</v>
      </c>
      <c r="Q1637" s="147" t="s">
        <v>1890</v>
      </c>
      <c r="R1637" s="158" t="n">
        <v>743.75</v>
      </c>
      <c r="S1637" s="158" t="n">
        <v>1190</v>
      </c>
      <c r="T1637" s="150" t="n">
        <v>1</v>
      </c>
      <c r="U1637" s="1" t="str">
        <f aca="false">D1637&amp;"-"&amp;E1637&amp;"-"&amp;M1637&amp;"-"&amp;O1637&amp;"-"&amp;P1637&amp;"-"&amp;Q1637</f>
        <v>SOIE-CB-132 PADDED BRA-CB-132-BARK-36-Z</v>
      </c>
    </row>
    <row r="1638" customFormat="false" ht="15" hidden="true" customHeight="false" outlineLevel="0" collapsed="false">
      <c r="B1638" s="146" t="s">
        <v>2174</v>
      </c>
      <c r="C1638" s="146" t="s">
        <v>2130</v>
      </c>
      <c r="D1638" s="147" t="s">
        <v>2069</v>
      </c>
      <c r="E1638" s="146" t="s">
        <v>2131</v>
      </c>
      <c r="F1638" s="148" t="s">
        <v>2071</v>
      </c>
      <c r="G1638" s="164" t="s">
        <v>573</v>
      </c>
      <c r="H1638" s="148" t="s">
        <v>42</v>
      </c>
      <c r="I1638" s="26" t="s">
        <v>43</v>
      </c>
      <c r="J1638" s="26"/>
      <c r="K1638" s="149"/>
      <c r="L1638" s="152"/>
      <c r="M1638" s="147" t="s">
        <v>2132</v>
      </c>
      <c r="N1638" s="147" t="s">
        <v>2134</v>
      </c>
      <c r="O1638" s="147" t="s">
        <v>594</v>
      </c>
      <c r="P1638" s="146" t="s">
        <v>65</v>
      </c>
      <c r="Q1638" s="147" t="s">
        <v>1890</v>
      </c>
      <c r="R1638" s="158" t="n">
        <v>743.75</v>
      </c>
      <c r="S1638" s="158" t="n">
        <v>1190</v>
      </c>
      <c r="T1638" s="150" t="n">
        <v>0</v>
      </c>
      <c r="U1638" s="1" t="str">
        <f aca="false">D1638&amp;"-"&amp;E1638&amp;"-"&amp;M1638&amp;"-"&amp;O1638&amp;"-"&amp;P1638&amp;"-"&amp;Q1638</f>
        <v>SOIE-CB-132 PADDED BRA-CB-132-PINK-36-Z</v>
      </c>
    </row>
    <row r="1639" customFormat="false" ht="15" hidden="true" customHeight="false" outlineLevel="0" collapsed="false">
      <c r="B1639" s="147" t="s">
        <v>2175</v>
      </c>
      <c r="C1639" s="146" t="s">
        <v>2130</v>
      </c>
      <c r="D1639" s="147" t="s">
        <v>2069</v>
      </c>
      <c r="E1639" s="146" t="s">
        <v>2131</v>
      </c>
      <c r="F1639" s="148" t="s">
        <v>2071</v>
      </c>
      <c r="G1639" s="164" t="s">
        <v>573</v>
      </c>
      <c r="H1639" s="148" t="s">
        <v>42</v>
      </c>
      <c r="I1639" s="26" t="s">
        <v>43</v>
      </c>
      <c r="J1639" s="26"/>
      <c r="K1639" s="149"/>
      <c r="L1639" s="152"/>
      <c r="M1639" s="147" t="s">
        <v>2132</v>
      </c>
      <c r="N1639" s="153" t="s">
        <v>2080</v>
      </c>
      <c r="O1639" s="147" t="s">
        <v>76</v>
      </c>
      <c r="P1639" s="147" t="s">
        <v>65</v>
      </c>
      <c r="Q1639" s="147" t="s">
        <v>1890</v>
      </c>
      <c r="R1639" s="158" t="n">
        <v>743.75</v>
      </c>
      <c r="S1639" s="158" t="n">
        <v>1190</v>
      </c>
      <c r="T1639" s="150" t="n">
        <v>1</v>
      </c>
      <c r="U1639" s="1" t="str">
        <f aca="false">D1639&amp;"-"&amp;E1639&amp;"-"&amp;M1639&amp;"-"&amp;O1639&amp;"-"&amp;P1639&amp;"-"&amp;Q1639</f>
        <v>SOIE-CB-132 PADDED BRA-CB-132-BLK-36-Z</v>
      </c>
    </row>
    <row r="1640" customFormat="false" ht="15" hidden="true" customHeight="false" outlineLevel="0" collapsed="false">
      <c r="B1640" s="151" t="s">
        <v>2176</v>
      </c>
      <c r="C1640" s="146" t="s">
        <v>2130</v>
      </c>
      <c r="D1640" s="147" t="s">
        <v>2069</v>
      </c>
      <c r="E1640" s="146" t="s">
        <v>2131</v>
      </c>
      <c r="F1640" s="148" t="s">
        <v>2071</v>
      </c>
      <c r="G1640" s="164" t="s">
        <v>573</v>
      </c>
      <c r="H1640" s="148" t="s">
        <v>42</v>
      </c>
      <c r="I1640" s="26" t="s">
        <v>43</v>
      </c>
      <c r="J1640" s="26"/>
      <c r="K1640" s="149"/>
      <c r="L1640" s="152"/>
      <c r="M1640" s="147" t="s">
        <v>2132</v>
      </c>
      <c r="N1640" s="153" t="s">
        <v>612</v>
      </c>
      <c r="O1640" s="153" t="s">
        <v>72</v>
      </c>
      <c r="P1640" s="146" t="s">
        <v>65</v>
      </c>
      <c r="Q1640" s="153" t="s">
        <v>1890</v>
      </c>
      <c r="R1640" s="158" t="n">
        <v>743.75</v>
      </c>
      <c r="S1640" s="158" t="n">
        <v>1190</v>
      </c>
      <c r="T1640" s="150" t="n">
        <v>1</v>
      </c>
      <c r="U1640" s="1" t="str">
        <f aca="false">D1640&amp;"-"&amp;E1640&amp;"-"&amp;M1640&amp;"-"&amp;O1640&amp;"-"&amp;P1640&amp;"-"&amp;Q1640</f>
        <v>SOIE-CB-132 PADDED BRA-CB-132-WHE-36-Z</v>
      </c>
    </row>
    <row r="1641" customFormat="false" ht="15" hidden="true" customHeight="false" outlineLevel="0" collapsed="false">
      <c r="B1641" s="146" t="s">
        <v>2177</v>
      </c>
      <c r="C1641" s="146" t="s">
        <v>2130</v>
      </c>
      <c r="D1641" s="147" t="s">
        <v>2069</v>
      </c>
      <c r="E1641" s="146" t="s">
        <v>2131</v>
      </c>
      <c r="F1641" s="148" t="s">
        <v>2071</v>
      </c>
      <c r="G1641" s="164" t="s">
        <v>573</v>
      </c>
      <c r="H1641" s="148" t="s">
        <v>42</v>
      </c>
      <c r="I1641" s="26" t="s">
        <v>43</v>
      </c>
      <c r="J1641" s="26"/>
      <c r="K1641" s="149"/>
      <c r="L1641" s="152"/>
      <c r="M1641" s="147" t="s">
        <v>2132</v>
      </c>
      <c r="N1641" s="147" t="s">
        <v>2138</v>
      </c>
      <c r="O1641" s="147" t="s">
        <v>2138</v>
      </c>
      <c r="P1641" s="146" t="s">
        <v>154</v>
      </c>
      <c r="Q1641" s="146" t="s">
        <v>592</v>
      </c>
      <c r="R1641" s="158" t="n">
        <v>743.75</v>
      </c>
      <c r="S1641" s="158" t="n">
        <v>1190</v>
      </c>
      <c r="T1641" s="150" t="n">
        <v>0</v>
      </c>
      <c r="U1641" s="1" t="str">
        <f aca="false">D1641&amp;"-"&amp;E1641&amp;"-"&amp;M1641&amp;"-"&amp;O1641&amp;"-"&amp;P1641&amp;"-"&amp;Q1641</f>
        <v>SOIE-CB-132 PADDED BRA-CB-132-BARK-38-B</v>
      </c>
    </row>
    <row r="1642" customFormat="false" ht="15" hidden="true" customHeight="false" outlineLevel="0" collapsed="false">
      <c r="B1642" s="146" t="s">
        <v>2178</v>
      </c>
      <c r="C1642" s="146" t="s">
        <v>2130</v>
      </c>
      <c r="D1642" s="147" t="s">
        <v>2069</v>
      </c>
      <c r="E1642" s="146" t="s">
        <v>2131</v>
      </c>
      <c r="F1642" s="148" t="s">
        <v>2071</v>
      </c>
      <c r="G1642" s="164" t="s">
        <v>573</v>
      </c>
      <c r="H1642" s="148" t="s">
        <v>42</v>
      </c>
      <c r="I1642" s="26" t="s">
        <v>43</v>
      </c>
      <c r="J1642" s="26"/>
      <c r="K1642" s="149"/>
      <c r="L1642" s="152"/>
      <c r="M1642" s="147" t="s">
        <v>2132</v>
      </c>
      <c r="N1642" s="147" t="s">
        <v>2134</v>
      </c>
      <c r="O1642" s="147" t="s">
        <v>594</v>
      </c>
      <c r="P1642" s="146" t="s">
        <v>154</v>
      </c>
      <c r="Q1642" s="146" t="s">
        <v>592</v>
      </c>
      <c r="R1642" s="158" t="n">
        <v>743.75</v>
      </c>
      <c r="S1642" s="158" t="n">
        <v>1190</v>
      </c>
      <c r="T1642" s="150" t="n">
        <v>0</v>
      </c>
      <c r="U1642" s="1" t="str">
        <f aca="false">D1642&amp;"-"&amp;E1642&amp;"-"&amp;M1642&amp;"-"&amp;O1642&amp;"-"&amp;P1642&amp;"-"&amp;Q1642</f>
        <v>SOIE-CB-132 PADDED BRA-CB-132-PINK-38-B</v>
      </c>
    </row>
    <row r="1643" customFormat="false" ht="15" hidden="true" customHeight="false" outlineLevel="0" collapsed="false">
      <c r="B1643" s="151" t="s">
        <v>2179</v>
      </c>
      <c r="C1643" s="146" t="s">
        <v>2130</v>
      </c>
      <c r="D1643" s="147" t="s">
        <v>2069</v>
      </c>
      <c r="E1643" s="146" t="s">
        <v>2131</v>
      </c>
      <c r="F1643" s="148" t="s">
        <v>2071</v>
      </c>
      <c r="G1643" s="164" t="s">
        <v>573</v>
      </c>
      <c r="H1643" s="148" t="s">
        <v>42</v>
      </c>
      <c r="I1643" s="26" t="s">
        <v>43</v>
      </c>
      <c r="J1643" s="26"/>
      <c r="K1643" s="149"/>
      <c r="L1643" s="152"/>
      <c r="M1643" s="147" t="s">
        <v>2132</v>
      </c>
      <c r="N1643" s="153" t="s">
        <v>612</v>
      </c>
      <c r="O1643" s="153" t="s">
        <v>72</v>
      </c>
      <c r="P1643" s="146" t="s">
        <v>154</v>
      </c>
      <c r="Q1643" s="151" t="s">
        <v>592</v>
      </c>
      <c r="R1643" s="158" t="n">
        <v>743.75</v>
      </c>
      <c r="S1643" s="158" t="n">
        <v>1190</v>
      </c>
      <c r="T1643" s="150" t="n">
        <v>0</v>
      </c>
      <c r="U1643" s="1" t="str">
        <f aca="false">D1643&amp;"-"&amp;E1643&amp;"-"&amp;M1643&amp;"-"&amp;O1643&amp;"-"&amp;P1643&amp;"-"&amp;Q1643</f>
        <v>SOIE-CB-132 PADDED BRA-CB-132-WHE-38-B</v>
      </c>
    </row>
    <row r="1644" customFormat="false" ht="15" hidden="true" customHeight="false" outlineLevel="0" collapsed="false">
      <c r="A1644" s="137"/>
      <c r="B1644" s="154" t="n">
        <v>8903976919081</v>
      </c>
      <c r="C1644" s="146" t="s">
        <v>2130</v>
      </c>
      <c r="D1644" s="147" t="s">
        <v>2069</v>
      </c>
      <c r="E1644" s="146" t="s">
        <v>2131</v>
      </c>
      <c r="F1644" s="148" t="s">
        <v>2071</v>
      </c>
      <c r="G1644" s="164" t="s">
        <v>573</v>
      </c>
      <c r="H1644" s="148" t="s">
        <v>42</v>
      </c>
      <c r="I1644" s="26" t="s">
        <v>43</v>
      </c>
      <c r="J1644" s="131"/>
      <c r="K1644" s="155"/>
      <c r="L1644" s="156"/>
      <c r="M1644" s="147" t="s">
        <v>2132</v>
      </c>
      <c r="N1644" s="157" t="s">
        <v>2080</v>
      </c>
      <c r="O1644" s="157" t="s">
        <v>76</v>
      </c>
      <c r="P1644" s="146" t="s">
        <v>154</v>
      </c>
      <c r="Q1644" s="157" t="s">
        <v>592</v>
      </c>
      <c r="R1644" s="158" t="n">
        <v>743.75</v>
      </c>
      <c r="S1644" s="165" t="n">
        <v>1190</v>
      </c>
      <c r="T1644" s="150" t="n">
        <v>0</v>
      </c>
      <c r="U1644" s="1" t="str">
        <f aca="false">D1644&amp;"-"&amp;E1644&amp;"-"&amp;M1644&amp;"-"&amp;O1644&amp;"-"&amp;P1644&amp;"-"&amp;Q1644</f>
        <v>SOIE-CB-132 PADDED BRA-CB-132-BLK-38-B</v>
      </c>
    </row>
    <row r="1645" customFormat="false" ht="15" hidden="true" customHeight="false" outlineLevel="0" collapsed="false">
      <c r="B1645" s="146" t="s">
        <v>2180</v>
      </c>
      <c r="C1645" s="146" t="s">
        <v>2130</v>
      </c>
      <c r="D1645" s="147" t="s">
        <v>2069</v>
      </c>
      <c r="E1645" s="146" t="s">
        <v>2131</v>
      </c>
      <c r="F1645" s="148" t="s">
        <v>2071</v>
      </c>
      <c r="G1645" s="164" t="s">
        <v>573</v>
      </c>
      <c r="H1645" s="148" t="s">
        <v>42</v>
      </c>
      <c r="I1645" s="26" t="s">
        <v>43</v>
      </c>
      <c r="J1645" s="26"/>
      <c r="K1645" s="149"/>
      <c r="L1645" s="152"/>
      <c r="M1645" s="147" t="s">
        <v>2132</v>
      </c>
      <c r="N1645" s="147" t="s">
        <v>2138</v>
      </c>
      <c r="O1645" s="147" t="s">
        <v>2138</v>
      </c>
      <c r="P1645" s="146" t="s">
        <v>154</v>
      </c>
      <c r="Q1645" s="146" t="s">
        <v>595</v>
      </c>
      <c r="R1645" s="158" t="n">
        <v>743.75</v>
      </c>
      <c r="S1645" s="158" t="n">
        <v>1040</v>
      </c>
      <c r="T1645" s="150" t="n">
        <v>0</v>
      </c>
      <c r="U1645" s="1" t="str">
        <f aca="false">D1645&amp;"-"&amp;E1645&amp;"-"&amp;M1645&amp;"-"&amp;O1645&amp;"-"&amp;P1645&amp;"-"&amp;Q1645</f>
        <v>SOIE-CB-132 PADDED BRA-CB-132-BARK-38-C</v>
      </c>
    </row>
    <row r="1646" customFormat="false" ht="15" hidden="true" customHeight="false" outlineLevel="0" collapsed="false">
      <c r="B1646" s="151" t="s">
        <v>2181</v>
      </c>
      <c r="C1646" s="146" t="s">
        <v>2130</v>
      </c>
      <c r="D1646" s="147" t="s">
        <v>2069</v>
      </c>
      <c r="E1646" s="146" t="s">
        <v>2131</v>
      </c>
      <c r="F1646" s="148" t="s">
        <v>2071</v>
      </c>
      <c r="G1646" s="164" t="s">
        <v>573</v>
      </c>
      <c r="H1646" s="148" t="s">
        <v>42</v>
      </c>
      <c r="I1646" s="26" t="s">
        <v>43</v>
      </c>
      <c r="J1646" s="26"/>
      <c r="K1646" s="149"/>
      <c r="L1646" s="152"/>
      <c r="M1646" s="147" t="s">
        <v>2132</v>
      </c>
      <c r="N1646" s="153" t="s">
        <v>2134</v>
      </c>
      <c r="O1646" s="153" t="s">
        <v>594</v>
      </c>
      <c r="P1646" s="146" t="s">
        <v>154</v>
      </c>
      <c r="Q1646" s="151" t="s">
        <v>595</v>
      </c>
      <c r="R1646" s="158" t="n">
        <v>743.75</v>
      </c>
      <c r="S1646" s="158" t="n">
        <v>1190</v>
      </c>
      <c r="T1646" s="150" t="n">
        <v>0</v>
      </c>
      <c r="U1646" s="1" t="str">
        <f aca="false">D1646&amp;"-"&amp;E1646&amp;"-"&amp;M1646&amp;"-"&amp;O1646&amp;"-"&amp;P1646&amp;"-"&amp;Q1646</f>
        <v>SOIE-CB-132 PADDED BRA-CB-132-PINK-38-C</v>
      </c>
    </row>
    <row r="1647" customFormat="false" ht="15" hidden="true" customHeight="false" outlineLevel="0" collapsed="false">
      <c r="B1647" s="151" t="s">
        <v>2182</v>
      </c>
      <c r="C1647" s="146" t="s">
        <v>2130</v>
      </c>
      <c r="D1647" s="147" t="s">
        <v>2069</v>
      </c>
      <c r="E1647" s="146" t="s">
        <v>2131</v>
      </c>
      <c r="F1647" s="148" t="s">
        <v>2071</v>
      </c>
      <c r="G1647" s="164" t="s">
        <v>573</v>
      </c>
      <c r="H1647" s="148" t="s">
        <v>42</v>
      </c>
      <c r="I1647" s="26" t="s">
        <v>43</v>
      </c>
      <c r="J1647" s="26"/>
      <c r="K1647" s="149"/>
      <c r="L1647" s="152"/>
      <c r="M1647" s="147" t="s">
        <v>2132</v>
      </c>
      <c r="N1647" s="153" t="s">
        <v>612</v>
      </c>
      <c r="O1647" s="153" t="s">
        <v>72</v>
      </c>
      <c r="P1647" s="146" t="s">
        <v>154</v>
      </c>
      <c r="Q1647" s="151" t="s">
        <v>595</v>
      </c>
      <c r="R1647" s="158" t="n">
        <v>743.75</v>
      </c>
      <c r="S1647" s="158" t="n">
        <v>1190</v>
      </c>
      <c r="T1647" s="150" t="n">
        <v>0</v>
      </c>
      <c r="U1647" s="1" t="str">
        <f aca="false">D1647&amp;"-"&amp;E1647&amp;"-"&amp;M1647&amp;"-"&amp;O1647&amp;"-"&amp;P1647&amp;"-"&amp;Q1647</f>
        <v>SOIE-CB-132 PADDED BRA-CB-132-WHE-38-C</v>
      </c>
    </row>
    <row r="1648" customFormat="false" ht="15" hidden="true" customHeight="false" outlineLevel="0" collapsed="false">
      <c r="B1648" s="151" t="s">
        <v>2183</v>
      </c>
      <c r="C1648" s="146" t="s">
        <v>2130</v>
      </c>
      <c r="D1648" s="147" t="s">
        <v>2069</v>
      </c>
      <c r="E1648" s="146" t="s">
        <v>2131</v>
      </c>
      <c r="F1648" s="148" t="s">
        <v>2071</v>
      </c>
      <c r="G1648" s="164" t="s">
        <v>573</v>
      </c>
      <c r="H1648" s="148" t="s">
        <v>42</v>
      </c>
      <c r="I1648" s="26" t="s">
        <v>43</v>
      </c>
      <c r="J1648" s="26"/>
      <c r="K1648" s="149"/>
      <c r="L1648" s="152"/>
      <c r="M1648" s="147" t="s">
        <v>2132</v>
      </c>
      <c r="N1648" s="153" t="s">
        <v>2080</v>
      </c>
      <c r="O1648" s="153" t="s">
        <v>76</v>
      </c>
      <c r="P1648" s="146" t="s">
        <v>154</v>
      </c>
      <c r="Q1648" s="151" t="s">
        <v>595</v>
      </c>
      <c r="R1648" s="158" t="n">
        <v>743.75</v>
      </c>
      <c r="S1648" s="158" t="n">
        <v>1190</v>
      </c>
      <c r="T1648" s="150" t="n">
        <v>0</v>
      </c>
      <c r="U1648" s="1" t="str">
        <f aca="false">D1648&amp;"-"&amp;E1648&amp;"-"&amp;M1648&amp;"-"&amp;O1648&amp;"-"&amp;P1648&amp;"-"&amp;Q1648</f>
        <v>SOIE-CB-132 PADDED BRA-CB-132-BLK-38-C</v>
      </c>
    </row>
    <row r="1649" customFormat="false" ht="15" hidden="true" customHeight="false" outlineLevel="0" collapsed="false">
      <c r="B1649" s="146" t="s">
        <v>2184</v>
      </c>
      <c r="C1649" s="146" t="s">
        <v>2130</v>
      </c>
      <c r="D1649" s="147" t="s">
        <v>2069</v>
      </c>
      <c r="E1649" s="146" t="s">
        <v>2131</v>
      </c>
      <c r="F1649" s="148" t="s">
        <v>2071</v>
      </c>
      <c r="G1649" s="164" t="s">
        <v>573</v>
      </c>
      <c r="H1649" s="148" t="s">
        <v>42</v>
      </c>
      <c r="I1649" s="26" t="s">
        <v>43</v>
      </c>
      <c r="J1649" s="26"/>
      <c r="K1649" s="149"/>
      <c r="L1649" s="152"/>
      <c r="M1649" s="147" t="s">
        <v>2132</v>
      </c>
      <c r="N1649" s="147" t="s">
        <v>2138</v>
      </c>
      <c r="O1649" s="147" t="s">
        <v>2138</v>
      </c>
      <c r="P1649" s="146" t="s">
        <v>154</v>
      </c>
      <c r="Q1649" s="146" t="s">
        <v>97</v>
      </c>
      <c r="R1649" s="158" t="n">
        <v>743.75</v>
      </c>
      <c r="S1649" s="158" t="n">
        <v>1190</v>
      </c>
      <c r="T1649" s="150" t="n">
        <v>0</v>
      </c>
      <c r="U1649" s="1" t="str">
        <f aca="false">D1649&amp;"-"&amp;E1649&amp;"-"&amp;M1649&amp;"-"&amp;O1649&amp;"-"&amp;P1649&amp;"-"&amp;Q1649</f>
        <v>SOIE-CB-132 PADDED BRA-CB-132-BARK-38-D</v>
      </c>
    </row>
    <row r="1650" customFormat="false" ht="15" hidden="true" customHeight="false" outlineLevel="0" collapsed="false">
      <c r="B1650" s="151" t="s">
        <v>2185</v>
      </c>
      <c r="C1650" s="146" t="s">
        <v>2130</v>
      </c>
      <c r="D1650" s="147" t="s">
        <v>2069</v>
      </c>
      <c r="E1650" s="146" t="s">
        <v>2131</v>
      </c>
      <c r="F1650" s="148" t="s">
        <v>2071</v>
      </c>
      <c r="G1650" s="164" t="s">
        <v>573</v>
      </c>
      <c r="H1650" s="148" t="s">
        <v>42</v>
      </c>
      <c r="I1650" s="26" t="s">
        <v>43</v>
      </c>
      <c r="J1650" s="26"/>
      <c r="K1650" s="149"/>
      <c r="L1650" s="152"/>
      <c r="M1650" s="147" t="s">
        <v>2132</v>
      </c>
      <c r="N1650" s="153" t="s">
        <v>2134</v>
      </c>
      <c r="O1650" s="153" t="s">
        <v>594</v>
      </c>
      <c r="P1650" s="146" t="s">
        <v>154</v>
      </c>
      <c r="Q1650" s="151" t="s">
        <v>97</v>
      </c>
      <c r="R1650" s="158" t="n">
        <v>743.75</v>
      </c>
      <c r="S1650" s="158" t="n">
        <v>1190</v>
      </c>
      <c r="T1650" s="150" t="n">
        <v>0</v>
      </c>
      <c r="U1650" s="1" t="str">
        <f aca="false">D1650&amp;"-"&amp;E1650&amp;"-"&amp;M1650&amp;"-"&amp;O1650&amp;"-"&amp;P1650&amp;"-"&amp;Q1650</f>
        <v>SOIE-CB-132 PADDED BRA-CB-132-PINK-38-D</v>
      </c>
    </row>
    <row r="1651" customFormat="false" ht="15" hidden="true" customHeight="false" outlineLevel="0" collapsed="false">
      <c r="B1651" s="146" t="s">
        <v>2186</v>
      </c>
      <c r="C1651" s="146" t="s">
        <v>2130</v>
      </c>
      <c r="D1651" s="147" t="s">
        <v>2069</v>
      </c>
      <c r="E1651" s="146" t="s">
        <v>2131</v>
      </c>
      <c r="F1651" s="148" t="s">
        <v>2071</v>
      </c>
      <c r="G1651" s="164" t="s">
        <v>573</v>
      </c>
      <c r="H1651" s="148" t="s">
        <v>42</v>
      </c>
      <c r="I1651" s="26" t="s">
        <v>43</v>
      </c>
      <c r="J1651" s="26"/>
      <c r="K1651" s="149"/>
      <c r="L1651" s="152"/>
      <c r="M1651" s="147" t="s">
        <v>2132</v>
      </c>
      <c r="N1651" s="147" t="s">
        <v>612</v>
      </c>
      <c r="O1651" s="147" t="s">
        <v>72</v>
      </c>
      <c r="P1651" s="146" t="s">
        <v>154</v>
      </c>
      <c r="Q1651" s="146" t="s">
        <v>97</v>
      </c>
      <c r="R1651" s="158" t="n">
        <v>743.75</v>
      </c>
      <c r="S1651" s="158" t="n">
        <v>1190</v>
      </c>
      <c r="T1651" s="150" t="n">
        <v>1</v>
      </c>
      <c r="U1651" s="1" t="str">
        <f aca="false">D1651&amp;"-"&amp;E1651&amp;"-"&amp;M1651&amp;"-"&amp;O1651&amp;"-"&amp;P1651&amp;"-"&amp;Q1651</f>
        <v>SOIE-CB-132 PADDED BRA-CB-132-WHE-38-D</v>
      </c>
    </row>
    <row r="1652" customFormat="false" ht="15" hidden="true" customHeight="false" outlineLevel="0" collapsed="false">
      <c r="A1652" s="137"/>
      <c r="B1652" s="154" t="n">
        <v>8903976915104</v>
      </c>
      <c r="C1652" s="146" t="s">
        <v>2130</v>
      </c>
      <c r="D1652" s="147" t="s">
        <v>2069</v>
      </c>
      <c r="E1652" s="146" t="s">
        <v>2131</v>
      </c>
      <c r="F1652" s="148" t="s">
        <v>2071</v>
      </c>
      <c r="G1652" s="164" t="s">
        <v>573</v>
      </c>
      <c r="H1652" s="148" t="s">
        <v>42</v>
      </c>
      <c r="I1652" s="26" t="s">
        <v>43</v>
      </c>
      <c r="J1652" s="131"/>
      <c r="K1652" s="155"/>
      <c r="L1652" s="156"/>
      <c r="M1652" s="147" t="s">
        <v>2132</v>
      </c>
      <c r="N1652" s="161" t="s">
        <v>2080</v>
      </c>
      <c r="O1652" s="161" t="s">
        <v>76</v>
      </c>
      <c r="P1652" s="146" t="s">
        <v>154</v>
      </c>
      <c r="Q1652" s="161" t="s">
        <v>97</v>
      </c>
      <c r="R1652" s="158" t="n">
        <v>743.75</v>
      </c>
      <c r="S1652" s="165" t="n">
        <v>1190</v>
      </c>
      <c r="T1652" s="150" t="n">
        <v>0</v>
      </c>
      <c r="U1652" s="1" t="str">
        <f aca="false">D1652&amp;"-"&amp;E1652&amp;"-"&amp;M1652&amp;"-"&amp;O1652&amp;"-"&amp;P1652&amp;"-"&amp;Q1652</f>
        <v>SOIE-CB-132 PADDED BRA-CB-132-BLK-38-D</v>
      </c>
    </row>
    <row r="1653" customFormat="false" ht="15" hidden="true" customHeight="false" outlineLevel="0" collapsed="false">
      <c r="B1653" s="146" t="s">
        <v>2187</v>
      </c>
      <c r="C1653" s="146" t="s">
        <v>2068</v>
      </c>
      <c r="D1653" s="147" t="s">
        <v>2069</v>
      </c>
      <c r="E1653" s="146" t="s">
        <v>2188</v>
      </c>
      <c r="F1653" s="148" t="s">
        <v>2071</v>
      </c>
      <c r="G1653" s="164" t="s">
        <v>573</v>
      </c>
      <c r="H1653" s="148" t="s">
        <v>42</v>
      </c>
      <c r="I1653" s="26" t="s">
        <v>43</v>
      </c>
      <c r="J1653" s="26"/>
      <c r="K1653" s="149"/>
      <c r="L1653" s="152"/>
      <c r="M1653" s="146" t="s">
        <v>2189</v>
      </c>
      <c r="N1653" s="147" t="s">
        <v>612</v>
      </c>
      <c r="O1653" s="147" t="s">
        <v>72</v>
      </c>
      <c r="P1653" s="151" t="s">
        <v>134</v>
      </c>
      <c r="Q1653" s="162" t="s">
        <v>592</v>
      </c>
      <c r="R1653" s="158" t="n">
        <v>675.68</v>
      </c>
      <c r="S1653" s="158" t="n">
        <v>990</v>
      </c>
      <c r="T1653" s="150" t="n">
        <v>1</v>
      </c>
      <c r="U1653" s="1" t="str">
        <f aca="false">D1653&amp;"-"&amp;E1653&amp;"-"&amp;M1653&amp;"-"&amp;O1653&amp;"-"&amp;P1653&amp;"-"&amp;Q1653</f>
        <v>SOIE-FB-508 UNDER WIRE PADDED BRA-FB-508-WHE-34-B</v>
      </c>
    </row>
    <row r="1654" customFormat="false" ht="15" hidden="true" customHeight="false" outlineLevel="0" collapsed="false">
      <c r="B1654" s="146" t="s">
        <v>2190</v>
      </c>
      <c r="C1654" s="146" t="s">
        <v>2068</v>
      </c>
      <c r="D1654" s="147" t="s">
        <v>2069</v>
      </c>
      <c r="E1654" s="146" t="s">
        <v>2188</v>
      </c>
      <c r="F1654" s="148" t="s">
        <v>2071</v>
      </c>
      <c r="G1654" s="164" t="s">
        <v>573</v>
      </c>
      <c r="H1654" s="148" t="s">
        <v>42</v>
      </c>
      <c r="I1654" s="26" t="s">
        <v>43</v>
      </c>
      <c r="J1654" s="26"/>
      <c r="K1654" s="149"/>
      <c r="L1654" s="149"/>
      <c r="M1654" s="146" t="s">
        <v>2189</v>
      </c>
      <c r="N1654" s="146" t="s">
        <v>2191</v>
      </c>
      <c r="O1654" s="147" t="s">
        <v>528</v>
      </c>
      <c r="P1654" s="151" t="s">
        <v>134</v>
      </c>
      <c r="Q1654" s="162" t="s">
        <v>592</v>
      </c>
      <c r="R1654" s="158" t="n">
        <v>675.68</v>
      </c>
      <c r="S1654" s="158" t="n">
        <v>990</v>
      </c>
      <c r="T1654" s="150" t="n">
        <v>1</v>
      </c>
      <c r="U1654" s="1" t="str">
        <f aca="false">D1654&amp;"-"&amp;E1654&amp;"-"&amp;M1654&amp;"-"&amp;O1654&amp;"-"&amp;P1654&amp;"-"&amp;Q1654</f>
        <v>SOIE-FB-508 UNDER WIRE PADDED BRA-FB-508-RED-34-B</v>
      </c>
    </row>
    <row r="1655" customFormat="false" ht="15" hidden="true" customHeight="false" outlineLevel="0" collapsed="false">
      <c r="B1655" s="146" t="s">
        <v>2192</v>
      </c>
      <c r="C1655" s="146" t="s">
        <v>2068</v>
      </c>
      <c r="D1655" s="147" t="s">
        <v>2069</v>
      </c>
      <c r="E1655" s="146" t="s">
        <v>2188</v>
      </c>
      <c r="F1655" s="148" t="s">
        <v>2071</v>
      </c>
      <c r="G1655" s="164" t="s">
        <v>573</v>
      </c>
      <c r="H1655" s="148" t="s">
        <v>42</v>
      </c>
      <c r="I1655" s="26" t="s">
        <v>43</v>
      </c>
      <c r="J1655" s="26"/>
      <c r="K1655" s="149"/>
      <c r="L1655" s="149"/>
      <c r="M1655" s="146" t="s">
        <v>2189</v>
      </c>
      <c r="N1655" s="146" t="s">
        <v>2193</v>
      </c>
      <c r="O1655" s="147" t="s">
        <v>465</v>
      </c>
      <c r="P1655" s="151" t="s">
        <v>134</v>
      </c>
      <c r="Q1655" s="162" t="s">
        <v>595</v>
      </c>
      <c r="R1655" s="158" t="n">
        <v>675.68</v>
      </c>
      <c r="S1655" s="158" t="n">
        <v>990</v>
      </c>
      <c r="T1655" s="150" t="n">
        <v>1</v>
      </c>
      <c r="U1655" s="1" t="str">
        <f aca="false">D1655&amp;"-"&amp;E1655&amp;"-"&amp;M1655&amp;"-"&amp;O1655&amp;"-"&amp;P1655&amp;"-"&amp;Q1655</f>
        <v>SOIE-FB-508 UNDER WIRE PADDED BRA-FB-508-SKIN-34-C</v>
      </c>
    </row>
    <row r="1656" customFormat="false" ht="15" hidden="true" customHeight="false" outlineLevel="0" collapsed="false">
      <c r="B1656" s="146" t="s">
        <v>2194</v>
      </c>
      <c r="C1656" s="146" t="s">
        <v>2068</v>
      </c>
      <c r="D1656" s="147" t="s">
        <v>2069</v>
      </c>
      <c r="E1656" s="146" t="s">
        <v>2188</v>
      </c>
      <c r="F1656" s="148" t="s">
        <v>2071</v>
      </c>
      <c r="G1656" s="164" t="s">
        <v>573</v>
      </c>
      <c r="H1656" s="148" t="s">
        <v>42</v>
      </c>
      <c r="I1656" s="26" t="s">
        <v>43</v>
      </c>
      <c r="J1656" s="26"/>
      <c r="K1656" s="149"/>
      <c r="L1656" s="149"/>
      <c r="M1656" s="146" t="s">
        <v>2189</v>
      </c>
      <c r="N1656" s="146" t="s">
        <v>2195</v>
      </c>
      <c r="O1656" s="147" t="s">
        <v>465</v>
      </c>
      <c r="P1656" s="151" t="s">
        <v>134</v>
      </c>
      <c r="Q1656" s="162" t="s">
        <v>97</v>
      </c>
      <c r="R1656" s="158" t="n">
        <v>675.68</v>
      </c>
      <c r="S1656" s="158" t="n">
        <v>990</v>
      </c>
      <c r="T1656" s="150" t="n">
        <v>1</v>
      </c>
      <c r="U1656" s="1" t="str">
        <f aca="false">D1656&amp;"-"&amp;E1656&amp;"-"&amp;M1656&amp;"-"&amp;O1656&amp;"-"&amp;P1656&amp;"-"&amp;Q1656</f>
        <v>SOIE-FB-508 UNDER WIRE PADDED BRA-FB-508-SKIN-34-D</v>
      </c>
    </row>
    <row r="1657" customFormat="false" ht="15" hidden="true" customHeight="false" outlineLevel="0" collapsed="false">
      <c r="B1657" s="151" t="s">
        <v>2196</v>
      </c>
      <c r="C1657" s="146" t="s">
        <v>2068</v>
      </c>
      <c r="D1657" s="147" t="s">
        <v>2069</v>
      </c>
      <c r="E1657" s="146" t="s">
        <v>2188</v>
      </c>
      <c r="F1657" s="148" t="s">
        <v>2071</v>
      </c>
      <c r="G1657" s="164" t="s">
        <v>573</v>
      </c>
      <c r="H1657" s="148" t="s">
        <v>42</v>
      </c>
      <c r="I1657" s="26" t="s">
        <v>43</v>
      </c>
      <c r="J1657" s="26"/>
      <c r="K1657" s="149"/>
      <c r="L1657" s="152"/>
      <c r="M1657" s="146" t="s">
        <v>2189</v>
      </c>
      <c r="N1657" s="153" t="s">
        <v>2080</v>
      </c>
      <c r="O1657" s="161" t="s">
        <v>76</v>
      </c>
      <c r="P1657" s="151" t="s">
        <v>134</v>
      </c>
      <c r="Q1657" s="162" t="s">
        <v>97</v>
      </c>
      <c r="R1657" s="158" t="n">
        <v>675.68</v>
      </c>
      <c r="S1657" s="158" t="n">
        <v>990</v>
      </c>
      <c r="T1657" s="150" t="n">
        <v>1</v>
      </c>
      <c r="U1657" s="1" t="str">
        <f aca="false">D1657&amp;"-"&amp;E1657&amp;"-"&amp;M1657&amp;"-"&amp;O1657&amp;"-"&amp;P1657&amp;"-"&amp;Q1657</f>
        <v>SOIE-FB-508 UNDER WIRE PADDED BRA-FB-508-BLK-34-D</v>
      </c>
    </row>
    <row r="1658" customFormat="false" ht="15" hidden="true" customHeight="false" outlineLevel="0" collapsed="false">
      <c r="B1658" s="151" t="s">
        <v>2197</v>
      </c>
      <c r="C1658" s="146" t="s">
        <v>2068</v>
      </c>
      <c r="D1658" s="147" t="s">
        <v>2069</v>
      </c>
      <c r="E1658" s="146" t="s">
        <v>2188</v>
      </c>
      <c r="F1658" s="148" t="s">
        <v>2071</v>
      </c>
      <c r="G1658" s="164" t="s">
        <v>573</v>
      </c>
      <c r="H1658" s="148" t="s">
        <v>42</v>
      </c>
      <c r="I1658" s="26" t="s">
        <v>43</v>
      </c>
      <c r="J1658" s="26"/>
      <c r="K1658" s="149"/>
      <c r="L1658" s="149"/>
      <c r="M1658" s="146" t="s">
        <v>2189</v>
      </c>
      <c r="N1658" s="151" t="s">
        <v>2191</v>
      </c>
      <c r="O1658" s="153" t="s">
        <v>528</v>
      </c>
      <c r="P1658" s="151" t="s">
        <v>134</v>
      </c>
      <c r="Q1658" s="162" t="s">
        <v>97</v>
      </c>
      <c r="R1658" s="158" t="n">
        <v>675.68</v>
      </c>
      <c r="S1658" s="158" t="n">
        <v>990</v>
      </c>
      <c r="T1658" s="150" t="n">
        <v>1</v>
      </c>
      <c r="U1658" s="1" t="str">
        <f aca="false">D1658&amp;"-"&amp;E1658&amp;"-"&amp;M1658&amp;"-"&amp;O1658&amp;"-"&amp;P1658&amp;"-"&amp;Q1658</f>
        <v>SOIE-FB-508 UNDER WIRE PADDED BRA-FB-508-RED-34-D</v>
      </c>
    </row>
    <row r="1659" customFormat="false" ht="15" hidden="true" customHeight="false" outlineLevel="0" collapsed="false">
      <c r="A1659" s="137"/>
      <c r="B1659" s="154" t="n">
        <v>8903976910255</v>
      </c>
      <c r="C1659" s="146" t="s">
        <v>2068</v>
      </c>
      <c r="D1659" s="147" t="s">
        <v>2069</v>
      </c>
      <c r="E1659" s="150" t="s">
        <v>2198</v>
      </c>
      <c r="F1659" s="148" t="s">
        <v>2071</v>
      </c>
      <c r="G1659" s="164" t="s">
        <v>573</v>
      </c>
      <c r="H1659" s="148" t="s">
        <v>42</v>
      </c>
      <c r="I1659" s="26" t="s">
        <v>43</v>
      </c>
      <c r="J1659" s="131"/>
      <c r="K1659" s="155"/>
      <c r="L1659" s="156"/>
      <c r="M1659" s="166" t="s">
        <v>2199</v>
      </c>
      <c r="N1659" s="157" t="s">
        <v>868</v>
      </c>
      <c r="O1659" s="157" t="s">
        <v>465</v>
      </c>
      <c r="P1659" s="153" t="s">
        <v>92</v>
      </c>
      <c r="Q1659" s="167" t="s">
        <v>592</v>
      </c>
      <c r="R1659" s="165" t="n">
        <v>843.68</v>
      </c>
      <c r="S1659" s="165" t="n">
        <v>1490</v>
      </c>
      <c r="T1659" s="150" t="n">
        <v>1</v>
      </c>
      <c r="U1659" s="1" t="str">
        <f aca="false">D1659&amp;"-"&amp;E1659&amp;"-"&amp;M1659&amp;"-"&amp;O1659&amp;"-"&amp;P1659&amp;"-"&amp;Q1659</f>
        <v>SOIE-FB-541 UNDER WIRE PADDED BRA-FB-541-SKIN-32-B</v>
      </c>
    </row>
    <row r="1660" customFormat="false" ht="15" hidden="true" customHeight="false" outlineLevel="0" collapsed="false">
      <c r="A1660" s="137"/>
      <c r="B1660" s="168" t="n">
        <v>8903976886130</v>
      </c>
      <c r="C1660" s="146" t="s">
        <v>2068</v>
      </c>
      <c r="D1660" s="147" t="s">
        <v>2069</v>
      </c>
      <c r="E1660" s="150" t="s">
        <v>2198</v>
      </c>
      <c r="F1660" s="148" t="s">
        <v>2071</v>
      </c>
      <c r="G1660" s="164" t="s">
        <v>573</v>
      </c>
      <c r="H1660" s="148" t="s">
        <v>42</v>
      </c>
      <c r="I1660" s="26" t="s">
        <v>43</v>
      </c>
      <c r="J1660" s="131"/>
      <c r="K1660" s="155"/>
      <c r="L1660" s="149"/>
      <c r="M1660" s="166" t="s">
        <v>2199</v>
      </c>
      <c r="N1660" s="146" t="s">
        <v>2191</v>
      </c>
      <c r="O1660" s="157" t="s">
        <v>528</v>
      </c>
      <c r="P1660" s="153" t="s">
        <v>92</v>
      </c>
      <c r="Q1660" s="167" t="s">
        <v>592</v>
      </c>
      <c r="R1660" s="165" t="n">
        <v>843.68</v>
      </c>
      <c r="S1660" s="165" t="n">
        <v>1490</v>
      </c>
      <c r="T1660" s="150" t="n">
        <v>1</v>
      </c>
      <c r="U1660" s="1" t="str">
        <f aca="false">D1660&amp;"-"&amp;E1660&amp;"-"&amp;M1660&amp;"-"&amp;O1660&amp;"-"&amp;P1660&amp;"-"&amp;Q1660</f>
        <v>SOIE-FB-541 UNDER WIRE PADDED BRA-FB-541-RED-32-B</v>
      </c>
    </row>
    <row r="1661" customFormat="false" ht="15" hidden="true" customHeight="false" outlineLevel="0" collapsed="false">
      <c r="A1661" s="137"/>
      <c r="B1661" s="154" t="n">
        <v>890397688614</v>
      </c>
      <c r="C1661" s="146" t="s">
        <v>2068</v>
      </c>
      <c r="D1661" s="147" t="s">
        <v>2069</v>
      </c>
      <c r="E1661" s="150" t="s">
        <v>2198</v>
      </c>
      <c r="F1661" s="148" t="s">
        <v>2071</v>
      </c>
      <c r="G1661" s="164" t="s">
        <v>573</v>
      </c>
      <c r="H1661" s="148" t="s">
        <v>42</v>
      </c>
      <c r="I1661" s="26" t="s">
        <v>43</v>
      </c>
      <c r="J1661" s="131"/>
      <c r="K1661" s="155"/>
      <c r="L1661" s="149"/>
      <c r="M1661" s="166" t="s">
        <v>2199</v>
      </c>
      <c r="N1661" s="146" t="s">
        <v>2191</v>
      </c>
      <c r="O1661" s="157" t="s">
        <v>528</v>
      </c>
      <c r="P1661" s="153" t="s">
        <v>92</v>
      </c>
      <c r="Q1661" s="167" t="s">
        <v>97</v>
      </c>
      <c r="R1661" s="165" t="n">
        <v>843.68</v>
      </c>
      <c r="S1661" s="165" t="n">
        <v>1490</v>
      </c>
      <c r="T1661" s="150" t="n">
        <v>1</v>
      </c>
      <c r="U1661" s="1" t="str">
        <f aca="false">D1661&amp;"-"&amp;E1661&amp;"-"&amp;M1661&amp;"-"&amp;O1661&amp;"-"&amp;P1661&amp;"-"&amp;Q1661</f>
        <v>SOIE-FB-541 UNDER WIRE PADDED BRA-FB-541-RED-32-D</v>
      </c>
    </row>
    <row r="1662" customFormat="false" ht="15" hidden="true" customHeight="false" outlineLevel="0" collapsed="false">
      <c r="A1662" s="137"/>
      <c r="B1662" s="154" t="n">
        <v>8903976886178</v>
      </c>
      <c r="C1662" s="146" t="s">
        <v>2068</v>
      </c>
      <c r="D1662" s="147" t="s">
        <v>2069</v>
      </c>
      <c r="E1662" s="150" t="s">
        <v>2198</v>
      </c>
      <c r="F1662" s="148" t="s">
        <v>2071</v>
      </c>
      <c r="G1662" s="164" t="s">
        <v>573</v>
      </c>
      <c r="H1662" s="148" t="s">
        <v>42</v>
      </c>
      <c r="I1662" s="26" t="s">
        <v>43</v>
      </c>
      <c r="J1662" s="131"/>
      <c r="K1662" s="155"/>
      <c r="L1662" s="149"/>
      <c r="M1662" s="166" t="s">
        <v>2199</v>
      </c>
      <c r="N1662" s="146" t="s">
        <v>2191</v>
      </c>
      <c r="O1662" s="157" t="s">
        <v>528</v>
      </c>
      <c r="P1662" s="151" t="s">
        <v>134</v>
      </c>
      <c r="Q1662" s="167" t="s">
        <v>595</v>
      </c>
      <c r="R1662" s="165" t="n">
        <v>843.68</v>
      </c>
      <c r="S1662" s="165" t="n">
        <v>1490</v>
      </c>
      <c r="T1662" s="150" t="n">
        <v>1</v>
      </c>
      <c r="U1662" s="1" t="str">
        <f aca="false">D1662&amp;"-"&amp;E1662&amp;"-"&amp;M1662&amp;"-"&amp;O1662&amp;"-"&amp;P1662&amp;"-"&amp;Q1662</f>
        <v>SOIE-FB-541 UNDER WIRE PADDED BRA-FB-541-RED-34-C</v>
      </c>
    </row>
    <row r="1663" customFormat="false" ht="15" hidden="true" customHeight="false" outlineLevel="0" collapsed="false">
      <c r="A1663" s="137"/>
      <c r="B1663" s="154" t="n">
        <v>8903976890748</v>
      </c>
      <c r="C1663" s="146" t="s">
        <v>2068</v>
      </c>
      <c r="D1663" s="147" t="s">
        <v>2069</v>
      </c>
      <c r="E1663" s="150" t="s">
        <v>2198</v>
      </c>
      <c r="F1663" s="148" t="s">
        <v>2071</v>
      </c>
      <c r="G1663" s="164" t="s">
        <v>573</v>
      </c>
      <c r="H1663" s="148" t="s">
        <v>42</v>
      </c>
      <c r="I1663" s="26" t="s">
        <v>43</v>
      </c>
      <c r="J1663" s="131"/>
      <c r="K1663" s="155"/>
      <c r="L1663" s="156"/>
      <c r="M1663" s="157" t="s">
        <v>2200</v>
      </c>
      <c r="N1663" s="157" t="s">
        <v>2201</v>
      </c>
      <c r="O1663" s="157" t="s">
        <v>89</v>
      </c>
      <c r="P1663" s="151" t="s">
        <v>134</v>
      </c>
      <c r="Q1663" s="167" t="s">
        <v>595</v>
      </c>
      <c r="R1663" s="165" t="n">
        <v>743.75</v>
      </c>
      <c r="S1663" s="165" t="n">
        <v>1290</v>
      </c>
      <c r="T1663" s="150" t="n">
        <v>1</v>
      </c>
      <c r="U1663" s="1" t="str">
        <f aca="false">D1663&amp;"-"&amp;E1663&amp;"-"&amp;M1663&amp;"-"&amp;O1663&amp;"-"&amp;P1663&amp;"-"&amp;Q1663</f>
        <v>SOIE-FB-541 UNDER WIRE PADDED BRA-FB-551-BLUE-34-C</v>
      </c>
    </row>
    <row r="1664" customFormat="false" ht="15" hidden="true" customHeight="false" outlineLevel="0" collapsed="false">
      <c r="A1664" s="137"/>
      <c r="B1664" s="154" t="n">
        <v>8903976890786</v>
      </c>
      <c r="C1664" s="146" t="s">
        <v>2068</v>
      </c>
      <c r="D1664" s="147" t="s">
        <v>2069</v>
      </c>
      <c r="E1664" s="150" t="s">
        <v>2198</v>
      </c>
      <c r="F1664" s="148" t="s">
        <v>2071</v>
      </c>
      <c r="G1664" s="164" t="s">
        <v>573</v>
      </c>
      <c r="H1664" s="148" t="s">
        <v>42</v>
      </c>
      <c r="I1664" s="26" t="s">
        <v>43</v>
      </c>
      <c r="J1664" s="131"/>
      <c r="K1664" s="155"/>
      <c r="L1664" s="156"/>
      <c r="M1664" s="157" t="s">
        <v>2200</v>
      </c>
      <c r="N1664" s="157" t="s">
        <v>2201</v>
      </c>
      <c r="O1664" s="157" t="s">
        <v>89</v>
      </c>
      <c r="P1664" s="146" t="s">
        <v>65</v>
      </c>
      <c r="Q1664" s="167" t="s">
        <v>595</v>
      </c>
      <c r="R1664" s="165" t="n">
        <v>743.75</v>
      </c>
      <c r="S1664" s="165" t="n">
        <v>1290</v>
      </c>
      <c r="T1664" s="150" t="n">
        <v>1</v>
      </c>
      <c r="U1664" s="1" t="str">
        <f aca="false">D1664&amp;"-"&amp;E1664&amp;"-"&amp;M1664&amp;"-"&amp;O1664&amp;"-"&amp;P1664&amp;"-"&amp;Q1664</f>
        <v>SOIE-FB-541 UNDER WIRE PADDED BRA-FB-551-BLUE-36-C</v>
      </c>
    </row>
    <row r="1665" customFormat="false" ht="15" hidden="true" customHeight="false" outlineLevel="0" collapsed="false">
      <c r="B1665" s="151" t="s">
        <v>2202</v>
      </c>
      <c r="C1665" s="146" t="s">
        <v>2068</v>
      </c>
      <c r="D1665" s="147" t="s">
        <v>2069</v>
      </c>
      <c r="E1665" s="151" t="s">
        <v>2203</v>
      </c>
      <c r="F1665" s="148" t="s">
        <v>2071</v>
      </c>
      <c r="G1665" s="164" t="s">
        <v>573</v>
      </c>
      <c r="H1665" s="148" t="s">
        <v>42</v>
      </c>
      <c r="I1665" s="26" t="s">
        <v>43</v>
      </c>
      <c r="J1665" s="26"/>
      <c r="K1665" s="149"/>
      <c r="L1665" s="149"/>
      <c r="M1665" s="153" t="s">
        <v>2204</v>
      </c>
      <c r="N1665" s="151" t="s">
        <v>2205</v>
      </c>
      <c r="O1665" s="151" t="s">
        <v>2205</v>
      </c>
      <c r="P1665" s="151" t="s">
        <v>92</v>
      </c>
      <c r="Q1665" s="151" t="s">
        <v>592</v>
      </c>
      <c r="R1665" s="158" t="n">
        <v>663.3</v>
      </c>
      <c r="S1665" s="158" t="n">
        <v>990</v>
      </c>
      <c r="T1665" s="150" t="n">
        <v>1</v>
      </c>
      <c r="U1665" s="1" t="str">
        <f aca="false">D1665&amp;"-"&amp;E1665&amp;"-"&amp;M1665&amp;"-"&amp;O1665&amp;"-"&amp;P1665&amp;"-"&amp;Q1665</f>
        <v>SOIE-CB-131 UNDER WIRE PADDED BRA-CB-131-PUPRLE-32-B</v>
      </c>
    </row>
    <row r="1666" customFormat="false" ht="15" hidden="true" customHeight="false" outlineLevel="0" collapsed="false">
      <c r="B1666" s="146" t="s">
        <v>2206</v>
      </c>
      <c r="C1666" s="146" t="s">
        <v>2068</v>
      </c>
      <c r="D1666" s="147" t="s">
        <v>2069</v>
      </c>
      <c r="E1666" s="151" t="s">
        <v>2203</v>
      </c>
      <c r="F1666" s="148" t="s">
        <v>2071</v>
      </c>
      <c r="G1666" s="164" t="s">
        <v>573</v>
      </c>
      <c r="H1666" s="148" t="s">
        <v>42</v>
      </c>
      <c r="I1666" s="26" t="s">
        <v>43</v>
      </c>
      <c r="J1666" s="26"/>
      <c r="K1666" s="149"/>
      <c r="L1666" s="149"/>
      <c r="M1666" s="153" t="s">
        <v>2204</v>
      </c>
      <c r="N1666" s="146" t="s">
        <v>2207</v>
      </c>
      <c r="O1666" s="147" t="s">
        <v>89</v>
      </c>
      <c r="P1666" s="151" t="s">
        <v>92</v>
      </c>
      <c r="Q1666" s="146" t="s">
        <v>592</v>
      </c>
      <c r="R1666" s="158" t="n">
        <v>663.3</v>
      </c>
      <c r="S1666" s="158" t="n">
        <v>990</v>
      </c>
      <c r="T1666" s="150" t="n">
        <v>1</v>
      </c>
      <c r="U1666" s="1" t="str">
        <f aca="false">D1666&amp;"-"&amp;E1666&amp;"-"&amp;M1666&amp;"-"&amp;O1666&amp;"-"&amp;P1666&amp;"-"&amp;Q1666</f>
        <v>SOIE-CB-131 UNDER WIRE PADDED BRA-CB-131-BLUE-32-B</v>
      </c>
    </row>
    <row r="1667" customFormat="false" ht="15" hidden="true" customHeight="false" outlineLevel="0" collapsed="false">
      <c r="B1667" s="151" t="s">
        <v>2208</v>
      </c>
      <c r="C1667" s="146" t="s">
        <v>2068</v>
      </c>
      <c r="D1667" s="147" t="s">
        <v>2069</v>
      </c>
      <c r="E1667" s="151" t="s">
        <v>2203</v>
      </c>
      <c r="F1667" s="148" t="s">
        <v>2071</v>
      </c>
      <c r="G1667" s="164" t="s">
        <v>573</v>
      </c>
      <c r="H1667" s="148" t="s">
        <v>42</v>
      </c>
      <c r="I1667" s="26" t="s">
        <v>43</v>
      </c>
      <c r="J1667" s="26"/>
      <c r="K1667" s="149"/>
      <c r="L1667" s="149"/>
      <c r="M1667" s="153" t="s">
        <v>2204</v>
      </c>
      <c r="N1667" s="151" t="s">
        <v>2138</v>
      </c>
      <c r="O1667" s="153" t="s">
        <v>2138</v>
      </c>
      <c r="P1667" s="151" t="s">
        <v>92</v>
      </c>
      <c r="Q1667" s="151" t="s">
        <v>592</v>
      </c>
      <c r="R1667" s="158" t="n">
        <v>663.3</v>
      </c>
      <c r="S1667" s="158" t="n">
        <v>990</v>
      </c>
      <c r="T1667" s="150" t="n">
        <v>0</v>
      </c>
      <c r="U1667" s="1" t="str">
        <f aca="false">D1667&amp;"-"&amp;E1667&amp;"-"&amp;M1667&amp;"-"&amp;O1667&amp;"-"&amp;P1667&amp;"-"&amp;Q1667</f>
        <v>SOIE-CB-131 UNDER WIRE PADDED BRA-CB-131-BARK-32-B</v>
      </c>
    </row>
    <row r="1668" customFormat="false" ht="15" hidden="true" customHeight="false" outlineLevel="0" collapsed="false">
      <c r="B1668" s="151" t="s">
        <v>2209</v>
      </c>
      <c r="C1668" s="146" t="s">
        <v>2068</v>
      </c>
      <c r="D1668" s="147" t="s">
        <v>2069</v>
      </c>
      <c r="E1668" s="151" t="s">
        <v>2203</v>
      </c>
      <c r="F1668" s="148" t="s">
        <v>2071</v>
      </c>
      <c r="G1668" s="164" t="s">
        <v>573</v>
      </c>
      <c r="H1668" s="148" t="s">
        <v>42</v>
      </c>
      <c r="I1668" s="26" t="s">
        <v>43</v>
      </c>
      <c r="J1668" s="26"/>
      <c r="K1668" s="149"/>
      <c r="L1668" s="149"/>
      <c r="M1668" s="153" t="s">
        <v>2204</v>
      </c>
      <c r="N1668" s="151" t="s">
        <v>2138</v>
      </c>
      <c r="O1668" s="153" t="s">
        <v>2138</v>
      </c>
      <c r="P1668" s="151" t="s">
        <v>92</v>
      </c>
      <c r="Q1668" s="151" t="s">
        <v>595</v>
      </c>
      <c r="R1668" s="158" t="n">
        <v>663.3</v>
      </c>
      <c r="S1668" s="158" t="n">
        <v>990</v>
      </c>
      <c r="T1668" s="150" t="n">
        <v>1</v>
      </c>
      <c r="U1668" s="1" t="str">
        <f aca="false">D1668&amp;"-"&amp;E1668&amp;"-"&amp;M1668&amp;"-"&amp;O1668&amp;"-"&amp;P1668&amp;"-"&amp;Q1668</f>
        <v>SOIE-CB-131 UNDER WIRE PADDED BRA-CB-131-BARK-32-C</v>
      </c>
    </row>
    <row r="1669" customFormat="false" ht="15" hidden="true" customHeight="false" outlineLevel="0" collapsed="false">
      <c r="B1669" s="146" t="s">
        <v>2210</v>
      </c>
      <c r="C1669" s="146" t="s">
        <v>2068</v>
      </c>
      <c r="D1669" s="147" t="s">
        <v>2069</v>
      </c>
      <c r="E1669" s="151" t="s">
        <v>2203</v>
      </c>
      <c r="F1669" s="148" t="s">
        <v>2071</v>
      </c>
      <c r="G1669" s="164" t="s">
        <v>573</v>
      </c>
      <c r="H1669" s="148" t="s">
        <v>42</v>
      </c>
      <c r="I1669" s="26" t="s">
        <v>43</v>
      </c>
      <c r="J1669" s="26"/>
      <c r="K1669" s="149"/>
      <c r="L1669" s="149"/>
      <c r="M1669" s="153" t="s">
        <v>2204</v>
      </c>
      <c r="N1669" s="146" t="s">
        <v>2207</v>
      </c>
      <c r="O1669" s="147" t="s">
        <v>89</v>
      </c>
      <c r="P1669" s="146" t="s">
        <v>92</v>
      </c>
      <c r="Q1669" s="146" t="s">
        <v>595</v>
      </c>
      <c r="R1669" s="158" t="n">
        <v>663.3</v>
      </c>
      <c r="S1669" s="158" t="n">
        <v>990</v>
      </c>
      <c r="T1669" s="150" t="n">
        <v>1</v>
      </c>
      <c r="U1669" s="1" t="str">
        <f aca="false">D1669&amp;"-"&amp;E1669&amp;"-"&amp;M1669&amp;"-"&amp;O1669&amp;"-"&amp;P1669&amp;"-"&amp;Q1669</f>
        <v>SOIE-CB-131 UNDER WIRE PADDED BRA-CB-131-BLUE-32-C</v>
      </c>
    </row>
    <row r="1670" customFormat="false" ht="15" hidden="true" customHeight="false" outlineLevel="0" collapsed="false">
      <c r="A1670" s="137"/>
      <c r="B1670" s="154" t="n">
        <v>890397688793</v>
      </c>
      <c r="C1670" s="146" t="s">
        <v>2068</v>
      </c>
      <c r="D1670" s="147" t="s">
        <v>2069</v>
      </c>
      <c r="E1670" s="151" t="s">
        <v>2203</v>
      </c>
      <c r="F1670" s="148" t="s">
        <v>2071</v>
      </c>
      <c r="G1670" s="164" t="s">
        <v>573</v>
      </c>
      <c r="H1670" s="148" t="s">
        <v>42</v>
      </c>
      <c r="I1670" s="26" t="s">
        <v>43</v>
      </c>
      <c r="J1670" s="131"/>
      <c r="K1670" s="155"/>
      <c r="L1670" s="149"/>
      <c r="M1670" s="153" t="s">
        <v>2204</v>
      </c>
      <c r="N1670" s="151" t="s">
        <v>2205</v>
      </c>
      <c r="O1670" s="161" t="s">
        <v>2205</v>
      </c>
      <c r="P1670" s="146" t="s">
        <v>92</v>
      </c>
      <c r="Q1670" s="161" t="s">
        <v>595</v>
      </c>
      <c r="R1670" s="158" t="n">
        <v>663.3</v>
      </c>
      <c r="S1670" s="158" t="n">
        <v>990</v>
      </c>
      <c r="T1670" s="150" t="n">
        <v>1</v>
      </c>
      <c r="U1670" s="1" t="str">
        <f aca="false">D1670&amp;"-"&amp;E1670&amp;"-"&amp;M1670&amp;"-"&amp;O1670&amp;"-"&amp;P1670&amp;"-"&amp;Q1670</f>
        <v>SOIE-CB-131 UNDER WIRE PADDED BRA-CB-131-PUPRLE-32-C</v>
      </c>
    </row>
    <row r="1671" customFormat="false" ht="15" hidden="true" customHeight="false" outlineLevel="0" collapsed="false">
      <c r="B1671" s="146" t="s">
        <v>2211</v>
      </c>
      <c r="C1671" s="146" t="s">
        <v>2068</v>
      </c>
      <c r="D1671" s="147" t="s">
        <v>2069</v>
      </c>
      <c r="E1671" s="151" t="s">
        <v>2203</v>
      </c>
      <c r="F1671" s="148" t="s">
        <v>2071</v>
      </c>
      <c r="G1671" s="164" t="s">
        <v>573</v>
      </c>
      <c r="H1671" s="148" t="s">
        <v>42</v>
      </c>
      <c r="I1671" s="26" t="s">
        <v>43</v>
      </c>
      <c r="J1671" s="26"/>
      <c r="K1671" s="149"/>
      <c r="L1671" s="149"/>
      <c r="M1671" s="153" t="s">
        <v>2204</v>
      </c>
      <c r="N1671" s="146" t="s">
        <v>2138</v>
      </c>
      <c r="O1671" s="147" t="s">
        <v>2138</v>
      </c>
      <c r="P1671" s="146" t="s">
        <v>92</v>
      </c>
      <c r="Q1671" s="146" t="s">
        <v>97</v>
      </c>
      <c r="R1671" s="158" t="n">
        <v>663.3</v>
      </c>
      <c r="S1671" s="158" t="n">
        <v>990</v>
      </c>
      <c r="T1671" s="150" t="n">
        <v>2</v>
      </c>
      <c r="U1671" s="1" t="str">
        <f aca="false">D1671&amp;"-"&amp;E1671&amp;"-"&amp;M1671&amp;"-"&amp;O1671&amp;"-"&amp;P1671&amp;"-"&amp;Q1671</f>
        <v>SOIE-CB-131 UNDER WIRE PADDED BRA-CB-131-BARK-32-D</v>
      </c>
    </row>
    <row r="1672" customFormat="false" ht="15" hidden="true" customHeight="false" outlineLevel="0" collapsed="false">
      <c r="B1672" s="151" t="s">
        <v>2212</v>
      </c>
      <c r="C1672" s="146" t="s">
        <v>2068</v>
      </c>
      <c r="D1672" s="147" t="s">
        <v>2069</v>
      </c>
      <c r="E1672" s="151" t="s">
        <v>2203</v>
      </c>
      <c r="F1672" s="148" t="s">
        <v>2071</v>
      </c>
      <c r="G1672" s="164" t="s">
        <v>573</v>
      </c>
      <c r="H1672" s="148" t="s">
        <v>42</v>
      </c>
      <c r="I1672" s="26" t="s">
        <v>43</v>
      </c>
      <c r="J1672" s="26"/>
      <c r="K1672" s="149"/>
      <c r="L1672" s="149"/>
      <c r="M1672" s="153" t="s">
        <v>2204</v>
      </c>
      <c r="N1672" s="151" t="s">
        <v>2207</v>
      </c>
      <c r="O1672" s="153" t="s">
        <v>89</v>
      </c>
      <c r="P1672" s="151" t="s">
        <v>134</v>
      </c>
      <c r="Q1672" s="151" t="s">
        <v>592</v>
      </c>
      <c r="R1672" s="158" t="n">
        <v>663.3</v>
      </c>
      <c r="S1672" s="158" t="n">
        <v>990</v>
      </c>
      <c r="T1672" s="150" t="n">
        <v>1</v>
      </c>
      <c r="U1672" s="1" t="str">
        <f aca="false">D1672&amp;"-"&amp;E1672&amp;"-"&amp;M1672&amp;"-"&amp;O1672&amp;"-"&amp;P1672&amp;"-"&amp;Q1672</f>
        <v>SOIE-CB-131 UNDER WIRE PADDED BRA-CB-131-BLUE-34-B</v>
      </c>
    </row>
    <row r="1673" customFormat="false" ht="15" hidden="true" customHeight="false" outlineLevel="0" collapsed="false">
      <c r="B1673" s="151" t="s">
        <v>2213</v>
      </c>
      <c r="C1673" s="146" t="s">
        <v>2068</v>
      </c>
      <c r="D1673" s="147" t="s">
        <v>2069</v>
      </c>
      <c r="E1673" s="151" t="s">
        <v>2203</v>
      </c>
      <c r="F1673" s="148" t="s">
        <v>2071</v>
      </c>
      <c r="G1673" s="164" t="s">
        <v>573</v>
      </c>
      <c r="H1673" s="148" t="s">
        <v>42</v>
      </c>
      <c r="I1673" s="26" t="s">
        <v>43</v>
      </c>
      <c r="J1673" s="26"/>
      <c r="K1673" s="149"/>
      <c r="L1673" s="149"/>
      <c r="M1673" s="153" t="s">
        <v>2204</v>
      </c>
      <c r="N1673" s="151" t="s">
        <v>2138</v>
      </c>
      <c r="O1673" s="153" t="s">
        <v>2138</v>
      </c>
      <c r="P1673" s="151" t="s">
        <v>134</v>
      </c>
      <c r="Q1673" s="151" t="s">
        <v>592</v>
      </c>
      <c r="R1673" s="158" t="n">
        <v>663.3</v>
      </c>
      <c r="S1673" s="158" t="n">
        <v>990</v>
      </c>
      <c r="T1673" s="150" t="n">
        <v>1</v>
      </c>
      <c r="U1673" s="1" t="str">
        <f aca="false">D1673&amp;"-"&amp;E1673&amp;"-"&amp;M1673&amp;"-"&amp;O1673&amp;"-"&amp;P1673&amp;"-"&amp;Q1673</f>
        <v>SOIE-CB-131 UNDER WIRE PADDED BRA-CB-131-BARK-34-B</v>
      </c>
    </row>
    <row r="1674" customFormat="false" ht="15" hidden="true" customHeight="false" outlineLevel="0" collapsed="false">
      <c r="B1674" s="146" t="s">
        <v>2214</v>
      </c>
      <c r="C1674" s="146" t="s">
        <v>2068</v>
      </c>
      <c r="D1674" s="147" t="s">
        <v>2069</v>
      </c>
      <c r="E1674" s="151" t="s">
        <v>2203</v>
      </c>
      <c r="F1674" s="148" t="s">
        <v>2071</v>
      </c>
      <c r="G1674" s="164" t="s">
        <v>573</v>
      </c>
      <c r="H1674" s="148" t="s">
        <v>42</v>
      </c>
      <c r="I1674" s="26" t="s">
        <v>43</v>
      </c>
      <c r="J1674" s="26"/>
      <c r="K1674" s="149"/>
      <c r="L1674" s="149"/>
      <c r="M1674" s="153" t="s">
        <v>2204</v>
      </c>
      <c r="N1674" s="146" t="s">
        <v>2138</v>
      </c>
      <c r="O1674" s="147" t="s">
        <v>2138</v>
      </c>
      <c r="P1674" s="146" t="s">
        <v>134</v>
      </c>
      <c r="Q1674" s="146" t="s">
        <v>595</v>
      </c>
      <c r="R1674" s="158" t="n">
        <v>663.3</v>
      </c>
      <c r="S1674" s="158" t="n">
        <v>990</v>
      </c>
      <c r="T1674" s="150" t="n">
        <v>1</v>
      </c>
      <c r="U1674" s="1" t="str">
        <f aca="false">D1674&amp;"-"&amp;E1674&amp;"-"&amp;M1674&amp;"-"&amp;O1674&amp;"-"&amp;P1674&amp;"-"&amp;Q1674</f>
        <v>SOIE-CB-131 UNDER WIRE PADDED BRA-CB-131-BARK-34-C</v>
      </c>
    </row>
    <row r="1675" customFormat="false" ht="15" hidden="true" customHeight="false" outlineLevel="0" collapsed="false">
      <c r="B1675" s="151" t="s">
        <v>2215</v>
      </c>
      <c r="C1675" s="146" t="s">
        <v>2068</v>
      </c>
      <c r="D1675" s="147" t="s">
        <v>2069</v>
      </c>
      <c r="E1675" s="151" t="s">
        <v>2203</v>
      </c>
      <c r="F1675" s="148" t="s">
        <v>2071</v>
      </c>
      <c r="G1675" s="164" t="s">
        <v>573</v>
      </c>
      <c r="H1675" s="148" t="s">
        <v>42</v>
      </c>
      <c r="I1675" s="26" t="s">
        <v>43</v>
      </c>
      <c r="J1675" s="26"/>
      <c r="K1675" s="149"/>
      <c r="L1675" s="156"/>
      <c r="M1675" s="153" t="s">
        <v>2204</v>
      </c>
      <c r="N1675" s="161" t="s">
        <v>2205</v>
      </c>
      <c r="O1675" s="161" t="s">
        <v>2205</v>
      </c>
      <c r="P1675" s="151" t="s">
        <v>134</v>
      </c>
      <c r="Q1675" s="151" t="s">
        <v>595</v>
      </c>
      <c r="R1675" s="158" t="n">
        <v>663.3</v>
      </c>
      <c r="S1675" s="158" t="n">
        <v>990</v>
      </c>
      <c r="T1675" s="150" t="n">
        <v>1</v>
      </c>
      <c r="U1675" s="1" t="str">
        <f aca="false">D1675&amp;"-"&amp;E1675&amp;"-"&amp;M1675&amp;"-"&amp;O1675&amp;"-"&amp;P1675&amp;"-"&amp;Q1675</f>
        <v>SOIE-CB-131 UNDER WIRE PADDED BRA-CB-131-PUPRLE-34-C</v>
      </c>
    </row>
    <row r="1676" customFormat="false" ht="15" hidden="true" customHeight="false" outlineLevel="0" collapsed="false">
      <c r="B1676" s="146" t="s">
        <v>2216</v>
      </c>
      <c r="C1676" s="146" t="s">
        <v>2068</v>
      </c>
      <c r="D1676" s="147" t="s">
        <v>2069</v>
      </c>
      <c r="E1676" s="151" t="s">
        <v>2203</v>
      </c>
      <c r="F1676" s="148" t="s">
        <v>2071</v>
      </c>
      <c r="G1676" s="164" t="s">
        <v>573</v>
      </c>
      <c r="H1676" s="148" t="s">
        <v>42</v>
      </c>
      <c r="I1676" s="26" t="s">
        <v>43</v>
      </c>
      <c r="J1676" s="26"/>
      <c r="K1676" s="149"/>
      <c r="L1676" s="149"/>
      <c r="M1676" s="153" t="s">
        <v>2204</v>
      </c>
      <c r="N1676" s="146" t="s">
        <v>2138</v>
      </c>
      <c r="O1676" s="147" t="s">
        <v>2138</v>
      </c>
      <c r="P1676" s="146" t="s">
        <v>134</v>
      </c>
      <c r="Q1676" s="146" t="s">
        <v>97</v>
      </c>
      <c r="R1676" s="158" t="n">
        <v>663.3</v>
      </c>
      <c r="S1676" s="158" t="n">
        <v>990</v>
      </c>
      <c r="T1676" s="150" t="n">
        <v>1</v>
      </c>
      <c r="U1676" s="1" t="str">
        <f aca="false">D1676&amp;"-"&amp;E1676&amp;"-"&amp;M1676&amp;"-"&amp;O1676&amp;"-"&amp;P1676&amp;"-"&amp;Q1676</f>
        <v>SOIE-CB-131 UNDER WIRE PADDED BRA-CB-131-BARK-34-D</v>
      </c>
    </row>
    <row r="1677" customFormat="false" ht="15" hidden="true" customHeight="false" outlineLevel="0" collapsed="false">
      <c r="B1677" s="146" t="s">
        <v>2217</v>
      </c>
      <c r="C1677" s="146" t="s">
        <v>2068</v>
      </c>
      <c r="D1677" s="147" t="s">
        <v>2069</v>
      </c>
      <c r="E1677" s="151" t="s">
        <v>2203</v>
      </c>
      <c r="F1677" s="148" t="s">
        <v>2071</v>
      </c>
      <c r="G1677" s="164" t="s">
        <v>573</v>
      </c>
      <c r="H1677" s="148" t="s">
        <v>42</v>
      </c>
      <c r="I1677" s="26" t="s">
        <v>43</v>
      </c>
      <c r="J1677" s="26"/>
      <c r="K1677" s="149"/>
      <c r="L1677" s="149"/>
      <c r="M1677" s="153" t="s">
        <v>2204</v>
      </c>
      <c r="N1677" s="146" t="s">
        <v>2207</v>
      </c>
      <c r="O1677" s="147" t="s">
        <v>89</v>
      </c>
      <c r="P1677" s="146" t="s">
        <v>134</v>
      </c>
      <c r="Q1677" s="146" t="s">
        <v>97</v>
      </c>
      <c r="R1677" s="158" t="n">
        <v>663.3</v>
      </c>
      <c r="S1677" s="158" t="n">
        <v>990</v>
      </c>
      <c r="T1677" s="150" t="n">
        <v>1</v>
      </c>
      <c r="U1677" s="1" t="str">
        <f aca="false">D1677&amp;"-"&amp;E1677&amp;"-"&amp;M1677&amp;"-"&amp;O1677&amp;"-"&amp;P1677&amp;"-"&amp;Q1677</f>
        <v>SOIE-CB-131 UNDER WIRE PADDED BRA-CB-131-BLUE-34-D</v>
      </c>
    </row>
    <row r="1678" customFormat="false" ht="15" hidden="true" customHeight="false" outlineLevel="0" collapsed="false">
      <c r="B1678" s="151" t="s">
        <v>2218</v>
      </c>
      <c r="C1678" s="146" t="s">
        <v>2068</v>
      </c>
      <c r="D1678" s="147" t="s">
        <v>2069</v>
      </c>
      <c r="E1678" s="151" t="s">
        <v>2203</v>
      </c>
      <c r="F1678" s="148" t="s">
        <v>2071</v>
      </c>
      <c r="G1678" s="164" t="s">
        <v>573</v>
      </c>
      <c r="H1678" s="148" t="s">
        <v>42</v>
      </c>
      <c r="I1678" s="26" t="s">
        <v>43</v>
      </c>
      <c r="J1678" s="26"/>
      <c r="K1678" s="149"/>
      <c r="L1678" s="149"/>
      <c r="M1678" s="153" t="s">
        <v>2204</v>
      </c>
      <c r="N1678" s="151" t="s">
        <v>2138</v>
      </c>
      <c r="O1678" s="153" t="s">
        <v>2138</v>
      </c>
      <c r="P1678" s="146" t="s">
        <v>65</v>
      </c>
      <c r="Q1678" s="151" t="s">
        <v>595</v>
      </c>
      <c r="R1678" s="158" t="n">
        <v>663.3</v>
      </c>
      <c r="S1678" s="158" t="n">
        <v>990</v>
      </c>
      <c r="T1678" s="150" t="n">
        <v>1</v>
      </c>
      <c r="U1678" s="1" t="str">
        <f aca="false">D1678&amp;"-"&amp;E1678&amp;"-"&amp;M1678&amp;"-"&amp;O1678&amp;"-"&amp;P1678&amp;"-"&amp;Q1678</f>
        <v>SOIE-CB-131 UNDER WIRE PADDED BRA-CB-131-BARK-36-C</v>
      </c>
    </row>
    <row r="1679" customFormat="false" ht="15" hidden="true" customHeight="false" outlineLevel="0" collapsed="false">
      <c r="B1679" s="146" t="s">
        <v>2219</v>
      </c>
      <c r="C1679" s="146" t="s">
        <v>2068</v>
      </c>
      <c r="D1679" s="147" t="s">
        <v>2069</v>
      </c>
      <c r="E1679" s="151" t="s">
        <v>2203</v>
      </c>
      <c r="F1679" s="148" t="s">
        <v>2071</v>
      </c>
      <c r="G1679" s="164" t="s">
        <v>573</v>
      </c>
      <c r="H1679" s="148" t="s">
        <v>42</v>
      </c>
      <c r="I1679" s="26" t="s">
        <v>43</v>
      </c>
      <c r="J1679" s="26"/>
      <c r="K1679" s="149"/>
      <c r="L1679" s="156"/>
      <c r="M1679" s="153" t="s">
        <v>2204</v>
      </c>
      <c r="N1679" s="161" t="s">
        <v>2205</v>
      </c>
      <c r="O1679" s="161" t="s">
        <v>2205</v>
      </c>
      <c r="P1679" s="146" t="s">
        <v>65</v>
      </c>
      <c r="Q1679" s="146" t="s">
        <v>595</v>
      </c>
      <c r="R1679" s="158" t="n">
        <v>663.3</v>
      </c>
      <c r="S1679" s="158" t="n">
        <v>990</v>
      </c>
      <c r="T1679" s="150" t="n">
        <v>2</v>
      </c>
      <c r="U1679" s="1" t="str">
        <f aca="false">D1679&amp;"-"&amp;E1679&amp;"-"&amp;M1679&amp;"-"&amp;O1679&amp;"-"&amp;P1679&amp;"-"&amp;Q1679</f>
        <v>SOIE-CB-131 UNDER WIRE PADDED BRA-CB-131-PUPRLE-36-C</v>
      </c>
    </row>
    <row r="1680" customFormat="false" ht="15" hidden="true" customHeight="false" outlineLevel="0" collapsed="false">
      <c r="B1680" s="146" t="s">
        <v>2220</v>
      </c>
      <c r="C1680" s="146" t="s">
        <v>2068</v>
      </c>
      <c r="D1680" s="147" t="s">
        <v>2069</v>
      </c>
      <c r="E1680" s="151" t="s">
        <v>2203</v>
      </c>
      <c r="F1680" s="148" t="s">
        <v>2071</v>
      </c>
      <c r="G1680" s="164" t="s">
        <v>573</v>
      </c>
      <c r="H1680" s="148" t="s">
        <v>42</v>
      </c>
      <c r="I1680" s="26" t="s">
        <v>43</v>
      </c>
      <c r="J1680" s="26"/>
      <c r="K1680" s="149"/>
      <c r="L1680" s="149"/>
      <c r="M1680" s="153" t="s">
        <v>2204</v>
      </c>
      <c r="N1680" s="146" t="s">
        <v>2207</v>
      </c>
      <c r="O1680" s="147" t="s">
        <v>89</v>
      </c>
      <c r="P1680" s="146" t="s">
        <v>65</v>
      </c>
      <c r="Q1680" s="146" t="s">
        <v>595</v>
      </c>
      <c r="R1680" s="158" t="n">
        <v>663.3</v>
      </c>
      <c r="S1680" s="158" t="n">
        <v>990</v>
      </c>
      <c r="T1680" s="150" t="n">
        <v>1</v>
      </c>
      <c r="U1680" s="1" t="str">
        <f aca="false">D1680&amp;"-"&amp;E1680&amp;"-"&amp;M1680&amp;"-"&amp;O1680&amp;"-"&amp;P1680&amp;"-"&amp;Q1680</f>
        <v>SOIE-CB-131 UNDER WIRE PADDED BRA-CB-131-BLUE-36-C</v>
      </c>
    </row>
    <row r="1681" customFormat="false" ht="15" hidden="true" customHeight="false" outlineLevel="0" collapsed="false">
      <c r="B1681" s="147" t="s">
        <v>2221</v>
      </c>
      <c r="C1681" s="146" t="s">
        <v>2068</v>
      </c>
      <c r="D1681" s="147" t="s">
        <v>2069</v>
      </c>
      <c r="E1681" s="151" t="s">
        <v>2203</v>
      </c>
      <c r="F1681" s="148" t="s">
        <v>2071</v>
      </c>
      <c r="G1681" s="164" t="s">
        <v>573</v>
      </c>
      <c r="H1681" s="148" t="s">
        <v>42</v>
      </c>
      <c r="I1681" s="26" t="s">
        <v>43</v>
      </c>
      <c r="J1681" s="26"/>
      <c r="K1681" s="149"/>
      <c r="L1681" s="149"/>
      <c r="M1681" s="153" t="s">
        <v>2204</v>
      </c>
      <c r="N1681" s="146" t="s">
        <v>2207</v>
      </c>
      <c r="O1681" s="147" t="s">
        <v>89</v>
      </c>
      <c r="P1681" s="146" t="s">
        <v>65</v>
      </c>
      <c r="Q1681" s="146" t="s">
        <v>97</v>
      </c>
      <c r="R1681" s="158" t="n">
        <v>663.3</v>
      </c>
      <c r="S1681" s="158" t="n">
        <v>990</v>
      </c>
      <c r="T1681" s="150" t="n">
        <v>1</v>
      </c>
      <c r="U1681" s="1" t="str">
        <f aca="false">D1681&amp;"-"&amp;E1681&amp;"-"&amp;M1681&amp;"-"&amp;O1681&amp;"-"&amp;P1681&amp;"-"&amp;Q1681</f>
        <v>SOIE-CB-131 UNDER WIRE PADDED BRA-CB-131-BLUE-36-D</v>
      </c>
    </row>
    <row r="1682" customFormat="false" ht="15" hidden="true" customHeight="false" outlineLevel="0" collapsed="false">
      <c r="B1682" s="151" t="s">
        <v>2222</v>
      </c>
      <c r="C1682" s="146" t="s">
        <v>2068</v>
      </c>
      <c r="D1682" s="147" t="s">
        <v>2069</v>
      </c>
      <c r="E1682" s="151" t="s">
        <v>2223</v>
      </c>
      <c r="F1682" s="148" t="s">
        <v>2071</v>
      </c>
      <c r="G1682" s="148" t="s">
        <v>2072</v>
      </c>
      <c r="H1682" s="148" t="s">
        <v>42</v>
      </c>
      <c r="I1682" s="26" t="s">
        <v>43</v>
      </c>
      <c r="J1682" s="26"/>
      <c r="K1682" s="149"/>
      <c r="L1682" s="152"/>
      <c r="M1682" s="151" t="s">
        <v>2224</v>
      </c>
      <c r="N1682" s="153" t="s">
        <v>1891</v>
      </c>
      <c r="O1682" s="151"/>
      <c r="P1682" s="151" t="s">
        <v>2225</v>
      </c>
      <c r="Q1682" s="151" t="s">
        <v>1148</v>
      </c>
      <c r="R1682" s="158" t="n">
        <v>593.33</v>
      </c>
      <c r="S1682" s="158" t="n">
        <v>890</v>
      </c>
      <c r="T1682" s="150" t="n">
        <v>1</v>
      </c>
      <c r="U1682" s="1" t="str">
        <f aca="false">D1682&amp;"-"&amp;E1682&amp;"-"&amp;M1682&amp;"-"&amp;O1682&amp;"-"&amp;P1682&amp;"-"&amp;Q1682</f>
        <v>SOIE-BB-05 PADDED BRA-BB-05--P-2-S</v>
      </c>
    </row>
    <row r="1683" customFormat="false" ht="15" hidden="true" customHeight="false" outlineLevel="0" collapsed="false">
      <c r="B1683" s="146" t="s">
        <v>2226</v>
      </c>
      <c r="C1683" s="146" t="s">
        <v>2068</v>
      </c>
      <c r="D1683" s="147" t="s">
        <v>2069</v>
      </c>
      <c r="E1683" s="151" t="s">
        <v>2223</v>
      </c>
      <c r="F1683" s="148" t="s">
        <v>2071</v>
      </c>
      <c r="G1683" s="148" t="s">
        <v>2072</v>
      </c>
      <c r="H1683" s="148" t="s">
        <v>42</v>
      </c>
      <c r="I1683" s="26" t="s">
        <v>43</v>
      </c>
      <c r="J1683" s="26"/>
      <c r="K1683" s="149"/>
      <c r="L1683" s="152"/>
      <c r="M1683" s="146" t="s">
        <v>2224</v>
      </c>
      <c r="N1683" s="153" t="s">
        <v>1891</v>
      </c>
      <c r="O1683" s="146"/>
      <c r="P1683" s="146" t="s">
        <v>2227</v>
      </c>
      <c r="Q1683" s="146" t="s">
        <v>1148</v>
      </c>
      <c r="R1683" s="158" t="n">
        <v>593.33</v>
      </c>
      <c r="S1683" s="158" t="n">
        <v>890</v>
      </c>
      <c r="T1683" s="165" t="n">
        <v>1</v>
      </c>
      <c r="U1683" s="1" t="str">
        <f aca="false">D1683&amp;"-"&amp;E1683&amp;"-"&amp;M1683&amp;"-"&amp;O1683&amp;"-"&amp;P1683&amp;"-"&amp;Q1683</f>
        <v>SOIE-BB-05 PADDED BRA-BB-05--P-6-S</v>
      </c>
    </row>
    <row r="1684" customFormat="false" ht="15" hidden="true" customHeight="false" outlineLevel="0" collapsed="false">
      <c r="A1684" s="137"/>
      <c r="B1684" s="154" t="n">
        <v>8903976890083</v>
      </c>
      <c r="C1684" s="146" t="s">
        <v>2068</v>
      </c>
      <c r="D1684" s="147" t="s">
        <v>2069</v>
      </c>
      <c r="E1684" s="151" t="s">
        <v>2223</v>
      </c>
      <c r="F1684" s="148" t="s">
        <v>2071</v>
      </c>
      <c r="G1684" s="148" t="s">
        <v>2072</v>
      </c>
      <c r="H1684" s="148" t="s">
        <v>42</v>
      </c>
      <c r="I1684" s="26" t="s">
        <v>43</v>
      </c>
      <c r="J1684" s="131"/>
      <c r="K1684" s="155"/>
      <c r="L1684" s="152"/>
      <c r="M1684" s="151" t="s">
        <v>2224</v>
      </c>
      <c r="N1684" s="153" t="s">
        <v>1891</v>
      </c>
      <c r="O1684" s="150"/>
      <c r="P1684" s="147" t="s">
        <v>2228</v>
      </c>
      <c r="Q1684" s="157" t="s">
        <v>1148</v>
      </c>
      <c r="R1684" s="158" t="n">
        <v>593.33</v>
      </c>
      <c r="S1684" s="158" t="n">
        <v>890</v>
      </c>
      <c r="T1684" s="150" t="n">
        <v>2</v>
      </c>
      <c r="U1684" s="1" t="str">
        <f aca="false">D1684&amp;"-"&amp;E1684&amp;"-"&amp;M1684&amp;"-"&amp;O1684&amp;"-"&amp;P1684&amp;"-"&amp;Q1684</f>
        <v>SOIE-BB-05 PADDED BRA-BB-05--P-7-S</v>
      </c>
    </row>
    <row r="1685" customFormat="false" ht="15" hidden="true" customHeight="false" outlineLevel="0" collapsed="false">
      <c r="B1685" s="151" t="s">
        <v>2229</v>
      </c>
      <c r="C1685" s="146" t="s">
        <v>2068</v>
      </c>
      <c r="D1685" s="147" t="s">
        <v>2069</v>
      </c>
      <c r="E1685" s="151" t="s">
        <v>2223</v>
      </c>
      <c r="F1685" s="148" t="s">
        <v>2071</v>
      </c>
      <c r="G1685" s="148" t="s">
        <v>2072</v>
      </c>
      <c r="H1685" s="148" t="s">
        <v>42</v>
      </c>
      <c r="I1685" s="26" t="s">
        <v>43</v>
      </c>
      <c r="J1685" s="26"/>
      <c r="K1685" s="149"/>
      <c r="L1685" s="152"/>
      <c r="M1685" s="151" t="s">
        <v>2224</v>
      </c>
      <c r="N1685" s="153" t="s">
        <v>1891</v>
      </c>
      <c r="O1685" s="151"/>
      <c r="P1685" s="151" t="s">
        <v>2230</v>
      </c>
      <c r="Q1685" s="151" t="s">
        <v>1148</v>
      </c>
      <c r="R1685" s="158" t="n">
        <v>593.33</v>
      </c>
      <c r="S1685" s="158" t="n">
        <v>890</v>
      </c>
      <c r="T1685" s="150" t="n">
        <v>1</v>
      </c>
      <c r="U1685" s="1" t="str">
        <f aca="false">D1685&amp;"-"&amp;E1685&amp;"-"&amp;M1685&amp;"-"&amp;O1685&amp;"-"&amp;P1685&amp;"-"&amp;Q1685</f>
        <v>SOIE-BB-05 PADDED BRA-BB-05--P-4-S</v>
      </c>
    </row>
    <row r="1686" customFormat="false" ht="15" hidden="true" customHeight="false" outlineLevel="0" collapsed="false">
      <c r="B1686" s="151" t="s">
        <v>2231</v>
      </c>
      <c r="C1686" s="146" t="s">
        <v>2068</v>
      </c>
      <c r="D1686" s="147" t="s">
        <v>2069</v>
      </c>
      <c r="E1686" s="151" t="s">
        <v>2223</v>
      </c>
      <c r="F1686" s="148" t="s">
        <v>2071</v>
      </c>
      <c r="G1686" s="148" t="s">
        <v>2072</v>
      </c>
      <c r="H1686" s="148" t="s">
        <v>42</v>
      </c>
      <c r="I1686" s="26" t="s">
        <v>43</v>
      </c>
      <c r="J1686" s="26"/>
      <c r="K1686" s="149"/>
      <c r="L1686" s="152"/>
      <c r="M1686" s="151" t="s">
        <v>2224</v>
      </c>
      <c r="N1686" s="153" t="s">
        <v>1891</v>
      </c>
      <c r="O1686" s="151"/>
      <c r="P1686" s="151" t="s">
        <v>2232</v>
      </c>
      <c r="Q1686" s="151" t="s">
        <v>1148</v>
      </c>
      <c r="R1686" s="158" t="n">
        <v>593.33</v>
      </c>
      <c r="S1686" s="158" t="n">
        <v>890</v>
      </c>
      <c r="T1686" s="150" t="n">
        <v>1</v>
      </c>
      <c r="U1686" s="1" t="str">
        <f aca="false">D1686&amp;"-"&amp;E1686&amp;"-"&amp;M1686&amp;"-"&amp;O1686&amp;"-"&amp;P1686&amp;"-"&amp;Q1686</f>
        <v>SOIE-BB-05 PADDED BRA-BB-05--P-1-S</v>
      </c>
    </row>
    <row r="1687" customFormat="false" ht="15" hidden="true" customHeight="false" outlineLevel="0" collapsed="false">
      <c r="B1687" s="146" t="s">
        <v>2233</v>
      </c>
      <c r="C1687" s="146" t="s">
        <v>2068</v>
      </c>
      <c r="D1687" s="147" t="s">
        <v>2069</v>
      </c>
      <c r="E1687" s="151" t="s">
        <v>2223</v>
      </c>
      <c r="F1687" s="148" t="s">
        <v>2071</v>
      </c>
      <c r="G1687" s="148" t="s">
        <v>2072</v>
      </c>
      <c r="H1687" s="148" t="s">
        <v>42</v>
      </c>
      <c r="I1687" s="26" t="s">
        <v>43</v>
      </c>
      <c r="J1687" s="26"/>
      <c r="K1687" s="149"/>
      <c r="L1687" s="152"/>
      <c r="M1687" s="146" t="s">
        <v>2224</v>
      </c>
      <c r="N1687" s="153" t="s">
        <v>1891</v>
      </c>
      <c r="O1687" s="146"/>
      <c r="P1687" s="146" t="s">
        <v>2227</v>
      </c>
      <c r="Q1687" s="146" t="s">
        <v>1145</v>
      </c>
      <c r="R1687" s="158" t="n">
        <v>593.33</v>
      </c>
      <c r="S1687" s="158" t="n">
        <v>890</v>
      </c>
      <c r="T1687" s="165" t="n">
        <v>0</v>
      </c>
      <c r="U1687" s="1" t="str">
        <f aca="false">D1687&amp;"-"&amp;E1687&amp;"-"&amp;M1687&amp;"-"&amp;O1687&amp;"-"&amp;P1687&amp;"-"&amp;Q1687</f>
        <v>SOIE-BB-05 PADDED BRA-BB-05--P-6-M</v>
      </c>
    </row>
    <row r="1688" customFormat="false" ht="15" hidden="true" customHeight="false" outlineLevel="0" collapsed="false">
      <c r="B1688" s="146" t="s">
        <v>2234</v>
      </c>
      <c r="C1688" s="146" t="s">
        <v>2068</v>
      </c>
      <c r="D1688" s="147" t="s">
        <v>2069</v>
      </c>
      <c r="E1688" s="151" t="s">
        <v>2223</v>
      </c>
      <c r="F1688" s="148" t="s">
        <v>2071</v>
      </c>
      <c r="G1688" s="148" t="s">
        <v>2072</v>
      </c>
      <c r="H1688" s="148" t="s">
        <v>42</v>
      </c>
      <c r="I1688" s="26" t="s">
        <v>43</v>
      </c>
      <c r="J1688" s="26"/>
      <c r="K1688" s="149"/>
      <c r="L1688" s="152"/>
      <c r="M1688" s="146" t="s">
        <v>2224</v>
      </c>
      <c r="N1688" s="153" t="s">
        <v>1891</v>
      </c>
      <c r="O1688" s="146"/>
      <c r="P1688" s="146" t="s">
        <v>2232</v>
      </c>
      <c r="Q1688" s="146" t="s">
        <v>1145</v>
      </c>
      <c r="R1688" s="158" t="n">
        <v>593.33</v>
      </c>
      <c r="S1688" s="158" t="n">
        <v>890</v>
      </c>
      <c r="T1688" s="169" t="n">
        <v>1</v>
      </c>
      <c r="U1688" s="1" t="str">
        <f aca="false">D1688&amp;"-"&amp;E1688&amp;"-"&amp;M1688&amp;"-"&amp;O1688&amp;"-"&amp;P1688&amp;"-"&amp;Q1688</f>
        <v>SOIE-BB-05 PADDED BRA-BB-05--P-1-M</v>
      </c>
    </row>
    <row r="1689" customFormat="false" ht="15" hidden="true" customHeight="false" outlineLevel="0" collapsed="false">
      <c r="B1689" s="146" t="s">
        <v>2235</v>
      </c>
      <c r="C1689" s="146" t="s">
        <v>2068</v>
      </c>
      <c r="D1689" s="147" t="s">
        <v>2069</v>
      </c>
      <c r="E1689" s="151" t="s">
        <v>2223</v>
      </c>
      <c r="F1689" s="148" t="s">
        <v>2071</v>
      </c>
      <c r="G1689" s="148" t="s">
        <v>2072</v>
      </c>
      <c r="H1689" s="148" t="s">
        <v>42</v>
      </c>
      <c r="I1689" s="26" t="s">
        <v>43</v>
      </c>
      <c r="J1689" s="26"/>
      <c r="K1689" s="149"/>
      <c r="L1689" s="152"/>
      <c r="M1689" s="146" t="s">
        <v>2224</v>
      </c>
      <c r="N1689" s="153" t="s">
        <v>1891</v>
      </c>
      <c r="O1689" s="146"/>
      <c r="P1689" s="146" t="s">
        <v>2225</v>
      </c>
      <c r="Q1689" s="146" t="s">
        <v>1145</v>
      </c>
      <c r="R1689" s="158" t="n">
        <v>593.33</v>
      </c>
      <c r="S1689" s="158" t="n">
        <v>890</v>
      </c>
      <c r="T1689" s="169" t="n">
        <v>1</v>
      </c>
      <c r="U1689" s="1" t="str">
        <f aca="false">D1689&amp;"-"&amp;E1689&amp;"-"&amp;M1689&amp;"-"&amp;O1689&amp;"-"&amp;P1689&amp;"-"&amp;Q1689</f>
        <v>SOIE-BB-05 PADDED BRA-BB-05--P-2-M</v>
      </c>
    </row>
    <row r="1690" customFormat="false" ht="15" hidden="true" customHeight="false" outlineLevel="0" collapsed="false">
      <c r="B1690" s="151" t="s">
        <v>2236</v>
      </c>
      <c r="C1690" s="146" t="s">
        <v>2068</v>
      </c>
      <c r="D1690" s="147" t="s">
        <v>2069</v>
      </c>
      <c r="E1690" s="151" t="s">
        <v>2223</v>
      </c>
      <c r="F1690" s="148" t="s">
        <v>2071</v>
      </c>
      <c r="G1690" s="148" t="s">
        <v>2072</v>
      </c>
      <c r="H1690" s="148" t="s">
        <v>42</v>
      </c>
      <c r="I1690" s="26" t="s">
        <v>43</v>
      </c>
      <c r="J1690" s="26"/>
      <c r="K1690" s="149"/>
      <c r="L1690" s="152"/>
      <c r="M1690" s="151" t="s">
        <v>2224</v>
      </c>
      <c r="N1690" s="153" t="s">
        <v>1891</v>
      </c>
      <c r="O1690" s="151"/>
      <c r="P1690" s="151" t="s">
        <v>2230</v>
      </c>
      <c r="Q1690" s="151" t="s">
        <v>1145</v>
      </c>
      <c r="R1690" s="158" t="n">
        <v>593.33</v>
      </c>
      <c r="S1690" s="158" t="n">
        <v>890</v>
      </c>
      <c r="T1690" s="169" t="n">
        <v>1</v>
      </c>
      <c r="U1690" s="1" t="str">
        <f aca="false">D1690&amp;"-"&amp;E1690&amp;"-"&amp;M1690&amp;"-"&amp;O1690&amp;"-"&amp;P1690&amp;"-"&amp;Q1690</f>
        <v>SOIE-BB-05 PADDED BRA-BB-05--P-4-M</v>
      </c>
    </row>
    <row r="1691" customFormat="false" ht="15" hidden="true" customHeight="false" outlineLevel="0" collapsed="false">
      <c r="B1691" s="151" t="s">
        <v>2237</v>
      </c>
      <c r="C1691" s="146" t="s">
        <v>2068</v>
      </c>
      <c r="D1691" s="147" t="s">
        <v>2069</v>
      </c>
      <c r="E1691" s="151" t="s">
        <v>2223</v>
      </c>
      <c r="F1691" s="148" t="s">
        <v>2071</v>
      </c>
      <c r="G1691" s="148" t="s">
        <v>2072</v>
      </c>
      <c r="H1691" s="148" t="s">
        <v>42</v>
      </c>
      <c r="I1691" s="26" t="s">
        <v>43</v>
      </c>
      <c r="J1691" s="26"/>
      <c r="K1691" s="149"/>
      <c r="L1691" s="152"/>
      <c r="M1691" s="151" t="s">
        <v>2224</v>
      </c>
      <c r="N1691" s="153" t="s">
        <v>1891</v>
      </c>
      <c r="O1691" s="151"/>
      <c r="P1691" s="151" t="s">
        <v>2232</v>
      </c>
      <c r="Q1691" s="151" t="s">
        <v>1142</v>
      </c>
      <c r="R1691" s="158" t="n">
        <v>593.33</v>
      </c>
      <c r="S1691" s="158" t="n">
        <v>890</v>
      </c>
      <c r="T1691" s="169" t="n">
        <v>0</v>
      </c>
      <c r="U1691" s="1" t="str">
        <f aca="false">D1691&amp;"-"&amp;E1691&amp;"-"&amp;M1691&amp;"-"&amp;O1691&amp;"-"&amp;P1691&amp;"-"&amp;Q1691</f>
        <v>SOIE-BB-05 PADDED BRA-BB-05--P-1-L</v>
      </c>
    </row>
    <row r="1692" customFormat="false" ht="15" hidden="true" customHeight="false" outlineLevel="0" collapsed="false">
      <c r="B1692" s="146" t="s">
        <v>2238</v>
      </c>
      <c r="C1692" s="146" t="s">
        <v>2068</v>
      </c>
      <c r="D1692" s="147" t="s">
        <v>2069</v>
      </c>
      <c r="E1692" s="151" t="s">
        <v>2223</v>
      </c>
      <c r="F1692" s="148" t="s">
        <v>2071</v>
      </c>
      <c r="G1692" s="148" t="s">
        <v>2072</v>
      </c>
      <c r="H1692" s="148" t="s">
        <v>42</v>
      </c>
      <c r="I1692" s="26" t="s">
        <v>43</v>
      </c>
      <c r="J1692" s="26"/>
      <c r="K1692" s="149"/>
      <c r="L1692" s="152"/>
      <c r="M1692" s="146" t="s">
        <v>2224</v>
      </c>
      <c r="N1692" s="153" t="s">
        <v>1891</v>
      </c>
      <c r="O1692" s="146"/>
      <c r="P1692" s="146" t="s">
        <v>2225</v>
      </c>
      <c r="Q1692" s="146" t="s">
        <v>1142</v>
      </c>
      <c r="R1692" s="158" t="n">
        <v>593.33</v>
      </c>
      <c r="S1692" s="158" t="n">
        <v>890</v>
      </c>
      <c r="T1692" s="150" t="n">
        <v>1</v>
      </c>
      <c r="U1692" s="1" t="str">
        <f aca="false">D1692&amp;"-"&amp;E1692&amp;"-"&amp;M1692&amp;"-"&amp;O1692&amp;"-"&amp;P1692&amp;"-"&amp;Q1692</f>
        <v>SOIE-BB-05 PADDED BRA-BB-05--P-2-L</v>
      </c>
    </row>
    <row r="1693" customFormat="false" ht="15" hidden="true" customHeight="false" outlineLevel="0" collapsed="false">
      <c r="B1693" s="146" t="s">
        <v>2239</v>
      </c>
      <c r="C1693" s="146" t="s">
        <v>2068</v>
      </c>
      <c r="D1693" s="147" t="s">
        <v>2069</v>
      </c>
      <c r="E1693" s="151" t="s">
        <v>2223</v>
      </c>
      <c r="F1693" s="148" t="s">
        <v>2071</v>
      </c>
      <c r="G1693" s="148" t="s">
        <v>2072</v>
      </c>
      <c r="H1693" s="148" t="s">
        <v>42</v>
      </c>
      <c r="I1693" s="26" t="s">
        <v>43</v>
      </c>
      <c r="J1693" s="26"/>
      <c r="K1693" s="149"/>
      <c r="L1693" s="152"/>
      <c r="M1693" s="147" t="s">
        <v>2224</v>
      </c>
      <c r="N1693" s="153" t="s">
        <v>1891</v>
      </c>
      <c r="O1693" s="146"/>
      <c r="P1693" s="146" t="s">
        <v>2230</v>
      </c>
      <c r="Q1693" s="146" t="s">
        <v>1142</v>
      </c>
      <c r="R1693" s="158" t="n">
        <v>593.33</v>
      </c>
      <c r="S1693" s="158" t="n">
        <v>890</v>
      </c>
      <c r="T1693" s="150" t="n">
        <v>2</v>
      </c>
      <c r="U1693" s="1" t="str">
        <f aca="false">D1693&amp;"-"&amp;E1693&amp;"-"&amp;M1693&amp;"-"&amp;O1693&amp;"-"&amp;P1693&amp;"-"&amp;Q1693</f>
        <v>SOIE-BB-05 PADDED BRA-BB-05--P-4-L</v>
      </c>
    </row>
    <row r="1694" customFormat="false" ht="15" hidden="true" customHeight="false" outlineLevel="0" collapsed="false">
      <c r="B1694" s="146" t="s">
        <v>2240</v>
      </c>
      <c r="C1694" s="146" t="s">
        <v>2068</v>
      </c>
      <c r="D1694" s="147" t="s">
        <v>2069</v>
      </c>
      <c r="E1694" s="151" t="s">
        <v>2223</v>
      </c>
      <c r="F1694" s="148" t="s">
        <v>2071</v>
      </c>
      <c r="G1694" s="148" t="s">
        <v>2072</v>
      </c>
      <c r="H1694" s="148" t="s">
        <v>42</v>
      </c>
      <c r="I1694" s="26" t="s">
        <v>43</v>
      </c>
      <c r="J1694" s="26"/>
      <c r="K1694" s="149"/>
      <c r="L1694" s="152"/>
      <c r="M1694" s="146" t="s">
        <v>2224</v>
      </c>
      <c r="N1694" s="153" t="s">
        <v>1891</v>
      </c>
      <c r="O1694" s="146"/>
      <c r="P1694" s="146" t="s">
        <v>2227</v>
      </c>
      <c r="Q1694" s="146" t="s">
        <v>1142</v>
      </c>
      <c r="R1694" s="158" t="n">
        <v>593.33</v>
      </c>
      <c r="S1694" s="158" t="n">
        <v>890</v>
      </c>
      <c r="T1694" s="150" t="n">
        <v>2</v>
      </c>
      <c r="U1694" s="1" t="str">
        <f aca="false">D1694&amp;"-"&amp;E1694&amp;"-"&amp;M1694&amp;"-"&amp;O1694&amp;"-"&amp;P1694&amp;"-"&amp;Q1694</f>
        <v>SOIE-BB-05 PADDED BRA-BB-05--P-6-L</v>
      </c>
    </row>
    <row r="1695" customFormat="false" ht="15" hidden="true" customHeight="false" outlineLevel="0" collapsed="false">
      <c r="B1695" s="151" t="s">
        <v>2241</v>
      </c>
      <c r="C1695" s="146" t="s">
        <v>2068</v>
      </c>
      <c r="D1695" s="147" t="s">
        <v>2069</v>
      </c>
      <c r="E1695" s="151" t="s">
        <v>2223</v>
      </c>
      <c r="F1695" s="148" t="s">
        <v>2071</v>
      </c>
      <c r="G1695" s="148" t="s">
        <v>2072</v>
      </c>
      <c r="H1695" s="148" t="s">
        <v>42</v>
      </c>
      <c r="I1695" s="26" t="s">
        <v>43</v>
      </c>
      <c r="J1695" s="26"/>
      <c r="K1695" s="149"/>
      <c r="L1695" s="152"/>
      <c r="M1695" s="151" t="s">
        <v>2224</v>
      </c>
      <c r="N1695" s="153" t="s">
        <v>1891</v>
      </c>
      <c r="O1695" s="151"/>
      <c r="P1695" s="151" t="s">
        <v>2228</v>
      </c>
      <c r="Q1695" s="151" t="s">
        <v>1142</v>
      </c>
      <c r="R1695" s="158" t="n">
        <v>593.33</v>
      </c>
      <c r="S1695" s="158" t="n">
        <v>890</v>
      </c>
      <c r="T1695" s="150" t="n">
        <v>2</v>
      </c>
      <c r="U1695" s="1" t="str">
        <f aca="false">D1695&amp;"-"&amp;E1695&amp;"-"&amp;M1695&amp;"-"&amp;O1695&amp;"-"&amp;P1695&amp;"-"&amp;Q1695</f>
        <v>SOIE-BB-05 PADDED BRA-BB-05--P-7-L</v>
      </c>
    </row>
    <row r="1696" customFormat="false" ht="15" hidden="true" customHeight="false" outlineLevel="0" collapsed="false">
      <c r="B1696" s="151" t="s">
        <v>2242</v>
      </c>
      <c r="C1696" s="146" t="s">
        <v>2068</v>
      </c>
      <c r="D1696" s="147" t="s">
        <v>2069</v>
      </c>
      <c r="E1696" s="151" t="s">
        <v>2223</v>
      </c>
      <c r="F1696" s="148" t="s">
        <v>2071</v>
      </c>
      <c r="G1696" s="148" t="s">
        <v>2072</v>
      </c>
      <c r="H1696" s="148" t="s">
        <v>42</v>
      </c>
      <c r="I1696" s="26" t="s">
        <v>43</v>
      </c>
      <c r="J1696" s="26"/>
      <c r="K1696" s="149"/>
      <c r="L1696" s="152"/>
      <c r="M1696" s="151" t="s">
        <v>2224</v>
      </c>
      <c r="N1696" s="153" t="s">
        <v>1891</v>
      </c>
      <c r="O1696" s="151"/>
      <c r="P1696" s="151" t="s">
        <v>2232</v>
      </c>
      <c r="Q1696" s="151" t="s">
        <v>1159</v>
      </c>
      <c r="R1696" s="158" t="n">
        <v>593.33</v>
      </c>
      <c r="S1696" s="158" t="n">
        <v>890</v>
      </c>
      <c r="T1696" s="165" t="n">
        <v>1</v>
      </c>
      <c r="U1696" s="1" t="str">
        <f aca="false">D1696&amp;"-"&amp;E1696&amp;"-"&amp;M1696&amp;"-"&amp;O1696&amp;"-"&amp;P1696&amp;"-"&amp;Q1696</f>
        <v>SOIE-BB-05 PADDED BRA-BB-05--P-1-XL</v>
      </c>
    </row>
    <row r="1697" customFormat="false" ht="15" hidden="true" customHeight="false" outlineLevel="0" collapsed="false">
      <c r="B1697" s="146" t="s">
        <v>2243</v>
      </c>
      <c r="C1697" s="146" t="s">
        <v>2068</v>
      </c>
      <c r="D1697" s="147" t="s">
        <v>2069</v>
      </c>
      <c r="E1697" s="151" t="s">
        <v>2223</v>
      </c>
      <c r="F1697" s="148" t="s">
        <v>2071</v>
      </c>
      <c r="G1697" s="148" t="s">
        <v>2072</v>
      </c>
      <c r="H1697" s="148" t="s">
        <v>42</v>
      </c>
      <c r="I1697" s="26" t="s">
        <v>43</v>
      </c>
      <c r="J1697" s="26"/>
      <c r="K1697" s="149"/>
      <c r="L1697" s="152"/>
      <c r="M1697" s="146" t="s">
        <v>2224</v>
      </c>
      <c r="N1697" s="153" t="s">
        <v>1891</v>
      </c>
      <c r="O1697" s="146"/>
      <c r="P1697" s="146" t="s">
        <v>2225</v>
      </c>
      <c r="Q1697" s="146" t="s">
        <v>1159</v>
      </c>
      <c r="R1697" s="158" t="n">
        <v>593.33</v>
      </c>
      <c r="S1697" s="158" t="n">
        <v>890</v>
      </c>
      <c r="T1697" s="165" t="n">
        <v>1</v>
      </c>
      <c r="U1697" s="1" t="str">
        <f aca="false">D1697&amp;"-"&amp;E1697&amp;"-"&amp;M1697&amp;"-"&amp;O1697&amp;"-"&amp;P1697&amp;"-"&amp;Q1697</f>
        <v>SOIE-BB-05 PADDED BRA-BB-05--P-2-XL</v>
      </c>
    </row>
    <row r="1698" customFormat="false" ht="15" hidden="true" customHeight="false" outlineLevel="0" collapsed="false">
      <c r="B1698" s="151" t="s">
        <v>2244</v>
      </c>
      <c r="C1698" s="146" t="s">
        <v>2068</v>
      </c>
      <c r="D1698" s="147" t="s">
        <v>2069</v>
      </c>
      <c r="E1698" s="151" t="s">
        <v>2223</v>
      </c>
      <c r="F1698" s="148" t="s">
        <v>2071</v>
      </c>
      <c r="G1698" s="148" t="s">
        <v>2072</v>
      </c>
      <c r="H1698" s="148" t="s">
        <v>42</v>
      </c>
      <c r="I1698" s="26" t="s">
        <v>43</v>
      </c>
      <c r="J1698" s="26"/>
      <c r="K1698" s="149"/>
      <c r="L1698" s="152"/>
      <c r="M1698" s="146" t="s">
        <v>2224</v>
      </c>
      <c r="N1698" s="153" t="s">
        <v>1891</v>
      </c>
      <c r="O1698" s="151"/>
      <c r="P1698" s="151" t="s">
        <v>2230</v>
      </c>
      <c r="Q1698" s="151" t="s">
        <v>1159</v>
      </c>
      <c r="R1698" s="158" t="n">
        <v>593.33</v>
      </c>
      <c r="S1698" s="158" t="n">
        <v>890</v>
      </c>
      <c r="T1698" s="169" t="n">
        <v>1</v>
      </c>
      <c r="U1698" s="1" t="str">
        <f aca="false">D1698&amp;"-"&amp;E1698&amp;"-"&amp;M1698&amp;"-"&amp;O1698&amp;"-"&amp;P1698&amp;"-"&amp;Q1698</f>
        <v>SOIE-BB-05 PADDED BRA-BB-05--P-4-XL</v>
      </c>
    </row>
    <row r="1699" customFormat="false" ht="15" hidden="true" customHeight="false" outlineLevel="0" collapsed="false">
      <c r="B1699" s="146" t="s">
        <v>2245</v>
      </c>
      <c r="C1699" s="146" t="s">
        <v>2068</v>
      </c>
      <c r="D1699" s="147" t="s">
        <v>2069</v>
      </c>
      <c r="E1699" s="151" t="s">
        <v>2223</v>
      </c>
      <c r="F1699" s="148" t="s">
        <v>2071</v>
      </c>
      <c r="G1699" s="148" t="s">
        <v>2072</v>
      </c>
      <c r="H1699" s="148" t="s">
        <v>42</v>
      </c>
      <c r="I1699" s="26" t="s">
        <v>43</v>
      </c>
      <c r="J1699" s="26"/>
      <c r="K1699" s="149"/>
      <c r="L1699" s="152"/>
      <c r="M1699" s="146" t="s">
        <v>2224</v>
      </c>
      <c r="N1699" s="153" t="s">
        <v>1891</v>
      </c>
      <c r="O1699" s="146"/>
      <c r="P1699" s="146" t="s">
        <v>2228</v>
      </c>
      <c r="Q1699" s="151" t="s">
        <v>1159</v>
      </c>
      <c r="R1699" s="158" t="n">
        <v>593.33</v>
      </c>
      <c r="S1699" s="158" t="n">
        <v>890</v>
      </c>
      <c r="T1699" s="169" t="n">
        <v>1</v>
      </c>
      <c r="U1699" s="1" t="str">
        <f aca="false">D1699&amp;"-"&amp;E1699&amp;"-"&amp;M1699&amp;"-"&amp;O1699&amp;"-"&amp;P1699&amp;"-"&amp;Q1699</f>
        <v>SOIE-BB-05 PADDED BRA-BB-05--P-7-XL</v>
      </c>
    </row>
    <row r="1700" customFormat="false" ht="15" hidden="true" customHeight="false" outlineLevel="0" collapsed="false">
      <c r="B1700" s="147" t="s">
        <v>2246</v>
      </c>
      <c r="C1700" s="146" t="s">
        <v>2068</v>
      </c>
      <c r="D1700" s="147" t="s">
        <v>2069</v>
      </c>
      <c r="E1700" s="151" t="s">
        <v>2223</v>
      </c>
      <c r="F1700" s="148" t="s">
        <v>2071</v>
      </c>
      <c r="G1700" s="148" t="s">
        <v>573</v>
      </c>
      <c r="H1700" s="148" t="s">
        <v>42</v>
      </c>
      <c r="I1700" s="26" t="s">
        <v>43</v>
      </c>
      <c r="J1700" s="26"/>
      <c r="K1700" s="149"/>
      <c r="L1700" s="149"/>
      <c r="M1700" s="147" t="s">
        <v>2247</v>
      </c>
      <c r="N1700" s="146" t="s">
        <v>48</v>
      </c>
      <c r="O1700" s="146"/>
      <c r="P1700" s="146" t="s">
        <v>134</v>
      </c>
      <c r="Q1700" s="162" t="s">
        <v>56</v>
      </c>
      <c r="R1700" s="158" t="n">
        <v>1275</v>
      </c>
      <c r="S1700" s="158" t="n">
        <v>2040</v>
      </c>
      <c r="T1700" s="169" t="n">
        <v>1</v>
      </c>
      <c r="U1700" s="1" t="str">
        <f aca="false">D1700&amp;"-"&amp;E1700&amp;"-"&amp;M1700&amp;"-"&amp;O1700&amp;"-"&amp;P1700&amp;"-"&amp;Q1700</f>
        <v>SOIE-BB-05 PADDED BRA-CB-138--34-DD</v>
      </c>
    </row>
    <row r="1701" customFormat="false" ht="15" hidden="true" customHeight="false" outlineLevel="0" collapsed="false">
      <c r="B1701" s="151" t="s">
        <v>2248</v>
      </c>
      <c r="C1701" s="146" t="s">
        <v>2068</v>
      </c>
      <c r="D1701" s="147" t="s">
        <v>2069</v>
      </c>
      <c r="E1701" s="148" t="s">
        <v>2249</v>
      </c>
      <c r="F1701" s="148" t="s">
        <v>2249</v>
      </c>
      <c r="G1701" s="148" t="s">
        <v>2072</v>
      </c>
      <c r="H1701" s="148" t="s">
        <v>70</v>
      </c>
      <c r="I1701" s="26" t="s">
        <v>43</v>
      </c>
      <c r="J1701" s="26"/>
      <c r="K1701" s="149"/>
      <c r="L1701" s="149"/>
      <c r="M1701" s="151" t="s">
        <v>2250</v>
      </c>
      <c r="N1701" s="151" t="s">
        <v>111</v>
      </c>
      <c r="O1701" s="151"/>
      <c r="P1701" s="151" t="s">
        <v>1148</v>
      </c>
      <c r="Q1701" s="158"/>
      <c r="R1701" s="158" t="n">
        <v>1431</v>
      </c>
      <c r="S1701" s="158" t="n">
        <v>2290</v>
      </c>
      <c r="T1701" s="169" t="n">
        <v>1</v>
      </c>
      <c r="U1701" s="1" t="str">
        <f aca="false">D1701&amp;"-"&amp;E1701&amp;"-"&amp;M1701&amp;"-"&amp;O1701&amp;"-"&amp;P1701&amp;"-"&amp;Q1701</f>
        <v>SOIE-SWIMWEAR-AQS-22--S-</v>
      </c>
    </row>
    <row r="1702" customFormat="false" ht="15" hidden="true" customHeight="false" outlineLevel="0" collapsed="false">
      <c r="A1702" s="137"/>
      <c r="B1702" s="154" t="n">
        <v>8903976910156</v>
      </c>
      <c r="C1702" s="146" t="s">
        <v>2068</v>
      </c>
      <c r="D1702" s="147" t="s">
        <v>2069</v>
      </c>
      <c r="E1702" s="148" t="s">
        <v>2249</v>
      </c>
      <c r="F1702" s="148" t="s">
        <v>2249</v>
      </c>
      <c r="G1702" s="148" t="s">
        <v>2072</v>
      </c>
      <c r="H1702" s="148" t="s">
        <v>70</v>
      </c>
      <c r="I1702" s="26" t="s">
        <v>43</v>
      </c>
      <c r="J1702" s="131"/>
      <c r="K1702" s="155"/>
      <c r="L1702" s="156"/>
      <c r="M1702" s="153" t="s">
        <v>2251</v>
      </c>
      <c r="N1702" s="157" t="s">
        <v>2252</v>
      </c>
      <c r="O1702" s="150"/>
      <c r="P1702" s="157" t="s">
        <v>1148</v>
      </c>
      <c r="Q1702" s="158"/>
      <c r="R1702" s="165" t="n">
        <v>1194</v>
      </c>
      <c r="S1702" s="158" t="n">
        <v>1990</v>
      </c>
      <c r="T1702" s="150" t="n">
        <v>2</v>
      </c>
      <c r="U1702" s="1" t="str">
        <f aca="false">D1702&amp;"-"&amp;E1702&amp;"-"&amp;M1702&amp;"-"&amp;O1702&amp;"-"&amp;P1702&amp;"-"&amp;Q1702</f>
        <v>SOIE-SWIMWEAR-AQS-6--S-</v>
      </c>
    </row>
    <row r="1703" customFormat="false" ht="15" hidden="true" customHeight="false" outlineLevel="0" collapsed="false">
      <c r="B1703" s="146" t="s">
        <v>2253</v>
      </c>
      <c r="C1703" s="146" t="s">
        <v>2068</v>
      </c>
      <c r="D1703" s="147" t="s">
        <v>2069</v>
      </c>
      <c r="E1703" s="148" t="s">
        <v>2249</v>
      </c>
      <c r="F1703" s="148" t="s">
        <v>2249</v>
      </c>
      <c r="G1703" s="148" t="s">
        <v>2072</v>
      </c>
      <c r="H1703" s="148" t="s">
        <v>70</v>
      </c>
      <c r="I1703" s="26" t="s">
        <v>43</v>
      </c>
      <c r="J1703" s="26"/>
      <c r="K1703" s="149"/>
      <c r="L1703" s="149"/>
      <c r="M1703" s="146" t="s">
        <v>2250</v>
      </c>
      <c r="N1703" s="146" t="s">
        <v>111</v>
      </c>
      <c r="O1703" s="146"/>
      <c r="P1703" s="146" t="s">
        <v>1145</v>
      </c>
      <c r="Q1703" s="158"/>
      <c r="R1703" s="158" t="n">
        <v>1431</v>
      </c>
      <c r="S1703" s="158" t="n">
        <v>2290</v>
      </c>
      <c r="T1703" s="150" t="n">
        <v>1</v>
      </c>
      <c r="U1703" s="1" t="str">
        <f aca="false">D1703&amp;"-"&amp;E1703&amp;"-"&amp;M1703&amp;"-"&amp;O1703&amp;"-"&amp;P1703&amp;"-"&amp;Q1703</f>
        <v>SOIE-SWIMWEAR-AQS-22--M-</v>
      </c>
    </row>
    <row r="1704" customFormat="false" ht="15" hidden="true" customHeight="false" outlineLevel="0" collapsed="false">
      <c r="B1704" s="147" t="s">
        <v>2254</v>
      </c>
      <c r="C1704" s="146" t="s">
        <v>2068</v>
      </c>
      <c r="D1704" s="147" t="s">
        <v>2069</v>
      </c>
      <c r="E1704" s="148" t="s">
        <v>2249</v>
      </c>
      <c r="F1704" s="148" t="s">
        <v>2249</v>
      </c>
      <c r="G1704" s="148" t="s">
        <v>2072</v>
      </c>
      <c r="H1704" s="148" t="s">
        <v>70</v>
      </c>
      <c r="I1704" s="26" t="s">
        <v>43</v>
      </c>
      <c r="J1704" s="26"/>
      <c r="K1704" s="149"/>
      <c r="L1704" s="149"/>
      <c r="M1704" s="146" t="s">
        <v>2255</v>
      </c>
      <c r="N1704" s="146" t="s">
        <v>111</v>
      </c>
      <c r="O1704" s="146"/>
      <c r="P1704" s="146" t="s">
        <v>1145</v>
      </c>
      <c r="Q1704" s="158"/>
      <c r="R1704" s="158" t="n">
        <v>1431</v>
      </c>
      <c r="S1704" s="158" t="n">
        <v>2290</v>
      </c>
      <c r="T1704" s="150" t="n">
        <v>1</v>
      </c>
      <c r="U1704" s="1" t="str">
        <f aca="false">D1704&amp;"-"&amp;E1704&amp;"-"&amp;M1704&amp;"-"&amp;O1704&amp;"-"&amp;P1704&amp;"-"&amp;Q1704</f>
        <v>SOIE-SWIMWEAR-AQS-3--M-</v>
      </c>
    </row>
    <row r="1705" customFormat="false" ht="15" hidden="true" customHeight="false" outlineLevel="0" collapsed="false">
      <c r="B1705" s="153" t="s">
        <v>2256</v>
      </c>
      <c r="C1705" s="146" t="s">
        <v>2068</v>
      </c>
      <c r="D1705" s="147" t="s">
        <v>2069</v>
      </c>
      <c r="E1705" s="148" t="s">
        <v>2249</v>
      </c>
      <c r="F1705" s="148" t="s">
        <v>2249</v>
      </c>
      <c r="G1705" s="148" t="s">
        <v>2072</v>
      </c>
      <c r="H1705" s="148" t="s">
        <v>70</v>
      </c>
      <c r="I1705" s="26" t="s">
        <v>43</v>
      </c>
      <c r="J1705" s="26"/>
      <c r="K1705" s="149"/>
      <c r="L1705" s="149"/>
      <c r="M1705" s="151" t="s">
        <v>2250</v>
      </c>
      <c r="N1705" s="151" t="s">
        <v>111</v>
      </c>
      <c r="O1705" s="151"/>
      <c r="P1705" s="151" t="s">
        <v>1142</v>
      </c>
      <c r="Q1705" s="158"/>
      <c r="R1705" s="158" t="n">
        <v>1431</v>
      </c>
      <c r="S1705" s="158" t="n">
        <v>2290</v>
      </c>
      <c r="T1705" s="150" t="n">
        <v>1</v>
      </c>
      <c r="U1705" s="1" t="str">
        <f aca="false">D1705&amp;"-"&amp;E1705&amp;"-"&amp;M1705&amp;"-"&amp;O1705&amp;"-"&amp;P1705&amp;"-"&amp;Q1705</f>
        <v>SOIE-SWIMWEAR-AQS-22--L-</v>
      </c>
    </row>
    <row r="1706" customFormat="false" ht="15" hidden="true" customHeight="false" outlineLevel="0" collapsed="false">
      <c r="B1706" s="146" t="s">
        <v>2257</v>
      </c>
      <c r="C1706" s="146" t="s">
        <v>2068</v>
      </c>
      <c r="D1706" s="147" t="s">
        <v>2069</v>
      </c>
      <c r="E1706" s="148" t="s">
        <v>2249</v>
      </c>
      <c r="F1706" s="148" t="s">
        <v>2249</v>
      </c>
      <c r="G1706" s="148" t="s">
        <v>2072</v>
      </c>
      <c r="H1706" s="148" t="s">
        <v>70</v>
      </c>
      <c r="I1706" s="26" t="s">
        <v>43</v>
      </c>
      <c r="J1706" s="26"/>
      <c r="K1706" s="149"/>
      <c r="L1706" s="149"/>
      <c r="M1706" s="146" t="s">
        <v>2250</v>
      </c>
      <c r="N1706" s="146" t="s">
        <v>2258</v>
      </c>
      <c r="O1706" s="146"/>
      <c r="P1706" s="146" t="s">
        <v>1159</v>
      </c>
      <c r="Q1706" s="158"/>
      <c r="R1706" s="158" t="n">
        <v>1431</v>
      </c>
      <c r="S1706" s="158" t="n">
        <v>2290</v>
      </c>
      <c r="T1706" s="150" t="n">
        <v>1</v>
      </c>
      <c r="U1706" s="1" t="str">
        <f aca="false">D1706&amp;"-"&amp;E1706&amp;"-"&amp;M1706&amp;"-"&amp;O1706&amp;"-"&amp;P1706&amp;"-"&amp;Q1706</f>
        <v>SOIE-SWIMWEAR-AQS-22--XL-</v>
      </c>
    </row>
    <row r="1707" customFormat="false" ht="15" hidden="true" customHeight="false" outlineLevel="0" collapsed="false">
      <c r="B1707" s="151" t="s">
        <v>2259</v>
      </c>
      <c r="C1707" s="146" t="s">
        <v>2068</v>
      </c>
      <c r="D1707" s="147" t="s">
        <v>2069</v>
      </c>
      <c r="E1707" s="148" t="s">
        <v>2249</v>
      </c>
      <c r="F1707" s="148" t="s">
        <v>2249</v>
      </c>
      <c r="G1707" s="148" t="s">
        <v>2072</v>
      </c>
      <c r="H1707" s="148" t="s">
        <v>70</v>
      </c>
      <c r="I1707" s="26" t="s">
        <v>43</v>
      </c>
      <c r="J1707" s="26"/>
      <c r="K1707" s="149"/>
      <c r="L1707" s="149"/>
      <c r="M1707" s="151" t="s">
        <v>2260</v>
      </c>
      <c r="N1707" s="151" t="s">
        <v>437</v>
      </c>
      <c r="O1707" s="151"/>
      <c r="P1707" s="151" t="s">
        <v>1148</v>
      </c>
      <c r="Q1707" s="158"/>
      <c r="R1707" s="158" t="n">
        <v>1494</v>
      </c>
      <c r="S1707" s="158" t="n">
        <v>2490</v>
      </c>
      <c r="T1707" s="165" t="n">
        <v>1</v>
      </c>
      <c r="U1707" s="1" t="str">
        <f aca="false">D1707&amp;"-"&amp;E1707&amp;"-"&amp;M1707&amp;"-"&amp;O1707&amp;"-"&amp;P1707&amp;"-"&amp;Q1707</f>
        <v>SOIE-SWIMWEAR-AQS-9--S-</v>
      </c>
    </row>
    <row r="1708" customFormat="false" ht="15" hidden="true" customHeight="false" outlineLevel="0" collapsed="false">
      <c r="B1708" s="146" t="s">
        <v>2261</v>
      </c>
      <c r="C1708" s="146" t="s">
        <v>2068</v>
      </c>
      <c r="D1708" s="147" t="s">
        <v>2069</v>
      </c>
      <c r="E1708" s="148" t="s">
        <v>2249</v>
      </c>
      <c r="F1708" s="148" t="s">
        <v>2249</v>
      </c>
      <c r="G1708" s="148" t="s">
        <v>2072</v>
      </c>
      <c r="H1708" s="148" t="s">
        <v>70</v>
      </c>
      <c r="I1708" s="26" t="s">
        <v>43</v>
      </c>
      <c r="J1708" s="26"/>
      <c r="K1708" s="149"/>
      <c r="L1708" s="149"/>
      <c r="M1708" s="146" t="s">
        <v>2262</v>
      </c>
      <c r="N1708" s="146" t="s">
        <v>2263</v>
      </c>
      <c r="O1708" s="146"/>
      <c r="P1708" s="146" t="s">
        <v>1159</v>
      </c>
      <c r="Q1708" s="158"/>
      <c r="R1708" s="158" t="n">
        <v>1494</v>
      </c>
      <c r="S1708" s="158" t="n">
        <v>2490</v>
      </c>
      <c r="T1708" s="150" t="n">
        <v>1</v>
      </c>
      <c r="U1708" s="1" t="str">
        <f aca="false">D1708&amp;"-"&amp;E1708&amp;"-"&amp;M1708&amp;"-"&amp;O1708&amp;"-"&amp;P1708&amp;"-"&amp;Q1708</f>
        <v>SOIE-SWIMWEAR-AQS-19--XL-</v>
      </c>
    </row>
    <row r="1709" customFormat="false" ht="15" hidden="true" customHeight="false" outlineLevel="0" collapsed="false">
      <c r="B1709" s="151" t="s">
        <v>2264</v>
      </c>
      <c r="C1709" s="146" t="s">
        <v>2068</v>
      </c>
      <c r="D1709" s="147" t="s">
        <v>2069</v>
      </c>
      <c r="E1709" s="148" t="s">
        <v>2249</v>
      </c>
      <c r="F1709" s="148" t="s">
        <v>2249</v>
      </c>
      <c r="G1709" s="148" t="s">
        <v>2072</v>
      </c>
      <c r="H1709" s="148" t="s">
        <v>70</v>
      </c>
      <c r="I1709" s="26" t="s">
        <v>43</v>
      </c>
      <c r="J1709" s="26"/>
      <c r="K1709" s="149"/>
      <c r="L1709" s="149"/>
      <c r="M1709" s="151" t="s">
        <v>2262</v>
      </c>
      <c r="N1709" s="151" t="s">
        <v>2263</v>
      </c>
      <c r="O1709" s="151"/>
      <c r="P1709" s="151" t="s">
        <v>1850</v>
      </c>
      <c r="Q1709" s="158"/>
      <c r="R1709" s="158" t="n">
        <v>1494</v>
      </c>
      <c r="S1709" s="158" t="n">
        <v>2490</v>
      </c>
      <c r="T1709" s="150" t="n">
        <v>1</v>
      </c>
      <c r="U1709" s="1" t="str">
        <f aca="false">D1709&amp;"-"&amp;E1709&amp;"-"&amp;M1709&amp;"-"&amp;O1709&amp;"-"&amp;P1709&amp;"-"&amp;Q1709</f>
        <v>SOIE-SWIMWEAR-AQS-19--XXL-</v>
      </c>
    </row>
    <row r="1710" customFormat="false" ht="15" hidden="true" customHeight="false" outlineLevel="0" collapsed="false">
      <c r="B1710" s="146" t="s">
        <v>2265</v>
      </c>
      <c r="C1710" s="146" t="s">
        <v>2068</v>
      </c>
      <c r="D1710" s="147" t="s">
        <v>2069</v>
      </c>
      <c r="E1710" s="148" t="s">
        <v>2249</v>
      </c>
      <c r="F1710" s="148" t="s">
        <v>2249</v>
      </c>
      <c r="G1710" s="148" t="s">
        <v>2072</v>
      </c>
      <c r="H1710" s="148" t="s">
        <v>70</v>
      </c>
      <c r="I1710" s="26" t="s">
        <v>43</v>
      </c>
      <c r="J1710" s="26"/>
      <c r="K1710" s="149"/>
      <c r="L1710" s="149"/>
      <c r="M1710" s="146" t="s">
        <v>2251</v>
      </c>
      <c r="N1710" s="146" t="s">
        <v>2252</v>
      </c>
      <c r="O1710" s="146"/>
      <c r="P1710" s="146" t="s">
        <v>1159</v>
      </c>
      <c r="Q1710" s="158"/>
      <c r="R1710" s="158" t="n">
        <v>1194</v>
      </c>
      <c r="S1710" s="158" t="n">
        <v>1990</v>
      </c>
      <c r="T1710" s="150" t="n">
        <v>1</v>
      </c>
      <c r="U1710" s="1" t="str">
        <f aca="false">D1710&amp;"-"&amp;E1710&amp;"-"&amp;M1710&amp;"-"&amp;O1710&amp;"-"&amp;P1710&amp;"-"&amp;Q1710</f>
        <v>SOIE-SWIMWEAR-AQS-6--XL-</v>
      </c>
    </row>
    <row r="1711" customFormat="false" ht="15" hidden="true" customHeight="false" outlineLevel="0" collapsed="false">
      <c r="B1711" s="146" t="s">
        <v>2266</v>
      </c>
      <c r="C1711" s="146" t="s">
        <v>2068</v>
      </c>
      <c r="D1711" s="147" t="s">
        <v>2069</v>
      </c>
      <c r="E1711" s="148" t="s">
        <v>2249</v>
      </c>
      <c r="F1711" s="148" t="s">
        <v>2249</v>
      </c>
      <c r="G1711" s="148" t="s">
        <v>2072</v>
      </c>
      <c r="H1711" s="148" t="s">
        <v>70</v>
      </c>
      <c r="I1711" s="26" t="s">
        <v>43</v>
      </c>
      <c r="J1711" s="26"/>
      <c r="K1711" s="149"/>
      <c r="L1711" s="149"/>
      <c r="M1711" s="146" t="s">
        <v>2251</v>
      </c>
      <c r="N1711" s="146" t="s">
        <v>2252</v>
      </c>
      <c r="O1711" s="146"/>
      <c r="P1711" s="146" t="s">
        <v>1145</v>
      </c>
      <c r="Q1711" s="158"/>
      <c r="R1711" s="158" t="n">
        <v>1194</v>
      </c>
      <c r="S1711" s="158" t="n">
        <v>1990</v>
      </c>
      <c r="T1711" s="150" t="n">
        <v>1</v>
      </c>
      <c r="U1711" s="1" t="str">
        <f aca="false">D1711&amp;"-"&amp;E1711&amp;"-"&amp;M1711&amp;"-"&amp;O1711&amp;"-"&amp;P1711&amp;"-"&amp;Q1711</f>
        <v>SOIE-SWIMWEAR-AQS-6--M-</v>
      </c>
    </row>
    <row r="1712" customFormat="false" ht="15" hidden="true" customHeight="false" outlineLevel="0" collapsed="false">
      <c r="B1712" s="146" t="s">
        <v>2267</v>
      </c>
      <c r="C1712" s="146" t="s">
        <v>2068</v>
      </c>
      <c r="D1712" s="147" t="s">
        <v>2069</v>
      </c>
      <c r="E1712" s="148" t="s">
        <v>2249</v>
      </c>
      <c r="F1712" s="148" t="s">
        <v>2249</v>
      </c>
      <c r="G1712" s="148" t="s">
        <v>2072</v>
      </c>
      <c r="H1712" s="148" t="s">
        <v>70</v>
      </c>
      <c r="I1712" s="26" t="s">
        <v>43</v>
      </c>
      <c r="J1712" s="26"/>
      <c r="K1712" s="149"/>
      <c r="L1712" s="149"/>
      <c r="M1712" s="146" t="s">
        <v>2268</v>
      </c>
      <c r="N1712" s="146" t="s">
        <v>2269</v>
      </c>
      <c r="O1712" s="146"/>
      <c r="P1712" s="146" t="s">
        <v>1850</v>
      </c>
      <c r="Q1712" s="158"/>
      <c r="R1712" s="158" t="n">
        <v>1194</v>
      </c>
      <c r="S1712" s="158" t="n">
        <v>1990</v>
      </c>
      <c r="T1712" s="165" t="n">
        <v>1</v>
      </c>
      <c r="U1712" s="1" t="str">
        <f aca="false">D1712&amp;"-"&amp;E1712&amp;"-"&amp;M1712&amp;"-"&amp;O1712&amp;"-"&amp;P1712&amp;"-"&amp;Q1712</f>
        <v>SOIE-SWIMWEAR-AQS-2--XXL-</v>
      </c>
    </row>
    <row r="1713" customFormat="false" ht="15" hidden="true" customHeight="false" outlineLevel="0" collapsed="false">
      <c r="A1713" s="137"/>
      <c r="B1713" s="154" t="n">
        <v>8903976908665</v>
      </c>
      <c r="C1713" s="146" t="s">
        <v>2068</v>
      </c>
      <c r="D1713" s="147" t="s">
        <v>2069</v>
      </c>
      <c r="E1713" s="148" t="s">
        <v>2249</v>
      </c>
      <c r="F1713" s="148" t="s">
        <v>2249</v>
      </c>
      <c r="G1713" s="148" t="s">
        <v>2072</v>
      </c>
      <c r="H1713" s="148" t="s">
        <v>70</v>
      </c>
      <c r="I1713" s="26" t="s">
        <v>43</v>
      </c>
      <c r="J1713" s="131"/>
      <c r="K1713" s="155"/>
      <c r="L1713" s="170"/>
      <c r="M1713" s="151" t="s">
        <v>2260</v>
      </c>
      <c r="N1713" s="166" t="s">
        <v>437</v>
      </c>
      <c r="O1713" s="150"/>
      <c r="P1713" s="166" t="s">
        <v>1142</v>
      </c>
      <c r="Q1713" s="165"/>
      <c r="R1713" s="165" t="n">
        <v>1494</v>
      </c>
      <c r="S1713" s="165" t="n">
        <v>2490</v>
      </c>
      <c r="T1713" s="150" t="n">
        <v>1</v>
      </c>
      <c r="U1713" s="1" t="str">
        <f aca="false">D1713&amp;"-"&amp;E1713&amp;"-"&amp;M1713&amp;"-"&amp;O1713&amp;"-"&amp;P1713&amp;"-"&amp;Q1713</f>
        <v>SOIE-SWIMWEAR-AQS-9--L-</v>
      </c>
    </row>
    <row r="1714" customFormat="false" ht="15" hidden="true" customHeight="false" outlineLevel="0" collapsed="false">
      <c r="A1714" s="137"/>
      <c r="B1714" s="154" t="n">
        <v>8903976908511</v>
      </c>
      <c r="C1714" s="146" t="s">
        <v>2068</v>
      </c>
      <c r="D1714" s="147" t="s">
        <v>2069</v>
      </c>
      <c r="E1714" s="148" t="s">
        <v>2249</v>
      </c>
      <c r="F1714" s="148" t="s">
        <v>2249</v>
      </c>
      <c r="G1714" s="148" t="s">
        <v>2072</v>
      </c>
      <c r="H1714" s="148" t="s">
        <v>70</v>
      </c>
      <c r="I1714" s="26" t="s">
        <v>43</v>
      </c>
      <c r="J1714" s="131"/>
      <c r="K1714" s="155"/>
      <c r="L1714" s="149"/>
      <c r="M1714" s="157" t="s">
        <v>2251</v>
      </c>
      <c r="N1714" s="146" t="s">
        <v>2252</v>
      </c>
      <c r="O1714" s="150"/>
      <c r="P1714" s="157" t="s">
        <v>1142</v>
      </c>
      <c r="Q1714" s="165"/>
      <c r="R1714" s="165" t="n">
        <v>1194</v>
      </c>
      <c r="S1714" s="165" t="n">
        <v>1990</v>
      </c>
      <c r="T1714" s="150" t="n">
        <v>1</v>
      </c>
      <c r="U1714" s="1" t="str">
        <f aca="false">D1714&amp;"-"&amp;E1714&amp;"-"&amp;M1714&amp;"-"&amp;O1714&amp;"-"&amp;P1714&amp;"-"&amp;Q1714</f>
        <v>SOIE-SWIMWEAR-AQS-6--L-</v>
      </c>
    </row>
    <row r="1715" customFormat="false" ht="15" hidden="true" customHeight="false" outlineLevel="0" collapsed="false">
      <c r="A1715" s="137"/>
      <c r="B1715" s="154" t="n">
        <v>8903976908542</v>
      </c>
      <c r="C1715" s="146" t="s">
        <v>2068</v>
      </c>
      <c r="D1715" s="147" t="s">
        <v>2069</v>
      </c>
      <c r="E1715" s="148" t="s">
        <v>2249</v>
      </c>
      <c r="F1715" s="148" t="s">
        <v>2249</v>
      </c>
      <c r="G1715" s="148" t="s">
        <v>2072</v>
      </c>
      <c r="H1715" s="148" t="s">
        <v>70</v>
      </c>
      <c r="I1715" s="26" t="s">
        <v>43</v>
      </c>
      <c r="J1715" s="131"/>
      <c r="K1715" s="155"/>
      <c r="L1715" s="149"/>
      <c r="M1715" s="157" t="s">
        <v>2251</v>
      </c>
      <c r="N1715" s="146" t="s">
        <v>2252</v>
      </c>
      <c r="O1715" s="150"/>
      <c r="P1715" s="157" t="s">
        <v>1850</v>
      </c>
      <c r="Q1715" s="165"/>
      <c r="R1715" s="165" t="n">
        <v>1194</v>
      </c>
      <c r="S1715" s="165" t="n">
        <v>1990</v>
      </c>
      <c r="T1715" s="150" t="n">
        <v>1</v>
      </c>
      <c r="U1715" s="1" t="str">
        <f aca="false">D1715&amp;"-"&amp;E1715&amp;"-"&amp;M1715&amp;"-"&amp;O1715&amp;"-"&amp;P1715&amp;"-"&amp;Q1715</f>
        <v>SOIE-SWIMWEAR-AQS-6--XXL-</v>
      </c>
    </row>
    <row r="1716" customFormat="false" ht="15" hidden="true" customHeight="false" outlineLevel="0" collapsed="false">
      <c r="A1716" s="137"/>
      <c r="B1716" s="154" t="n">
        <v>8903976919111</v>
      </c>
      <c r="C1716" s="146" t="s">
        <v>2068</v>
      </c>
      <c r="D1716" s="147" t="s">
        <v>2069</v>
      </c>
      <c r="E1716" s="146" t="s">
        <v>2131</v>
      </c>
      <c r="F1716" s="148" t="s">
        <v>2071</v>
      </c>
      <c r="G1716" s="164" t="s">
        <v>573</v>
      </c>
      <c r="H1716" s="148" t="s">
        <v>42</v>
      </c>
      <c r="I1716" s="26" t="s">
        <v>43</v>
      </c>
      <c r="J1716" s="131"/>
      <c r="K1716" s="155"/>
      <c r="L1716" s="156"/>
      <c r="M1716" s="147" t="s">
        <v>2132</v>
      </c>
      <c r="N1716" s="161" t="s">
        <v>2080</v>
      </c>
      <c r="O1716" s="161" t="s">
        <v>76</v>
      </c>
      <c r="P1716" s="146" t="s">
        <v>154</v>
      </c>
      <c r="Q1716" s="157" t="s">
        <v>1890</v>
      </c>
      <c r="R1716" s="158" t="n">
        <v>843.75</v>
      </c>
      <c r="S1716" s="165" t="n">
        <v>1390</v>
      </c>
      <c r="T1716" s="150" t="n">
        <v>1</v>
      </c>
      <c r="U1716" s="1" t="str">
        <f aca="false">D1716&amp;"-"&amp;E1716&amp;"-"&amp;M1716&amp;"-"&amp;O1716&amp;"-"&amp;P1716&amp;"-"&amp;Q1716</f>
        <v>SOIE-CB-132 PADDED BRA-CB-132-BLK-38-Z</v>
      </c>
    </row>
    <row r="1717" customFormat="false" ht="15" hidden="true" customHeight="false" outlineLevel="0" collapsed="false">
      <c r="A1717" s="137"/>
      <c r="B1717" s="154" t="n">
        <v>8903976874045</v>
      </c>
      <c r="C1717" s="146" t="s">
        <v>2068</v>
      </c>
      <c r="D1717" s="147" t="s">
        <v>2069</v>
      </c>
      <c r="E1717" s="146" t="s">
        <v>2131</v>
      </c>
      <c r="F1717" s="148" t="s">
        <v>2071</v>
      </c>
      <c r="G1717" s="164" t="s">
        <v>573</v>
      </c>
      <c r="H1717" s="148" t="s">
        <v>42</v>
      </c>
      <c r="I1717" s="26" t="s">
        <v>43</v>
      </c>
      <c r="J1717" s="131"/>
      <c r="K1717" s="155"/>
      <c r="L1717" s="152"/>
      <c r="M1717" s="147" t="s">
        <v>2132</v>
      </c>
      <c r="N1717" s="147" t="s">
        <v>612</v>
      </c>
      <c r="O1717" s="147" t="s">
        <v>72</v>
      </c>
      <c r="P1717" s="146" t="s">
        <v>154</v>
      </c>
      <c r="Q1717" s="157" t="s">
        <v>1890</v>
      </c>
      <c r="R1717" s="158" t="n">
        <v>843.75</v>
      </c>
      <c r="S1717" s="165" t="n">
        <v>1390</v>
      </c>
      <c r="T1717" s="150" t="n">
        <v>1</v>
      </c>
      <c r="U1717" s="1" t="str">
        <f aca="false">D1717&amp;"-"&amp;E1717&amp;"-"&amp;M1717&amp;"-"&amp;O1717&amp;"-"&amp;P1717&amp;"-"&amp;Q1717</f>
        <v>SOIE-CB-132 PADDED BRA-CB-132-WHE-38-Z</v>
      </c>
    </row>
    <row r="1718" customFormat="false" ht="15" hidden="true" customHeight="false" outlineLevel="0" collapsed="false">
      <c r="A1718" s="137"/>
      <c r="B1718" s="154" t="n">
        <v>8903976873604</v>
      </c>
      <c r="C1718" s="146" t="s">
        <v>2068</v>
      </c>
      <c r="D1718" s="147" t="s">
        <v>2069</v>
      </c>
      <c r="E1718" s="146" t="s">
        <v>2131</v>
      </c>
      <c r="F1718" s="148" t="s">
        <v>2071</v>
      </c>
      <c r="G1718" s="164" t="s">
        <v>573</v>
      </c>
      <c r="H1718" s="148" t="s">
        <v>42</v>
      </c>
      <c r="I1718" s="26" t="s">
        <v>43</v>
      </c>
      <c r="J1718" s="131"/>
      <c r="K1718" s="155"/>
      <c r="L1718" s="152" t="s">
        <v>2138</v>
      </c>
      <c r="M1718" s="147" t="s">
        <v>2132</v>
      </c>
      <c r="N1718" s="147" t="s">
        <v>2138</v>
      </c>
      <c r="O1718" s="147" t="s">
        <v>2138</v>
      </c>
      <c r="P1718" s="146" t="s">
        <v>154</v>
      </c>
      <c r="Q1718" s="157" t="s">
        <v>1890</v>
      </c>
      <c r="R1718" s="158" t="n">
        <v>843.75</v>
      </c>
      <c r="S1718" s="165" t="n">
        <v>1390</v>
      </c>
      <c r="T1718" s="150" t="n">
        <v>1</v>
      </c>
      <c r="U1718" s="1" t="str">
        <f aca="false">D1718&amp;"-"&amp;E1718&amp;"-"&amp;M1718&amp;"-"&amp;O1718&amp;"-"&amp;P1718&amp;"-"&amp;Q1718</f>
        <v>SOIE-CB-132 PADDED BRA-CB-132-BARK-38-Z</v>
      </c>
    </row>
    <row r="1719" customFormat="false" ht="15" hidden="true" customHeight="false" outlineLevel="0" collapsed="false">
      <c r="A1719" s="137"/>
      <c r="B1719" s="171" t="s">
        <v>2270</v>
      </c>
      <c r="C1719" s="2" t="s">
        <v>580</v>
      </c>
      <c r="D1719" s="171" t="s">
        <v>581</v>
      </c>
      <c r="E1719" s="171" t="s">
        <v>2271</v>
      </c>
      <c r="F1719" s="172" t="s">
        <v>80</v>
      </c>
      <c r="G1719" s="164" t="s">
        <v>573</v>
      </c>
      <c r="H1719" s="148" t="s">
        <v>70</v>
      </c>
      <c r="I1719" s="26" t="s">
        <v>43</v>
      </c>
      <c r="J1719" s="131"/>
      <c r="K1719" s="173" t="s">
        <v>2272</v>
      </c>
      <c r="L1719" s="173" t="s">
        <v>2273</v>
      </c>
      <c r="M1719" s="171" t="s">
        <v>2274</v>
      </c>
      <c r="N1719" s="171" t="s">
        <v>77</v>
      </c>
      <c r="O1719" s="171" t="s">
        <v>77</v>
      </c>
      <c r="P1719" s="171" t="s">
        <v>154</v>
      </c>
      <c r="Q1719" s="171" t="s">
        <v>595</v>
      </c>
      <c r="R1719" s="174" t="n">
        <v>1606.857</v>
      </c>
      <c r="S1719" s="174" t="n">
        <v>2499</v>
      </c>
      <c r="T1719" s="175" t="n">
        <v>3</v>
      </c>
      <c r="U1719" s="1" t="str">
        <f aca="false">D1719&amp;"-"&amp;E1719&amp;"-"&amp;M1719&amp;"-"&amp;O1719&amp;"-"&amp;P1719&amp;"-"&amp;Q1719</f>
        <v>TRIUMPH-LACY SENSATION W-151|537-BLACK-38-C</v>
      </c>
    </row>
    <row r="1720" customFormat="false" ht="15" hidden="true" customHeight="false" outlineLevel="0" collapsed="false">
      <c r="A1720" s="137"/>
      <c r="B1720" s="176" t="s">
        <v>2275</v>
      </c>
      <c r="C1720" s="2" t="s">
        <v>580</v>
      </c>
      <c r="D1720" s="176" t="s">
        <v>581</v>
      </c>
      <c r="E1720" s="171" t="s">
        <v>2271</v>
      </c>
      <c r="F1720" s="172" t="s">
        <v>80</v>
      </c>
      <c r="G1720" s="164" t="s">
        <v>573</v>
      </c>
      <c r="H1720" s="148" t="s">
        <v>70</v>
      </c>
      <c r="I1720" s="26" t="s">
        <v>43</v>
      </c>
      <c r="J1720" s="131"/>
      <c r="K1720" s="173" t="s">
        <v>2272</v>
      </c>
      <c r="L1720" s="173" t="s">
        <v>2273</v>
      </c>
      <c r="M1720" s="171" t="s">
        <v>2274</v>
      </c>
      <c r="N1720" s="176" t="s">
        <v>77</v>
      </c>
      <c r="O1720" s="176" t="s">
        <v>77</v>
      </c>
      <c r="P1720" s="176" t="s">
        <v>134</v>
      </c>
      <c r="Q1720" s="176" t="s">
        <v>97</v>
      </c>
      <c r="R1720" s="177" t="n">
        <v>1606.857</v>
      </c>
      <c r="S1720" s="177" t="n">
        <v>2499</v>
      </c>
      <c r="T1720" s="178" t="n">
        <v>2</v>
      </c>
      <c r="U1720" s="1" t="str">
        <f aca="false">D1720&amp;"-"&amp;E1720&amp;"-"&amp;M1720&amp;"-"&amp;O1720&amp;"-"&amp;P1720&amp;"-"&amp;Q1720</f>
        <v>TRIUMPH-LACY SENSATION W-151|537-BLACK-34-D</v>
      </c>
    </row>
    <row r="1721" customFormat="false" ht="15" hidden="true" customHeight="false" outlineLevel="0" collapsed="false">
      <c r="A1721" s="137"/>
      <c r="B1721" s="179" t="s">
        <v>2276</v>
      </c>
      <c r="C1721" s="2" t="s">
        <v>580</v>
      </c>
      <c r="D1721" s="179" t="s">
        <v>581</v>
      </c>
      <c r="E1721" s="171" t="s">
        <v>2271</v>
      </c>
      <c r="F1721" s="172" t="s">
        <v>80</v>
      </c>
      <c r="G1721" s="164" t="s">
        <v>573</v>
      </c>
      <c r="H1721" s="148" t="s">
        <v>70</v>
      </c>
      <c r="I1721" s="26" t="s">
        <v>43</v>
      </c>
      <c r="J1721" s="131"/>
      <c r="K1721" s="173" t="s">
        <v>2272</v>
      </c>
      <c r="L1721" s="173" t="s">
        <v>2273</v>
      </c>
      <c r="M1721" s="171" t="s">
        <v>2274</v>
      </c>
      <c r="N1721" s="179" t="s">
        <v>77</v>
      </c>
      <c r="O1721" s="179" t="s">
        <v>77</v>
      </c>
      <c r="P1721" s="179" t="s">
        <v>65</v>
      </c>
      <c r="Q1721" s="179" t="s">
        <v>97</v>
      </c>
      <c r="R1721" s="180" t="n">
        <v>1606.857</v>
      </c>
      <c r="S1721" s="180" t="n">
        <v>2499</v>
      </c>
      <c r="T1721" s="181" t="n">
        <v>4</v>
      </c>
      <c r="U1721" s="1" t="str">
        <f aca="false">D1721&amp;"-"&amp;E1721&amp;"-"&amp;M1721&amp;"-"&amp;O1721&amp;"-"&amp;P1721&amp;"-"&amp;Q1721</f>
        <v>TRIUMPH-LACY SENSATION W-151|537-BLACK-36-D</v>
      </c>
    </row>
    <row r="1722" customFormat="false" ht="15" hidden="true" customHeight="false" outlineLevel="0" collapsed="false">
      <c r="A1722" s="137"/>
      <c r="B1722" s="176" t="s">
        <v>2277</v>
      </c>
      <c r="C1722" s="2" t="s">
        <v>580</v>
      </c>
      <c r="D1722" s="176" t="s">
        <v>581</v>
      </c>
      <c r="E1722" s="171" t="s">
        <v>2271</v>
      </c>
      <c r="F1722" s="172" t="s">
        <v>80</v>
      </c>
      <c r="G1722" s="164" t="s">
        <v>573</v>
      </c>
      <c r="H1722" s="148" t="s">
        <v>70</v>
      </c>
      <c r="I1722" s="26" t="s">
        <v>43</v>
      </c>
      <c r="J1722" s="131"/>
      <c r="K1722" s="173" t="s">
        <v>2272</v>
      </c>
      <c r="L1722" s="173" t="s">
        <v>2273</v>
      </c>
      <c r="M1722" s="171" t="s">
        <v>2274</v>
      </c>
      <c r="N1722" s="176" t="s">
        <v>77</v>
      </c>
      <c r="O1722" s="176" t="s">
        <v>77</v>
      </c>
      <c r="P1722" s="176" t="s">
        <v>154</v>
      </c>
      <c r="Q1722" s="176" t="s">
        <v>97</v>
      </c>
      <c r="R1722" s="177" t="n">
        <v>1606.857</v>
      </c>
      <c r="S1722" s="177" t="n">
        <v>2499</v>
      </c>
      <c r="T1722" s="178" t="n">
        <v>1</v>
      </c>
      <c r="U1722" s="1" t="str">
        <f aca="false">D1722&amp;"-"&amp;E1722&amp;"-"&amp;M1722&amp;"-"&amp;O1722&amp;"-"&amp;P1722&amp;"-"&amp;Q1722</f>
        <v>TRIUMPH-LACY SENSATION W-151|537-BLACK-38-D</v>
      </c>
    </row>
    <row r="1723" customFormat="false" ht="15" hidden="true" customHeight="false" outlineLevel="0" collapsed="false">
      <c r="A1723" s="137"/>
      <c r="B1723" s="179" t="s">
        <v>2278</v>
      </c>
      <c r="C1723" s="2" t="s">
        <v>580</v>
      </c>
      <c r="D1723" s="179" t="s">
        <v>581</v>
      </c>
      <c r="E1723" s="171" t="s">
        <v>2271</v>
      </c>
      <c r="F1723" s="172" t="s">
        <v>80</v>
      </c>
      <c r="G1723" s="164" t="s">
        <v>573</v>
      </c>
      <c r="H1723" s="148" t="s">
        <v>70</v>
      </c>
      <c r="I1723" s="26" t="s">
        <v>43</v>
      </c>
      <c r="J1723" s="131"/>
      <c r="K1723" s="173" t="s">
        <v>2272</v>
      </c>
      <c r="L1723" s="173" t="s">
        <v>2273</v>
      </c>
      <c r="M1723" s="171" t="s">
        <v>2274</v>
      </c>
      <c r="N1723" s="179" t="s">
        <v>77</v>
      </c>
      <c r="O1723" s="179" t="s">
        <v>77</v>
      </c>
      <c r="P1723" s="179" t="s">
        <v>417</v>
      </c>
      <c r="Q1723" s="179" t="s">
        <v>97</v>
      </c>
      <c r="R1723" s="180" t="n">
        <v>1606.857</v>
      </c>
      <c r="S1723" s="180" t="n">
        <v>2499</v>
      </c>
      <c r="T1723" s="181" t="n">
        <v>6</v>
      </c>
      <c r="U1723" s="1" t="str">
        <f aca="false">D1723&amp;"-"&amp;E1723&amp;"-"&amp;M1723&amp;"-"&amp;O1723&amp;"-"&amp;P1723&amp;"-"&amp;Q1723</f>
        <v>TRIUMPH-LACY SENSATION W-151|537-BLACK-40-D</v>
      </c>
    </row>
    <row r="1724" customFormat="false" ht="15" hidden="true" customHeight="false" outlineLevel="0" collapsed="false">
      <c r="A1724" s="137"/>
      <c r="B1724" s="176" t="s">
        <v>2279</v>
      </c>
      <c r="C1724" s="2" t="s">
        <v>580</v>
      </c>
      <c r="D1724" s="176" t="s">
        <v>581</v>
      </c>
      <c r="E1724" s="171" t="s">
        <v>2271</v>
      </c>
      <c r="F1724" s="172" t="s">
        <v>80</v>
      </c>
      <c r="G1724" s="164" t="s">
        <v>573</v>
      </c>
      <c r="H1724" s="148" t="s">
        <v>70</v>
      </c>
      <c r="I1724" s="26" t="s">
        <v>43</v>
      </c>
      <c r="J1724" s="131"/>
      <c r="K1724" s="173" t="s">
        <v>2272</v>
      </c>
      <c r="L1724" s="173" t="s">
        <v>2273</v>
      </c>
      <c r="M1724" s="171" t="s">
        <v>2274</v>
      </c>
      <c r="N1724" s="176" t="s">
        <v>77</v>
      </c>
      <c r="O1724" s="176" t="s">
        <v>77</v>
      </c>
      <c r="P1724" s="176" t="s">
        <v>134</v>
      </c>
      <c r="Q1724" s="176" t="s">
        <v>66</v>
      </c>
      <c r="R1724" s="177" t="n">
        <v>1606.857</v>
      </c>
      <c r="S1724" s="177" t="n">
        <v>2499</v>
      </c>
      <c r="T1724" s="178" t="n">
        <v>3</v>
      </c>
      <c r="U1724" s="1" t="str">
        <f aca="false">D1724&amp;"-"&amp;E1724&amp;"-"&amp;M1724&amp;"-"&amp;O1724&amp;"-"&amp;P1724&amp;"-"&amp;Q1724</f>
        <v>TRIUMPH-LACY SENSATION W-151|537-BLACK-34-E</v>
      </c>
    </row>
    <row r="1725" customFormat="false" ht="15" hidden="true" customHeight="false" outlineLevel="0" collapsed="false">
      <c r="A1725" s="137"/>
      <c r="B1725" s="179" t="s">
        <v>2280</v>
      </c>
      <c r="C1725" s="2" t="s">
        <v>580</v>
      </c>
      <c r="D1725" s="179" t="s">
        <v>581</v>
      </c>
      <c r="E1725" s="171" t="s">
        <v>2271</v>
      </c>
      <c r="F1725" s="172" t="s">
        <v>80</v>
      </c>
      <c r="G1725" s="164" t="s">
        <v>573</v>
      </c>
      <c r="H1725" s="148" t="s">
        <v>70</v>
      </c>
      <c r="I1725" s="26" t="s">
        <v>43</v>
      </c>
      <c r="J1725" s="131"/>
      <c r="K1725" s="173" t="s">
        <v>2272</v>
      </c>
      <c r="L1725" s="173" t="s">
        <v>2273</v>
      </c>
      <c r="M1725" s="171" t="s">
        <v>2274</v>
      </c>
      <c r="N1725" s="179" t="s">
        <v>77</v>
      </c>
      <c r="O1725" s="179" t="s">
        <v>77</v>
      </c>
      <c r="P1725" s="179" t="s">
        <v>65</v>
      </c>
      <c r="Q1725" s="179" t="s">
        <v>66</v>
      </c>
      <c r="R1725" s="180" t="n">
        <v>1606.857</v>
      </c>
      <c r="S1725" s="180" t="n">
        <v>2499</v>
      </c>
      <c r="T1725" s="181" t="n">
        <v>3</v>
      </c>
      <c r="U1725" s="1" t="str">
        <f aca="false">D1725&amp;"-"&amp;E1725&amp;"-"&amp;M1725&amp;"-"&amp;O1725&amp;"-"&amp;P1725&amp;"-"&amp;Q1725</f>
        <v>TRIUMPH-LACY SENSATION W-151|537-BLACK-36-E</v>
      </c>
    </row>
    <row r="1726" customFormat="false" ht="15" hidden="true" customHeight="false" outlineLevel="0" collapsed="false">
      <c r="A1726" s="137"/>
      <c r="B1726" s="176" t="s">
        <v>2281</v>
      </c>
      <c r="C1726" s="2" t="s">
        <v>580</v>
      </c>
      <c r="D1726" s="176" t="s">
        <v>581</v>
      </c>
      <c r="E1726" s="171" t="s">
        <v>2271</v>
      </c>
      <c r="F1726" s="172" t="s">
        <v>80</v>
      </c>
      <c r="G1726" s="164" t="s">
        <v>573</v>
      </c>
      <c r="H1726" s="148" t="s">
        <v>70</v>
      </c>
      <c r="I1726" s="26" t="s">
        <v>43</v>
      </c>
      <c r="J1726" s="131"/>
      <c r="K1726" s="173" t="s">
        <v>2272</v>
      </c>
      <c r="L1726" s="173" t="s">
        <v>2273</v>
      </c>
      <c r="M1726" s="171" t="s">
        <v>2274</v>
      </c>
      <c r="N1726" s="176" t="s">
        <v>77</v>
      </c>
      <c r="O1726" s="176" t="s">
        <v>77</v>
      </c>
      <c r="P1726" s="176" t="s">
        <v>417</v>
      </c>
      <c r="Q1726" s="176" t="s">
        <v>66</v>
      </c>
      <c r="R1726" s="177" t="n">
        <v>1606.857</v>
      </c>
      <c r="S1726" s="177" t="n">
        <v>2499</v>
      </c>
      <c r="T1726" s="178" t="n">
        <v>5</v>
      </c>
      <c r="U1726" s="1" t="str">
        <f aca="false">D1726&amp;"-"&amp;E1726&amp;"-"&amp;M1726&amp;"-"&amp;O1726&amp;"-"&amp;P1726&amp;"-"&amp;Q1726</f>
        <v>TRIUMPH-LACY SENSATION W-151|537-BLACK-40-E</v>
      </c>
    </row>
    <row r="1727" customFormat="false" ht="15" hidden="true" customHeight="false" outlineLevel="0" collapsed="false">
      <c r="A1727" s="137"/>
      <c r="B1727" s="179" t="s">
        <v>2282</v>
      </c>
      <c r="C1727" s="2" t="s">
        <v>580</v>
      </c>
      <c r="D1727" s="179" t="s">
        <v>581</v>
      </c>
      <c r="E1727" s="171" t="s">
        <v>2271</v>
      </c>
      <c r="F1727" s="172" t="s">
        <v>80</v>
      </c>
      <c r="G1727" s="164" t="s">
        <v>573</v>
      </c>
      <c r="H1727" s="148" t="s">
        <v>70</v>
      </c>
      <c r="I1727" s="26" t="s">
        <v>43</v>
      </c>
      <c r="J1727" s="131"/>
      <c r="K1727" s="173" t="s">
        <v>2272</v>
      </c>
      <c r="L1727" s="173" t="s">
        <v>2273</v>
      </c>
      <c r="M1727" s="171" t="s">
        <v>2274</v>
      </c>
      <c r="N1727" s="179" t="s">
        <v>77</v>
      </c>
      <c r="O1727" s="179" t="s">
        <v>77</v>
      </c>
      <c r="P1727" s="179" t="s">
        <v>134</v>
      </c>
      <c r="Q1727" s="179" t="s">
        <v>50</v>
      </c>
      <c r="R1727" s="180" t="n">
        <v>1606.857</v>
      </c>
      <c r="S1727" s="180" t="n">
        <v>2499</v>
      </c>
      <c r="T1727" s="181" t="n">
        <v>8</v>
      </c>
      <c r="U1727" s="1" t="str">
        <f aca="false">D1727&amp;"-"&amp;E1727&amp;"-"&amp;M1727&amp;"-"&amp;O1727&amp;"-"&amp;P1727&amp;"-"&amp;Q1727</f>
        <v>TRIUMPH-LACY SENSATION W-151|537-BLACK-34-F</v>
      </c>
    </row>
    <row r="1728" customFormat="false" ht="15" hidden="true" customHeight="false" outlineLevel="0" collapsed="false">
      <c r="A1728" s="137"/>
      <c r="B1728" s="176" t="s">
        <v>2283</v>
      </c>
      <c r="C1728" s="2" t="s">
        <v>580</v>
      </c>
      <c r="D1728" s="176" t="s">
        <v>581</v>
      </c>
      <c r="E1728" s="171" t="s">
        <v>2271</v>
      </c>
      <c r="F1728" s="172" t="s">
        <v>80</v>
      </c>
      <c r="G1728" s="164" t="s">
        <v>573</v>
      </c>
      <c r="H1728" s="148" t="s">
        <v>70</v>
      </c>
      <c r="I1728" s="26" t="s">
        <v>43</v>
      </c>
      <c r="J1728" s="131"/>
      <c r="K1728" s="173" t="s">
        <v>2272</v>
      </c>
      <c r="L1728" s="173" t="s">
        <v>2273</v>
      </c>
      <c r="M1728" s="171" t="s">
        <v>2274</v>
      </c>
      <c r="N1728" s="176" t="s">
        <v>594</v>
      </c>
      <c r="O1728" s="176" t="s">
        <v>594</v>
      </c>
      <c r="P1728" s="176" t="s">
        <v>65</v>
      </c>
      <c r="Q1728" s="176" t="s">
        <v>595</v>
      </c>
      <c r="R1728" s="177" t="n">
        <v>1606.857</v>
      </c>
      <c r="S1728" s="177" t="n">
        <v>2499</v>
      </c>
      <c r="T1728" s="178" t="n">
        <v>0</v>
      </c>
      <c r="U1728" s="1" t="str">
        <f aca="false">D1728&amp;"-"&amp;E1728&amp;"-"&amp;M1728&amp;"-"&amp;O1728&amp;"-"&amp;P1728&amp;"-"&amp;Q1728</f>
        <v>TRIUMPH-LACY SENSATION W-151|537-PINK-36-C</v>
      </c>
    </row>
    <row r="1729" customFormat="false" ht="15" hidden="true" customHeight="false" outlineLevel="0" collapsed="false">
      <c r="A1729" s="137"/>
      <c r="B1729" s="179" t="s">
        <v>2284</v>
      </c>
      <c r="C1729" s="2" t="s">
        <v>580</v>
      </c>
      <c r="D1729" s="179" t="s">
        <v>581</v>
      </c>
      <c r="E1729" s="171" t="s">
        <v>2271</v>
      </c>
      <c r="F1729" s="172" t="s">
        <v>80</v>
      </c>
      <c r="G1729" s="164" t="s">
        <v>573</v>
      </c>
      <c r="H1729" s="148" t="s">
        <v>70</v>
      </c>
      <c r="I1729" s="26" t="s">
        <v>43</v>
      </c>
      <c r="J1729" s="131"/>
      <c r="K1729" s="173" t="s">
        <v>2272</v>
      </c>
      <c r="L1729" s="173" t="s">
        <v>2273</v>
      </c>
      <c r="M1729" s="171" t="s">
        <v>2274</v>
      </c>
      <c r="N1729" s="179" t="s">
        <v>594</v>
      </c>
      <c r="O1729" s="179" t="s">
        <v>594</v>
      </c>
      <c r="P1729" s="179" t="s">
        <v>154</v>
      </c>
      <c r="Q1729" s="179" t="s">
        <v>595</v>
      </c>
      <c r="R1729" s="180" t="n">
        <v>1606.857</v>
      </c>
      <c r="S1729" s="180" t="n">
        <v>2499</v>
      </c>
      <c r="T1729" s="181" t="n">
        <v>3</v>
      </c>
      <c r="U1729" s="1" t="str">
        <f aca="false">D1729&amp;"-"&amp;E1729&amp;"-"&amp;M1729&amp;"-"&amp;O1729&amp;"-"&amp;P1729&amp;"-"&amp;Q1729</f>
        <v>TRIUMPH-LACY SENSATION W-151|537-PINK-38-C</v>
      </c>
    </row>
    <row r="1730" customFormat="false" ht="15" hidden="true" customHeight="false" outlineLevel="0" collapsed="false">
      <c r="A1730" s="137"/>
      <c r="B1730" s="176" t="s">
        <v>2285</v>
      </c>
      <c r="C1730" s="2" t="s">
        <v>580</v>
      </c>
      <c r="D1730" s="176" t="s">
        <v>2286</v>
      </c>
      <c r="E1730" s="171" t="s">
        <v>2271</v>
      </c>
      <c r="F1730" s="172" t="s">
        <v>80</v>
      </c>
      <c r="G1730" s="164" t="s">
        <v>573</v>
      </c>
      <c r="H1730" s="148" t="s">
        <v>70</v>
      </c>
      <c r="I1730" s="26" t="s">
        <v>43</v>
      </c>
      <c r="J1730" s="131"/>
      <c r="K1730" s="173" t="s">
        <v>2272</v>
      </c>
      <c r="L1730" s="173" t="s">
        <v>2273</v>
      </c>
      <c r="M1730" s="171" t="s">
        <v>2274</v>
      </c>
      <c r="N1730" s="176" t="s">
        <v>594</v>
      </c>
      <c r="O1730" s="176" t="s">
        <v>2287</v>
      </c>
      <c r="P1730" s="176" t="s">
        <v>134</v>
      </c>
      <c r="Q1730" s="176" t="s">
        <v>97</v>
      </c>
      <c r="R1730" s="177" t="n">
        <v>1606.86</v>
      </c>
      <c r="S1730" s="177" t="n">
        <v>2499</v>
      </c>
      <c r="T1730" s="178" t="n">
        <v>0</v>
      </c>
      <c r="U1730" s="1" t="str">
        <f aca="false">D1730&amp;"-"&amp;E1730&amp;"-"&amp;M1730&amp;"-"&amp;O1730&amp;"-"&amp;P1730&amp;"-"&amp;Q1730</f>
        <v>TRIUPMH-LACY SENSATION W-151|537-UD-ROSE BROWN-34-D</v>
      </c>
    </row>
    <row r="1731" customFormat="false" ht="15" hidden="true" customHeight="false" outlineLevel="0" collapsed="false">
      <c r="A1731" s="137"/>
      <c r="B1731" s="179" t="s">
        <v>2288</v>
      </c>
      <c r="C1731" s="2" t="s">
        <v>580</v>
      </c>
      <c r="D1731" s="179" t="s">
        <v>581</v>
      </c>
      <c r="E1731" s="171" t="s">
        <v>2271</v>
      </c>
      <c r="F1731" s="172" t="s">
        <v>80</v>
      </c>
      <c r="G1731" s="164" t="s">
        <v>573</v>
      </c>
      <c r="H1731" s="148" t="s">
        <v>70</v>
      </c>
      <c r="I1731" s="26" t="s">
        <v>43</v>
      </c>
      <c r="J1731" s="131"/>
      <c r="K1731" s="173" t="s">
        <v>2272</v>
      </c>
      <c r="L1731" s="173" t="s">
        <v>2273</v>
      </c>
      <c r="M1731" s="171" t="s">
        <v>2274</v>
      </c>
      <c r="N1731" s="179" t="s">
        <v>594</v>
      </c>
      <c r="O1731" s="179" t="s">
        <v>594</v>
      </c>
      <c r="P1731" s="179" t="s">
        <v>417</v>
      </c>
      <c r="Q1731" s="179" t="s">
        <v>97</v>
      </c>
      <c r="R1731" s="180" t="n">
        <v>1606.857</v>
      </c>
      <c r="S1731" s="180" t="n">
        <v>2499</v>
      </c>
      <c r="T1731" s="181" t="n">
        <v>1</v>
      </c>
      <c r="U1731" s="1" t="str">
        <f aca="false">D1731&amp;"-"&amp;E1731&amp;"-"&amp;M1731&amp;"-"&amp;O1731&amp;"-"&amp;P1731&amp;"-"&amp;Q1731</f>
        <v>TRIUMPH-LACY SENSATION W-151|537-PINK-40-D</v>
      </c>
    </row>
    <row r="1732" customFormat="false" ht="15" hidden="true" customHeight="false" outlineLevel="0" collapsed="false">
      <c r="A1732" s="137"/>
      <c r="B1732" s="176" t="s">
        <v>2289</v>
      </c>
      <c r="C1732" s="2" t="s">
        <v>580</v>
      </c>
      <c r="D1732" s="176" t="s">
        <v>581</v>
      </c>
      <c r="E1732" s="171" t="s">
        <v>2271</v>
      </c>
      <c r="F1732" s="172" t="s">
        <v>80</v>
      </c>
      <c r="G1732" s="164" t="s">
        <v>573</v>
      </c>
      <c r="H1732" s="148" t="s">
        <v>70</v>
      </c>
      <c r="I1732" s="26" t="s">
        <v>43</v>
      </c>
      <c r="J1732" s="131"/>
      <c r="K1732" s="173" t="s">
        <v>2272</v>
      </c>
      <c r="L1732" s="173" t="s">
        <v>2273</v>
      </c>
      <c r="M1732" s="171" t="s">
        <v>2274</v>
      </c>
      <c r="N1732" s="176" t="s">
        <v>594</v>
      </c>
      <c r="O1732" s="176" t="s">
        <v>594</v>
      </c>
      <c r="P1732" s="176" t="s">
        <v>417</v>
      </c>
      <c r="Q1732" s="176" t="s">
        <v>66</v>
      </c>
      <c r="R1732" s="177" t="n">
        <v>1606.857</v>
      </c>
      <c r="S1732" s="177" t="n">
        <v>2499</v>
      </c>
      <c r="T1732" s="178" t="n">
        <v>2</v>
      </c>
      <c r="U1732" s="1" t="str">
        <f aca="false">D1732&amp;"-"&amp;E1732&amp;"-"&amp;M1732&amp;"-"&amp;O1732&amp;"-"&amp;P1732&amp;"-"&amp;Q1732</f>
        <v>TRIUMPH-LACY SENSATION W-151|537-PINK-40-E</v>
      </c>
    </row>
    <row r="1733" customFormat="false" ht="15" hidden="true" customHeight="false" outlineLevel="0" collapsed="false">
      <c r="A1733" s="137"/>
      <c r="B1733" s="179" t="s">
        <v>2290</v>
      </c>
      <c r="C1733" s="2" t="s">
        <v>580</v>
      </c>
      <c r="D1733" s="179" t="s">
        <v>581</v>
      </c>
      <c r="E1733" s="171" t="s">
        <v>2271</v>
      </c>
      <c r="F1733" s="172" t="s">
        <v>80</v>
      </c>
      <c r="G1733" s="164" t="s">
        <v>573</v>
      </c>
      <c r="H1733" s="148" t="s">
        <v>70</v>
      </c>
      <c r="I1733" s="26" t="s">
        <v>43</v>
      </c>
      <c r="J1733" s="131"/>
      <c r="K1733" s="173" t="s">
        <v>2272</v>
      </c>
      <c r="L1733" s="173" t="s">
        <v>2273</v>
      </c>
      <c r="M1733" s="171" t="s">
        <v>2274</v>
      </c>
      <c r="N1733" s="179" t="s">
        <v>594</v>
      </c>
      <c r="O1733" s="179" t="s">
        <v>594</v>
      </c>
      <c r="P1733" s="179" t="s">
        <v>154</v>
      </c>
      <c r="Q1733" s="179" t="s">
        <v>50</v>
      </c>
      <c r="R1733" s="180" t="n">
        <v>1606.857</v>
      </c>
      <c r="S1733" s="180" t="n">
        <v>2499</v>
      </c>
      <c r="T1733" s="181" t="n">
        <v>3</v>
      </c>
      <c r="U1733" s="1" t="str">
        <f aca="false">D1733&amp;"-"&amp;E1733&amp;"-"&amp;M1733&amp;"-"&amp;O1733&amp;"-"&amp;P1733&amp;"-"&amp;Q1733</f>
        <v>TRIUMPH-LACY SENSATION W-151|537-PINK-38-F</v>
      </c>
    </row>
    <row r="1734" customFormat="false" ht="15" hidden="true" customHeight="false" outlineLevel="0" collapsed="false">
      <c r="B1734" s="1" t="s">
        <v>2291</v>
      </c>
      <c r="C1734" s="17" t="s">
        <v>37</v>
      </c>
      <c r="D1734" s="17" t="s">
        <v>431</v>
      </c>
      <c r="E1734" s="29" t="s">
        <v>432</v>
      </c>
      <c r="F1734" s="14" t="s">
        <v>80</v>
      </c>
      <c r="G1734" s="3" t="s">
        <v>41</v>
      </c>
      <c r="H1734" s="14" t="s">
        <v>70</v>
      </c>
      <c r="I1734" s="14" t="s">
        <v>43</v>
      </c>
      <c r="J1734" s="29" t="s">
        <v>436</v>
      </c>
      <c r="K1734" s="29" t="s">
        <v>76</v>
      </c>
      <c r="L1734" s="17" t="s">
        <v>437</v>
      </c>
      <c r="M1734" s="29" t="s">
        <v>436</v>
      </c>
      <c r="N1734" s="29" t="s">
        <v>76</v>
      </c>
      <c r="O1734" s="17" t="s">
        <v>437</v>
      </c>
      <c r="P1734" s="17" t="s">
        <v>65</v>
      </c>
      <c r="Q1734" s="17" t="s">
        <v>105</v>
      </c>
      <c r="R1734" s="1" t="n">
        <v>2688</v>
      </c>
      <c r="S1734" s="1" t="n">
        <v>5700</v>
      </c>
      <c r="T1734" s="1" t="n">
        <v>1</v>
      </c>
      <c r="U1734" s="1" t="str">
        <f aca="false">D1734&amp;"-"&amp;E1734&amp;"-"&amp;M1734&amp;"-"&amp;O1734&amp;"-"&amp;P1734&amp;"-"&amp;Q1734</f>
        <v>GODDESS-YVETTE-GD6750-Black-36-G</v>
      </c>
    </row>
    <row r="1735" customFormat="false" ht="15" hidden="false" customHeight="false" outlineLevel="0" collapsed="false">
      <c r="B1735" s="17" t="s">
        <v>2292</v>
      </c>
      <c r="C1735" s="17" t="s">
        <v>37</v>
      </c>
      <c r="D1735" s="17" t="s">
        <v>431</v>
      </c>
      <c r="E1735" s="29" t="s">
        <v>432</v>
      </c>
      <c r="F1735" s="14" t="s">
        <v>80</v>
      </c>
      <c r="G1735" s="3" t="s">
        <v>41</v>
      </c>
      <c r="H1735" s="14" t="s">
        <v>70</v>
      </c>
      <c r="I1735" s="14" t="s">
        <v>43</v>
      </c>
      <c r="M1735" s="29" t="s">
        <v>436</v>
      </c>
      <c r="N1735" s="17" t="s">
        <v>76</v>
      </c>
      <c r="O1735" s="17" t="s">
        <v>77</v>
      </c>
      <c r="P1735" s="17" t="s">
        <v>417</v>
      </c>
      <c r="Q1735" s="17" t="s">
        <v>129</v>
      </c>
      <c r="R1735" s="1" t="n">
        <v>2772</v>
      </c>
      <c r="S1735" s="1" t="n">
        <v>5700</v>
      </c>
      <c r="T1735" s="23" t="n">
        <v>1</v>
      </c>
      <c r="U1735" s="1" t="str">
        <f aca="false">D1735&amp;"-"&amp;E1735&amp;"-"&amp;M1735&amp;"-"&amp;O1735&amp;"-"&amp;P1735&amp;"-"&amp;Q1735</f>
        <v>GODDESS-YVETTE-GD6750-BLACK-40-GG</v>
      </c>
      <c r="W1735" s="1" t="s">
        <v>113</v>
      </c>
    </row>
    <row r="1736" customFormat="false" ht="15" hidden="false" customHeight="false" outlineLevel="0" collapsed="false">
      <c r="B1736" s="17" t="s">
        <v>2293</v>
      </c>
      <c r="C1736" s="17" t="s">
        <v>37</v>
      </c>
      <c r="D1736" s="17" t="s">
        <v>431</v>
      </c>
      <c r="E1736" s="29" t="s">
        <v>432</v>
      </c>
      <c r="F1736" s="14" t="s">
        <v>80</v>
      </c>
      <c r="G1736" s="3" t="s">
        <v>41</v>
      </c>
      <c r="H1736" s="14" t="s">
        <v>70</v>
      </c>
      <c r="I1736" s="14" t="s">
        <v>43</v>
      </c>
      <c r="M1736" s="29" t="s">
        <v>436</v>
      </c>
      <c r="N1736" s="17" t="s">
        <v>464</v>
      </c>
      <c r="O1736" s="17" t="s">
        <v>465</v>
      </c>
      <c r="P1736" s="17" t="s">
        <v>449</v>
      </c>
      <c r="Q1736" s="17" t="s">
        <v>105</v>
      </c>
      <c r="R1736" s="1" t="n">
        <v>2520</v>
      </c>
      <c r="S1736" s="1" t="n">
        <v>5700</v>
      </c>
      <c r="T1736" s="23" t="n">
        <v>1</v>
      </c>
      <c r="U1736" s="1" t="str">
        <f aca="false">D1736&amp;"-"&amp;E1736&amp;"-"&amp;M1736&amp;"-"&amp;O1736&amp;"-"&amp;P1736&amp;"-"&amp;Q1736</f>
        <v>GODDESS-YVETTE-GD6750-SKIN-44-G</v>
      </c>
      <c r="W1736" s="1" t="s">
        <v>113</v>
      </c>
    </row>
    <row r="1737" customFormat="false" ht="15" hidden="false" customHeight="false" outlineLevel="0" collapsed="false">
      <c r="B1737" s="29" t="s">
        <v>2294</v>
      </c>
      <c r="C1737" s="17" t="s">
        <v>37</v>
      </c>
      <c r="D1737" s="17" t="s">
        <v>431</v>
      </c>
      <c r="E1737" s="29" t="s">
        <v>499</v>
      </c>
      <c r="F1737" s="14" t="s">
        <v>500</v>
      </c>
      <c r="G1737" s="3" t="s">
        <v>41</v>
      </c>
      <c r="H1737" s="14" t="s">
        <v>501</v>
      </c>
      <c r="I1737" s="14" t="s">
        <v>43</v>
      </c>
      <c r="M1737" s="29" t="s">
        <v>503</v>
      </c>
      <c r="N1737" s="29" t="s">
        <v>504</v>
      </c>
      <c r="O1737" s="29" t="s">
        <v>2295</v>
      </c>
      <c r="P1737" s="29" t="s">
        <v>134</v>
      </c>
      <c r="Q1737" s="29" t="s">
        <v>129</v>
      </c>
      <c r="R1737" s="1" t="n">
        <v>2688</v>
      </c>
      <c r="S1737" s="1" t="n">
        <v>5700</v>
      </c>
      <c r="T1737" s="23" t="n">
        <v>1</v>
      </c>
      <c r="U1737" s="1" t="str">
        <f aca="false">D1737&amp;"-"&amp;E1737&amp;"-"&amp;M1737&amp;"-"&amp;O1737&amp;"-"&amp;P1737&amp;"-"&amp;Q1737</f>
        <v>GODDESS-VERITY-GD700204-FAWN-34-GG</v>
      </c>
      <c r="W1737" s="1" t="s">
        <v>113</v>
      </c>
    </row>
    <row r="1738" customFormat="false" ht="15" hidden="false" customHeight="false" outlineLevel="0" collapsed="false">
      <c r="B1738" s="29" t="s">
        <v>2296</v>
      </c>
      <c r="C1738" s="17" t="s">
        <v>37</v>
      </c>
      <c r="D1738" s="17" t="s">
        <v>431</v>
      </c>
      <c r="E1738" s="29" t="s">
        <v>499</v>
      </c>
      <c r="F1738" s="14" t="s">
        <v>500</v>
      </c>
      <c r="G1738" s="3" t="s">
        <v>41</v>
      </c>
      <c r="H1738" s="14" t="s">
        <v>501</v>
      </c>
      <c r="I1738" s="14" t="s">
        <v>43</v>
      </c>
      <c r="M1738" s="29" t="s">
        <v>503</v>
      </c>
      <c r="N1738" s="29" t="s">
        <v>504</v>
      </c>
      <c r="O1738" s="29" t="s">
        <v>2295</v>
      </c>
      <c r="P1738" s="29" t="s">
        <v>134</v>
      </c>
      <c r="Q1738" s="29" t="s">
        <v>143</v>
      </c>
      <c r="R1738" s="1" t="n">
        <v>2688</v>
      </c>
      <c r="S1738" s="1" t="n">
        <v>5700</v>
      </c>
      <c r="T1738" s="23" t="n">
        <v>1</v>
      </c>
      <c r="U1738" s="1" t="str">
        <f aca="false">D1738&amp;"-"&amp;E1738&amp;"-"&amp;M1738&amp;"-"&amp;O1738&amp;"-"&amp;P1738&amp;"-"&amp;Q1738</f>
        <v>GODDESS-VERITY-GD700204-FAWN-34-H</v>
      </c>
      <c r="W1738" s="1" t="s">
        <v>113</v>
      </c>
    </row>
    <row r="1739" customFormat="false" ht="15" hidden="false" customHeight="false" outlineLevel="0" collapsed="false">
      <c r="B1739" s="29" t="s">
        <v>2297</v>
      </c>
      <c r="C1739" s="17" t="s">
        <v>37</v>
      </c>
      <c r="D1739" s="17" t="s">
        <v>431</v>
      </c>
      <c r="E1739" s="29" t="s">
        <v>499</v>
      </c>
      <c r="F1739" s="14" t="s">
        <v>500</v>
      </c>
      <c r="G1739" s="3" t="s">
        <v>41</v>
      </c>
      <c r="H1739" s="14" t="s">
        <v>501</v>
      </c>
      <c r="I1739" s="14" t="s">
        <v>43</v>
      </c>
      <c r="M1739" s="29" t="s">
        <v>503</v>
      </c>
      <c r="N1739" s="29" t="s">
        <v>504</v>
      </c>
      <c r="O1739" s="29" t="s">
        <v>2295</v>
      </c>
      <c r="P1739" s="29" t="s">
        <v>134</v>
      </c>
      <c r="Q1739" s="29" t="s">
        <v>131</v>
      </c>
      <c r="R1739" s="1" t="n">
        <v>2688</v>
      </c>
      <c r="S1739" s="1" t="n">
        <v>5700</v>
      </c>
      <c r="T1739" s="23" t="n">
        <v>1</v>
      </c>
      <c r="U1739" s="1" t="str">
        <f aca="false">D1739&amp;"-"&amp;E1739&amp;"-"&amp;M1739&amp;"-"&amp;O1739&amp;"-"&amp;P1739&amp;"-"&amp;Q1739</f>
        <v>GODDESS-VERITY-GD700204-FAWN-34-HH</v>
      </c>
      <c r="W1739" s="1" t="s">
        <v>113</v>
      </c>
    </row>
    <row r="1740" customFormat="false" ht="15" hidden="false" customHeight="false" outlineLevel="0" collapsed="false">
      <c r="B1740" s="17" t="s">
        <v>2298</v>
      </c>
      <c r="C1740" s="17" t="s">
        <v>37</v>
      </c>
      <c r="D1740" s="29" t="s">
        <v>431</v>
      </c>
      <c r="E1740" s="29" t="s">
        <v>499</v>
      </c>
      <c r="F1740" s="14" t="s">
        <v>500</v>
      </c>
      <c r="G1740" s="3" t="s">
        <v>41</v>
      </c>
      <c r="H1740" s="14" t="s">
        <v>501</v>
      </c>
      <c r="I1740" s="14" t="s">
        <v>43</v>
      </c>
      <c r="M1740" s="17" t="s">
        <v>547</v>
      </c>
      <c r="N1740" s="17" t="s">
        <v>504</v>
      </c>
      <c r="O1740" s="29" t="s">
        <v>2295</v>
      </c>
      <c r="P1740" s="17" t="s">
        <v>154</v>
      </c>
      <c r="Q1740" s="17" t="s">
        <v>143</v>
      </c>
      <c r="R1740" s="1" t="n">
        <v>2772</v>
      </c>
      <c r="S1740" s="1" t="n">
        <v>5700</v>
      </c>
      <c r="T1740" s="23" t="n">
        <v>1</v>
      </c>
      <c r="U1740" s="1" t="str">
        <f aca="false">D1740&amp;"-"&amp;E1740&amp;"-"&amp;M1740&amp;"-"&amp;O1740&amp;"-"&amp;P1740&amp;"-"&amp;Q1740</f>
        <v>GODDESS-VERITY-GD700218-FAWN-38-H</v>
      </c>
      <c r="W1740" s="1" t="s">
        <v>113</v>
      </c>
    </row>
    <row r="1741" customFormat="false" ht="15" hidden="false" customHeight="false" outlineLevel="0" collapsed="false">
      <c r="B1741" s="17" t="s">
        <v>2299</v>
      </c>
      <c r="C1741" s="17" t="s">
        <v>37</v>
      </c>
      <c r="D1741" s="17" t="s">
        <v>431</v>
      </c>
      <c r="E1741" s="29" t="s">
        <v>499</v>
      </c>
      <c r="F1741" s="14" t="s">
        <v>500</v>
      </c>
      <c r="G1741" s="3" t="s">
        <v>41</v>
      </c>
      <c r="H1741" s="14" t="s">
        <v>501</v>
      </c>
      <c r="I1741" s="14" t="s">
        <v>43</v>
      </c>
      <c r="M1741" s="17" t="s">
        <v>503</v>
      </c>
      <c r="N1741" s="17" t="s">
        <v>504</v>
      </c>
      <c r="O1741" s="17" t="s">
        <v>465</v>
      </c>
      <c r="P1741" s="17" t="s">
        <v>440</v>
      </c>
      <c r="Q1741" s="17" t="s">
        <v>105</v>
      </c>
      <c r="R1741" s="1" t="n">
        <v>2688</v>
      </c>
      <c r="S1741" s="1" t="n">
        <v>5700</v>
      </c>
      <c r="T1741" s="23" t="n">
        <v>1</v>
      </c>
      <c r="U1741" s="1" t="str">
        <f aca="false">D1741&amp;"-"&amp;E1741&amp;"-"&amp;M1741&amp;"-"&amp;O1741&amp;"-"&amp;P1741&amp;"-"&amp;Q1741</f>
        <v>GODDESS-VERITY-GD700204-SKIN-42-G</v>
      </c>
      <c r="W1741" s="1" t="s">
        <v>113</v>
      </c>
    </row>
    <row r="1742" customFormat="false" ht="15" hidden="false" customHeight="false" outlineLevel="0" collapsed="false">
      <c r="B1742" s="17" t="s">
        <v>2300</v>
      </c>
      <c r="C1742" s="17" t="s">
        <v>37</v>
      </c>
      <c r="D1742" s="17" t="s">
        <v>431</v>
      </c>
      <c r="E1742" s="29" t="s">
        <v>499</v>
      </c>
      <c r="F1742" s="14" t="s">
        <v>500</v>
      </c>
      <c r="G1742" s="3" t="s">
        <v>41</v>
      </c>
      <c r="H1742" s="14" t="s">
        <v>501</v>
      </c>
      <c r="I1742" s="14" t="s">
        <v>43</v>
      </c>
      <c r="M1742" s="17" t="s">
        <v>503</v>
      </c>
      <c r="N1742" s="17" t="s">
        <v>504</v>
      </c>
      <c r="O1742" s="17" t="s">
        <v>465</v>
      </c>
      <c r="P1742" s="17" t="s">
        <v>440</v>
      </c>
      <c r="Q1742" s="17" t="s">
        <v>129</v>
      </c>
      <c r="R1742" s="1" t="n">
        <v>2688</v>
      </c>
      <c r="S1742" s="1" t="n">
        <v>5700</v>
      </c>
      <c r="T1742" s="23" t="n">
        <v>1</v>
      </c>
      <c r="U1742" s="1" t="str">
        <f aca="false">D1742&amp;"-"&amp;E1742&amp;"-"&amp;M1742&amp;"-"&amp;O1742&amp;"-"&amp;P1742&amp;"-"&amp;Q1742</f>
        <v>GODDESS-VERITY-GD700204-SKIN-42-GG</v>
      </c>
      <c r="W1742" s="1" t="s">
        <v>113</v>
      </c>
    </row>
    <row r="1747" customFormat="false" ht="15" hidden="false" customHeight="false" outlineLevel="0" collapsed="false">
      <c r="I1747" s="3" t="s">
        <v>2301</v>
      </c>
      <c r="M1747" s="1" t="s">
        <v>2302</v>
      </c>
    </row>
    <row r="1748" customFormat="false" ht="15" hidden="false" customHeight="false" outlineLevel="0" collapsed="false">
      <c r="I1748" s="3" t="s">
        <v>2303</v>
      </c>
      <c r="M1748" s="1" t="s">
        <v>2304</v>
      </c>
    </row>
    <row r="1749" customFormat="false" ht="15" hidden="false" customHeight="false" outlineLevel="0" collapsed="false">
      <c r="I1749" s="3" t="s">
        <v>2305</v>
      </c>
      <c r="M1749" s="1" t="s">
        <v>2306</v>
      </c>
    </row>
  </sheetData>
  <autoFilter ref="B6:AA1742">
    <filterColumn colId="3">
      <filters>
        <filter val="VERITY"/>
        <filter val="YVETTE"/>
      </filters>
    </filterColumn>
  </autoFilter>
  <conditionalFormatting sqref="B1088:B1168">
    <cfRule type="dataBar" priority="2">
      <dataBar showValue="1" minLength="10" maxLength="90">
        <cfvo type="min" val="0"/>
        <cfvo type="max" val="0"/>
        <color rgb="FF638EC6"/>
      </dataBar>
      <extLst>
        <ext xmlns:x14="http://schemas.microsoft.com/office/spreadsheetml/2009/9/main" uri="{B025F937-C7B1-47D3-B67F-A62EFF666E3E}">
          <x14:id>{A624EFB4-81F0-47A1-9146-6BB32038F732}</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624EFB4-81F0-47A1-9146-6BB32038F732}">
            <x14:dataBar minLength="10" maxLength="90" axisPosition="automatic" gradient="false">
              <x14:cfvo type="autoMin"/>
              <x14:cfvo type="autoMax"/>
              <x14:negativeFillColor rgb="FFFF0000"/>
              <x14:axisColor rgb="FF000000"/>
            </x14:dataBar>
          </x14:cfRule>
          <xm:sqref>B1088:B1168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7"/>
  <sheetViews>
    <sheetView showFormulas="false" showGridLines="true" showRowColHeaders="true" showZeros="true" rightToLeft="false" tabSelected="true" showOutlineSymbols="true" defaultGridColor="true" view="normal" topLeftCell="A1" colorId="64" zoomScale="71" zoomScaleNormal="71" zoomScalePageLayoutView="100" workbookViewId="0">
      <selection pane="topLeft" activeCell="C7" activeCellId="0" sqref="C7"/>
    </sheetView>
  </sheetViews>
  <sheetFormatPr defaultColWidth="8.59765625" defaultRowHeight="15" zeroHeight="false" outlineLevelRow="0" outlineLevelCol="0"/>
  <cols>
    <col collapsed="false" customWidth="true" hidden="false" outlineLevel="0" max="1" min="1" style="142" width="9.14"/>
    <col collapsed="false" customWidth="true" hidden="false" outlineLevel="0" max="2" min="2" style="182" width="13.3"/>
    <col collapsed="false" customWidth="true" hidden="false" outlineLevel="0" max="3" min="3" style="142" width="13.3"/>
    <col collapsed="false" customWidth="true" hidden="false" outlineLevel="0" max="6" min="6" style="142" width="15.43"/>
    <col collapsed="false" customWidth="true" hidden="false" outlineLevel="0" max="9" min="8" style="142" width="9.14"/>
    <col collapsed="false" customWidth="true" hidden="false" outlineLevel="0" max="18" min="11" style="142" width="9.14"/>
  </cols>
  <sheetData>
    <row r="1" customFormat="false" ht="17.25" hidden="false" customHeight="true" outlineLevel="0" collapsed="false">
      <c r="B1" s="183" t="s">
        <v>2307</v>
      </c>
      <c r="C1" s="184" t="s">
        <v>2308</v>
      </c>
      <c r="D1" s="184" t="s">
        <v>2309</v>
      </c>
      <c r="E1" s="184" t="s">
        <v>2310</v>
      </c>
      <c r="F1" s="184" t="s">
        <v>2311</v>
      </c>
      <c r="G1" s="184" t="s">
        <v>2312</v>
      </c>
      <c r="H1" s="184"/>
      <c r="I1" s="184" t="s">
        <v>2313</v>
      </c>
      <c r="J1" s="184"/>
      <c r="K1" s="184"/>
      <c r="L1" s="184"/>
      <c r="M1" s="184"/>
      <c r="N1" s="184"/>
      <c r="O1" s="184"/>
      <c r="P1" s="184"/>
      <c r="Q1" s="184"/>
      <c r="R1" s="184"/>
      <c r="S1" s="185" t="s">
        <v>2314</v>
      </c>
      <c r="V1" s="142" t="s">
        <v>2315</v>
      </c>
      <c r="W1" s="186" t="s">
        <v>2316</v>
      </c>
    </row>
    <row r="2" customFormat="false" ht="16.4" hidden="false" customHeight="false" outlineLevel="0" collapsed="false">
      <c r="A2" s="187" t="n">
        <v>1</v>
      </c>
      <c r="B2" s="188" t="s">
        <v>2317</v>
      </c>
      <c r="C2" s="189" t="s">
        <v>2318</v>
      </c>
      <c r="D2" s="190" t="s">
        <v>2319</v>
      </c>
      <c r="E2" s="190" t="s">
        <v>436</v>
      </c>
      <c r="F2" s="190" t="s">
        <v>2320</v>
      </c>
      <c r="G2" s="190" t="n">
        <v>36</v>
      </c>
      <c r="H2" s="190"/>
      <c r="I2" s="190"/>
      <c r="J2" s="191" t="s">
        <v>50</v>
      </c>
      <c r="K2" s="191" t="s">
        <v>62</v>
      </c>
      <c r="L2" s="191" t="s">
        <v>105</v>
      </c>
      <c r="M2" s="191" t="s">
        <v>129</v>
      </c>
      <c r="N2" s="190"/>
      <c r="O2" s="190"/>
      <c r="P2" s="190"/>
      <c r="Q2" s="190"/>
      <c r="R2" s="190"/>
      <c r="S2" s="190" t="s">
        <v>464</v>
      </c>
      <c r="T2" s="49" t="s">
        <v>2321</v>
      </c>
      <c r="V2" s="182" t="s">
        <v>2322</v>
      </c>
      <c r="W2" s="182" t="s">
        <v>2323</v>
      </c>
    </row>
    <row r="3" customFormat="false" ht="15" hidden="false" customHeight="false" outlineLevel="0" collapsed="false">
      <c r="B3" s="192"/>
      <c r="C3" s="50"/>
      <c r="D3" s="1"/>
      <c r="E3" s="1"/>
      <c r="F3" s="1"/>
      <c r="G3" s="1" t="n">
        <v>38</v>
      </c>
      <c r="H3" s="1"/>
      <c r="I3" s="1"/>
      <c r="J3" s="193" t="s">
        <v>50</v>
      </c>
      <c r="K3" s="193" t="s">
        <v>62</v>
      </c>
      <c r="L3" s="193" t="s">
        <v>105</v>
      </c>
      <c r="M3" s="193" t="s">
        <v>129</v>
      </c>
      <c r="N3" s="1"/>
      <c r="O3" s="1"/>
      <c r="P3" s="1"/>
      <c r="Q3" s="1"/>
      <c r="R3" s="1"/>
      <c r="S3" s="1" t="s">
        <v>76</v>
      </c>
      <c r="T3" s="53" t="s">
        <v>437</v>
      </c>
    </row>
    <row r="4" customFormat="false" ht="15" hidden="false" customHeight="false" outlineLevel="0" collapsed="false">
      <c r="B4" s="192"/>
      <c r="C4" s="50"/>
      <c r="D4" s="1"/>
      <c r="E4" s="1"/>
      <c r="F4" s="1"/>
      <c r="G4" s="1" t="n">
        <v>40</v>
      </c>
      <c r="H4" s="1"/>
      <c r="I4" s="193" t="s">
        <v>66</v>
      </c>
      <c r="J4" s="193" t="s">
        <v>50</v>
      </c>
      <c r="K4" s="193" t="s">
        <v>62</v>
      </c>
      <c r="L4" s="193" t="s">
        <v>105</v>
      </c>
      <c r="M4" s="193" t="s">
        <v>129</v>
      </c>
      <c r="N4" s="1"/>
      <c r="O4" s="1"/>
      <c r="P4" s="1"/>
      <c r="Q4" s="1"/>
      <c r="R4" s="1"/>
      <c r="S4" s="1"/>
      <c r="T4" s="194"/>
    </row>
    <row r="5" customFormat="false" ht="15" hidden="false" customHeight="false" outlineLevel="0" collapsed="false">
      <c r="B5" s="192"/>
      <c r="C5" s="50"/>
      <c r="D5" s="1"/>
      <c r="E5" s="1"/>
      <c r="F5" s="1"/>
      <c r="G5" s="1" t="n">
        <v>42</v>
      </c>
      <c r="H5" s="1"/>
      <c r="I5" s="193" t="s">
        <v>66</v>
      </c>
      <c r="J5" s="193" t="s">
        <v>50</v>
      </c>
      <c r="K5" s="193" t="s">
        <v>62</v>
      </c>
      <c r="L5" s="193" t="s">
        <v>105</v>
      </c>
      <c r="M5" s="193"/>
      <c r="N5" s="1"/>
      <c r="O5" s="1"/>
      <c r="P5" s="1"/>
      <c r="Q5" s="1"/>
      <c r="R5" s="1"/>
      <c r="S5" s="1"/>
      <c r="T5" s="194"/>
    </row>
    <row r="6" customFormat="false" ht="15" hidden="false" customHeight="false" outlineLevel="0" collapsed="false">
      <c r="B6" s="192"/>
      <c r="C6" s="50"/>
      <c r="D6" s="1"/>
      <c r="E6" s="1"/>
      <c r="F6" s="1"/>
      <c r="G6" s="1" t="n">
        <v>44</v>
      </c>
      <c r="H6" s="1"/>
      <c r="I6" s="193" t="s">
        <v>66</v>
      </c>
      <c r="J6" s="193" t="s">
        <v>50</v>
      </c>
      <c r="K6" s="193" t="s">
        <v>62</v>
      </c>
      <c r="L6" s="193" t="s">
        <v>105</v>
      </c>
      <c r="M6" s="193"/>
      <c r="N6" s="1"/>
      <c r="O6" s="1"/>
      <c r="P6" s="1"/>
      <c r="Q6" s="1"/>
      <c r="R6" s="1"/>
      <c r="S6" s="1"/>
      <c r="T6" s="194"/>
    </row>
    <row r="7" s="142" customFormat="true" ht="15" hidden="false" customHeight="false" outlineLevel="0" collapsed="false">
      <c r="B7" s="192"/>
      <c r="C7" s="50"/>
      <c r="D7" s="1"/>
      <c r="E7" s="1"/>
      <c r="F7" s="1"/>
      <c r="G7" s="1" t="n">
        <v>46</v>
      </c>
      <c r="H7" s="1"/>
      <c r="I7" s="8" t="s">
        <v>66</v>
      </c>
      <c r="J7" s="8" t="s">
        <v>50</v>
      </c>
      <c r="K7" s="8" t="s">
        <v>62</v>
      </c>
      <c r="L7" s="1"/>
      <c r="M7" s="1"/>
      <c r="N7" s="1"/>
      <c r="O7" s="1"/>
      <c r="P7" s="1"/>
      <c r="Q7" s="1"/>
      <c r="R7" s="1"/>
      <c r="S7" s="1"/>
      <c r="T7" s="194"/>
    </row>
    <row r="8" s="142" customFormat="true" ht="15" hidden="false" customHeight="false" outlineLevel="0" collapsed="false">
      <c r="B8" s="192"/>
      <c r="C8" s="50"/>
      <c r="D8" s="1"/>
      <c r="E8" s="1"/>
      <c r="F8" s="1"/>
      <c r="G8" s="1" t="n">
        <v>48</v>
      </c>
      <c r="H8" s="1"/>
      <c r="I8" s="8" t="s">
        <v>66</v>
      </c>
      <c r="J8" s="8" t="s">
        <v>50</v>
      </c>
      <c r="K8" s="8" t="s">
        <v>62</v>
      </c>
      <c r="L8" s="1"/>
      <c r="M8" s="1"/>
      <c r="N8" s="1"/>
      <c r="O8" s="1"/>
      <c r="P8" s="1"/>
      <c r="Q8" s="1"/>
      <c r="R8" s="1"/>
      <c r="S8" s="1"/>
      <c r="T8" s="194"/>
    </row>
    <row r="9" s="142" customFormat="true" ht="15" hidden="false" customHeight="false" outlineLevel="0" collapsed="false">
      <c r="B9" s="192"/>
      <c r="C9" s="50"/>
      <c r="D9" s="1"/>
      <c r="E9" s="1"/>
      <c r="F9" s="1"/>
      <c r="G9" s="1" t="n">
        <v>50</v>
      </c>
      <c r="H9" s="1"/>
      <c r="I9" s="8" t="s">
        <v>66</v>
      </c>
      <c r="J9" s="1"/>
      <c r="K9" s="1"/>
      <c r="L9" s="1"/>
      <c r="M9" s="1"/>
      <c r="N9" s="1"/>
      <c r="O9" s="1"/>
      <c r="P9" s="1"/>
      <c r="Q9" s="1"/>
      <c r="R9" s="1"/>
      <c r="S9" s="1"/>
      <c r="T9" s="194"/>
    </row>
    <row r="10" s="142" customFormat="true" ht="15" hidden="false" customHeight="false" outlineLevel="0" collapsed="false">
      <c r="B10" s="192"/>
      <c r="C10" s="50"/>
      <c r="D10" s="1"/>
      <c r="E10" s="1"/>
      <c r="F10" s="1"/>
      <c r="G10" s="1" t="n">
        <v>52</v>
      </c>
      <c r="H10" s="1"/>
      <c r="I10" s="8" t="s">
        <v>66</v>
      </c>
      <c r="J10" s="1"/>
      <c r="K10" s="1"/>
      <c r="L10" s="1"/>
      <c r="M10" s="1"/>
      <c r="N10" s="1"/>
      <c r="O10" s="1"/>
      <c r="P10" s="1"/>
      <c r="Q10" s="1"/>
      <c r="R10" s="1"/>
      <c r="S10" s="1"/>
      <c r="T10" s="194"/>
    </row>
    <row r="11" s="142" customFormat="true" ht="15" hidden="false" customHeight="false" outlineLevel="0" collapsed="false">
      <c r="B11" s="192"/>
      <c r="C11" s="50"/>
      <c r="D11" s="1"/>
      <c r="E11" s="1"/>
      <c r="F11" s="1"/>
      <c r="G11" s="1"/>
      <c r="H11" s="1"/>
      <c r="I11" s="1"/>
      <c r="J11" s="1"/>
      <c r="K11" s="1"/>
      <c r="L11" s="1"/>
      <c r="M11" s="1"/>
      <c r="N11" s="1"/>
      <c r="O11" s="1"/>
      <c r="P11" s="1"/>
      <c r="Q11" s="1"/>
      <c r="R11" s="1"/>
      <c r="S11" s="1"/>
      <c r="T11" s="194"/>
    </row>
    <row r="12" s="142" customFormat="true" ht="15" hidden="false" customHeight="false" outlineLevel="0" collapsed="false">
      <c r="B12" s="192"/>
      <c r="C12" s="50"/>
      <c r="D12" s="1"/>
      <c r="E12" s="1"/>
      <c r="F12" s="1"/>
      <c r="G12" s="1"/>
      <c r="H12" s="1"/>
      <c r="I12" s="1"/>
      <c r="J12" s="1"/>
      <c r="K12" s="1"/>
      <c r="L12" s="1"/>
      <c r="M12" s="1"/>
      <c r="N12" s="1"/>
      <c r="O12" s="1"/>
      <c r="P12" s="1"/>
      <c r="Q12" s="1"/>
      <c r="R12" s="1"/>
      <c r="S12" s="1"/>
      <c r="T12" s="194"/>
    </row>
    <row r="13" customFormat="false" ht="16.4" hidden="false" customHeight="false" outlineLevel="0" collapsed="false">
      <c r="A13" s="142" t="n">
        <v>2</v>
      </c>
      <c r="B13" s="192" t="s">
        <v>2324</v>
      </c>
      <c r="C13" s="50" t="s">
        <v>431</v>
      </c>
      <c r="D13" s="1" t="s">
        <v>499</v>
      </c>
      <c r="E13" s="1" t="s">
        <v>436</v>
      </c>
      <c r="F13" s="1" t="s">
        <v>2320</v>
      </c>
      <c r="G13" s="193" t="n">
        <v>34</v>
      </c>
      <c r="H13" s="193"/>
      <c r="I13" s="1"/>
      <c r="J13" s="1"/>
      <c r="K13" s="1"/>
      <c r="L13" s="1"/>
      <c r="M13" s="1" t="s">
        <v>129</v>
      </c>
      <c r="N13" s="1" t="s">
        <v>143</v>
      </c>
      <c r="O13" s="1" t="s">
        <v>131</v>
      </c>
      <c r="P13" s="1" t="s">
        <v>238</v>
      </c>
      <c r="Q13" s="1" t="s">
        <v>1391</v>
      </c>
      <c r="R13" s="1" t="s">
        <v>1341</v>
      </c>
      <c r="S13" s="1" t="s">
        <v>504</v>
      </c>
      <c r="T13" s="53" t="s">
        <v>2321</v>
      </c>
      <c r="V13" s="182" t="s">
        <v>2325</v>
      </c>
      <c r="W13" s="182" t="s">
        <v>2326</v>
      </c>
    </row>
    <row r="14" customFormat="false" ht="15" hidden="false" customHeight="false" outlineLevel="0" collapsed="false">
      <c r="B14" s="192"/>
      <c r="C14" s="50"/>
      <c r="D14" s="1"/>
      <c r="E14" s="1"/>
      <c r="F14" s="1"/>
      <c r="G14" s="1" t="n">
        <v>36</v>
      </c>
      <c r="H14" s="1"/>
      <c r="I14" s="1"/>
      <c r="J14" s="1"/>
      <c r="K14" s="1"/>
      <c r="L14" s="193" t="s">
        <v>105</v>
      </c>
      <c r="M14" s="193" t="s">
        <v>129</v>
      </c>
      <c r="N14" s="193" t="s">
        <v>143</v>
      </c>
      <c r="O14" s="193" t="s">
        <v>131</v>
      </c>
      <c r="P14" s="1" t="s">
        <v>238</v>
      </c>
      <c r="Q14" s="1" t="s">
        <v>1391</v>
      </c>
      <c r="R14" s="1" t="s">
        <v>1341</v>
      </c>
      <c r="S14" s="1" t="s">
        <v>76</v>
      </c>
      <c r="T14" s="53" t="s">
        <v>437</v>
      </c>
    </row>
    <row r="15" customFormat="false" ht="15" hidden="false" customHeight="false" outlineLevel="0" collapsed="false">
      <c r="B15" s="192"/>
      <c r="C15" s="50"/>
      <c r="D15" s="1"/>
      <c r="E15" s="1"/>
      <c r="F15" s="1"/>
      <c r="G15" s="1" t="n">
        <v>38</v>
      </c>
      <c r="H15" s="1"/>
      <c r="I15" s="1" t="s">
        <v>66</v>
      </c>
      <c r="J15" s="193" t="s">
        <v>50</v>
      </c>
      <c r="K15" s="193" t="s">
        <v>62</v>
      </c>
      <c r="L15" s="193" t="s">
        <v>105</v>
      </c>
      <c r="M15" s="193" t="s">
        <v>129</v>
      </c>
      <c r="N15" s="193" t="s">
        <v>143</v>
      </c>
      <c r="O15" s="193" t="s">
        <v>131</v>
      </c>
      <c r="P15" s="1" t="s">
        <v>238</v>
      </c>
      <c r="Q15" s="1" t="s">
        <v>1391</v>
      </c>
      <c r="R15" s="1" t="s">
        <v>1341</v>
      </c>
      <c r="S15" s="1"/>
      <c r="T15" s="194"/>
    </row>
    <row r="16" customFormat="false" ht="15" hidden="false" customHeight="false" outlineLevel="0" collapsed="false">
      <c r="B16" s="192"/>
      <c r="C16" s="50"/>
      <c r="D16" s="1"/>
      <c r="E16" s="1"/>
      <c r="F16" s="1"/>
      <c r="G16" s="1" t="n">
        <v>40</v>
      </c>
      <c r="H16" s="1"/>
      <c r="I16" s="1" t="s">
        <v>66</v>
      </c>
      <c r="J16" s="193" t="s">
        <v>50</v>
      </c>
      <c r="K16" s="193" t="s">
        <v>62</v>
      </c>
      <c r="L16" s="193" t="s">
        <v>105</v>
      </c>
      <c r="M16" s="193" t="s">
        <v>129</v>
      </c>
      <c r="N16" s="193" t="s">
        <v>143</v>
      </c>
      <c r="O16" s="193" t="s">
        <v>131</v>
      </c>
      <c r="P16" s="1" t="s">
        <v>238</v>
      </c>
      <c r="Q16" s="1" t="s">
        <v>1391</v>
      </c>
      <c r="R16" s="1" t="s">
        <v>1341</v>
      </c>
      <c r="S16" s="1"/>
      <c r="T16" s="194"/>
    </row>
    <row r="17" customFormat="false" ht="15" hidden="false" customHeight="false" outlineLevel="0" collapsed="false">
      <c r="B17" s="192"/>
      <c r="C17" s="50"/>
      <c r="D17" s="1"/>
      <c r="E17" s="1"/>
      <c r="F17" s="1"/>
      <c r="G17" s="1" t="n">
        <v>42</v>
      </c>
      <c r="H17" s="1"/>
      <c r="I17" s="1" t="s">
        <v>66</v>
      </c>
      <c r="J17" s="193" t="s">
        <v>50</v>
      </c>
      <c r="K17" s="193" t="s">
        <v>62</v>
      </c>
      <c r="L17" s="193" t="s">
        <v>105</v>
      </c>
      <c r="M17" s="193" t="s">
        <v>129</v>
      </c>
      <c r="N17" s="193" t="s">
        <v>143</v>
      </c>
      <c r="O17" s="193" t="s">
        <v>131</v>
      </c>
      <c r="P17" s="1" t="s">
        <v>238</v>
      </c>
      <c r="Q17" s="1" t="s">
        <v>1391</v>
      </c>
      <c r="R17" s="1"/>
      <c r="S17" s="1"/>
      <c r="T17" s="194"/>
    </row>
    <row r="18" s="142" customFormat="true" ht="15" hidden="false" customHeight="false" outlineLevel="0" collapsed="false">
      <c r="B18" s="192"/>
      <c r="C18" s="50"/>
      <c r="D18" s="1"/>
      <c r="E18" s="1"/>
      <c r="F18" s="1"/>
      <c r="G18" s="1" t="n">
        <v>44</v>
      </c>
      <c r="H18" s="1"/>
      <c r="I18" s="1" t="s">
        <v>66</v>
      </c>
      <c r="J18" s="193" t="s">
        <v>50</v>
      </c>
      <c r="K18" s="193" t="s">
        <v>62</v>
      </c>
      <c r="L18" s="193" t="s">
        <v>105</v>
      </c>
      <c r="M18" s="193" t="s">
        <v>129</v>
      </c>
      <c r="N18" s="193" t="s">
        <v>143</v>
      </c>
      <c r="O18" s="193" t="s">
        <v>131</v>
      </c>
      <c r="P18" s="1" t="s">
        <v>238</v>
      </c>
      <c r="Q18" s="1" t="s">
        <v>1391</v>
      </c>
      <c r="R18" s="1"/>
      <c r="S18" s="1"/>
      <c r="T18" s="194"/>
    </row>
    <row r="19" s="142" customFormat="true" ht="15" hidden="false" customHeight="false" outlineLevel="0" collapsed="false">
      <c r="B19" s="192"/>
      <c r="C19" s="50"/>
      <c r="D19" s="1"/>
      <c r="E19" s="1"/>
      <c r="F19" s="1"/>
      <c r="G19" s="1" t="n">
        <v>46</v>
      </c>
      <c r="H19" s="1"/>
      <c r="I19" s="1" t="s">
        <v>66</v>
      </c>
      <c r="J19" s="1" t="s">
        <v>50</v>
      </c>
      <c r="K19" s="193" t="s">
        <v>62</v>
      </c>
      <c r="L19" s="193" t="s">
        <v>105</v>
      </c>
      <c r="M19" s="1" t="s">
        <v>129</v>
      </c>
      <c r="N19" s="1" t="s">
        <v>143</v>
      </c>
      <c r="O19" s="1" t="s">
        <v>131</v>
      </c>
      <c r="P19" s="1" t="s">
        <v>238</v>
      </c>
      <c r="Q19" s="1"/>
      <c r="R19" s="1"/>
      <c r="S19" s="1"/>
      <c r="T19" s="194"/>
    </row>
    <row r="20" s="142" customFormat="true" ht="15" hidden="false" customHeight="false" outlineLevel="0" collapsed="false">
      <c r="B20" s="192"/>
      <c r="C20" s="50"/>
      <c r="D20" s="1"/>
      <c r="E20" s="1"/>
      <c r="F20" s="1"/>
      <c r="G20" s="1" t="n">
        <v>48</v>
      </c>
      <c r="H20" s="1"/>
      <c r="I20" s="1" t="s">
        <v>66</v>
      </c>
      <c r="J20" s="1" t="s">
        <v>50</v>
      </c>
      <c r="K20" s="1" t="s">
        <v>62</v>
      </c>
      <c r="L20" s="1" t="s">
        <v>105</v>
      </c>
      <c r="M20" s="1" t="s">
        <v>129</v>
      </c>
      <c r="N20" s="1" t="s">
        <v>143</v>
      </c>
      <c r="O20" s="1" t="s">
        <v>131</v>
      </c>
      <c r="P20" s="1" t="s">
        <v>238</v>
      </c>
      <c r="Q20" s="1"/>
      <c r="R20" s="1"/>
      <c r="S20" s="1"/>
      <c r="T20" s="194"/>
    </row>
    <row r="21" customFormat="false" ht="16.4" hidden="false" customHeight="false" outlineLevel="0" collapsed="false">
      <c r="A21" s="142" t="n">
        <v>3</v>
      </c>
      <c r="B21" s="192" t="s">
        <v>2324</v>
      </c>
      <c r="C21" s="50" t="s">
        <v>431</v>
      </c>
      <c r="D21" s="1" t="s">
        <v>499</v>
      </c>
      <c r="E21" s="1" t="s">
        <v>436</v>
      </c>
      <c r="F21" s="1" t="s">
        <v>2327</v>
      </c>
      <c r="G21" s="1" t="n">
        <v>34</v>
      </c>
      <c r="H21" s="1"/>
      <c r="I21" s="1"/>
      <c r="J21" s="1"/>
      <c r="K21" s="1" t="s">
        <v>62</v>
      </c>
      <c r="L21" s="1" t="s">
        <v>105</v>
      </c>
      <c r="M21" s="1" t="s">
        <v>129</v>
      </c>
      <c r="N21" s="1" t="s">
        <v>143</v>
      </c>
      <c r="O21" s="1" t="s">
        <v>131</v>
      </c>
      <c r="P21" s="1" t="s">
        <v>238</v>
      </c>
      <c r="Q21" s="1"/>
      <c r="R21" s="1"/>
      <c r="S21" s="1"/>
      <c r="T21" s="194"/>
      <c r="V21" s="182" t="s">
        <v>2328</v>
      </c>
      <c r="W21" s="142" t="s">
        <v>2326</v>
      </c>
    </row>
    <row r="22" customFormat="false" ht="15" hidden="false" customHeight="false" outlineLevel="0" collapsed="false">
      <c r="B22" s="192"/>
      <c r="C22" s="50"/>
      <c r="D22" s="1"/>
      <c r="E22" s="1"/>
      <c r="F22" s="1"/>
      <c r="G22" s="1" t="n">
        <v>36</v>
      </c>
      <c r="H22" s="1"/>
      <c r="I22" s="1" t="s">
        <v>66</v>
      </c>
      <c r="J22" s="1" t="s">
        <v>50</v>
      </c>
      <c r="K22" s="193" t="s">
        <v>62</v>
      </c>
      <c r="L22" s="193" t="s">
        <v>105</v>
      </c>
      <c r="M22" s="193" t="s">
        <v>129</v>
      </c>
      <c r="N22" s="193" t="s">
        <v>143</v>
      </c>
      <c r="O22" s="1" t="s">
        <v>131</v>
      </c>
      <c r="P22" s="1" t="s">
        <v>238</v>
      </c>
      <c r="Q22" s="1"/>
      <c r="R22" s="1"/>
      <c r="S22" s="1" t="s">
        <v>504</v>
      </c>
      <c r="T22" s="53" t="s">
        <v>2321</v>
      </c>
    </row>
    <row r="23" customFormat="false" ht="15" hidden="false" customHeight="false" outlineLevel="0" collapsed="false">
      <c r="B23" s="192"/>
      <c r="C23" s="50"/>
      <c r="D23" s="1"/>
      <c r="E23" s="1"/>
      <c r="F23" s="1"/>
      <c r="G23" s="1" t="n">
        <v>38</v>
      </c>
      <c r="H23" s="1"/>
      <c r="I23" s="1" t="s">
        <v>66</v>
      </c>
      <c r="J23" s="1" t="s">
        <v>50</v>
      </c>
      <c r="K23" s="193" t="s">
        <v>62</v>
      </c>
      <c r="L23" s="193" t="s">
        <v>105</v>
      </c>
      <c r="M23" s="193" t="s">
        <v>129</v>
      </c>
      <c r="N23" s="193" t="s">
        <v>143</v>
      </c>
      <c r="O23" s="1" t="s">
        <v>131</v>
      </c>
      <c r="P23" s="1" t="s">
        <v>238</v>
      </c>
      <c r="Q23" s="1"/>
      <c r="R23" s="1"/>
      <c r="S23" s="1" t="s">
        <v>76</v>
      </c>
      <c r="T23" s="53" t="s">
        <v>437</v>
      </c>
    </row>
    <row r="24" customFormat="false" ht="15" hidden="false" customHeight="false" outlineLevel="0" collapsed="false">
      <c r="B24" s="192"/>
      <c r="C24" s="50"/>
      <c r="D24" s="1"/>
      <c r="E24" s="1"/>
      <c r="F24" s="1"/>
      <c r="G24" s="1" t="n">
        <v>40</v>
      </c>
      <c r="H24" s="1"/>
      <c r="I24" s="1" t="s">
        <v>66</v>
      </c>
      <c r="J24" s="1" t="s">
        <v>50</v>
      </c>
      <c r="K24" s="193" t="s">
        <v>62</v>
      </c>
      <c r="L24" s="193" t="s">
        <v>105</v>
      </c>
      <c r="M24" s="193" t="s">
        <v>129</v>
      </c>
      <c r="N24" s="193" t="s">
        <v>143</v>
      </c>
      <c r="O24" s="1" t="s">
        <v>131</v>
      </c>
      <c r="P24" s="1" t="s">
        <v>238</v>
      </c>
      <c r="Q24" s="1"/>
      <c r="R24" s="1"/>
      <c r="S24" s="1"/>
      <c r="T24" s="194"/>
    </row>
    <row r="25" customFormat="false" ht="15" hidden="false" customHeight="false" outlineLevel="0" collapsed="false">
      <c r="B25" s="192"/>
      <c r="C25" s="50"/>
      <c r="D25" s="1"/>
      <c r="E25" s="1"/>
      <c r="F25" s="1"/>
      <c r="G25" s="1" t="n">
        <v>42</v>
      </c>
      <c r="H25" s="1"/>
      <c r="I25" s="1" t="s">
        <v>66</v>
      </c>
      <c r="J25" s="1" t="s">
        <v>50</v>
      </c>
      <c r="K25" s="193" t="s">
        <v>62</v>
      </c>
      <c r="L25" s="193" t="s">
        <v>105</v>
      </c>
      <c r="M25" s="193" t="s">
        <v>129</v>
      </c>
      <c r="N25" s="193" t="s">
        <v>143</v>
      </c>
      <c r="O25" s="1" t="s">
        <v>131</v>
      </c>
      <c r="P25" s="1" t="s">
        <v>238</v>
      </c>
      <c r="Q25" s="1"/>
      <c r="R25" s="1"/>
      <c r="S25" s="1"/>
      <c r="T25" s="194"/>
    </row>
    <row r="26" s="142" customFormat="true" ht="15" hidden="false" customHeight="false" outlineLevel="0" collapsed="false">
      <c r="B26" s="192"/>
      <c r="C26" s="50"/>
      <c r="D26" s="1"/>
      <c r="E26" s="1"/>
      <c r="F26" s="1"/>
      <c r="G26" s="1" t="n">
        <v>44</v>
      </c>
      <c r="H26" s="1"/>
      <c r="I26" s="1" t="s">
        <v>66</v>
      </c>
      <c r="J26" s="1" t="s">
        <v>50</v>
      </c>
      <c r="K26" s="1" t="s">
        <v>62</v>
      </c>
      <c r="L26" s="1" t="s">
        <v>105</v>
      </c>
      <c r="M26" s="1" t="s">
        <v>129</v>
      </c>
      <c r="N26" s="1" t="s">
        <v>143</v>
      </c>
      <c r="O26" s="1" t="s">
        <v>131</v>
      </c>
      <c r="P26" s="1" t="s">
        <v>238</v>
      </c>
      <c r="Q26" s="1"/>
      <c r="R26" s="1"/>
      <c r="S26" s="1"/>
      <c r="T26" s="194"/>
    </row>
    <row r="27" s="142" customFormat="true" ht="15" hidden="false" customHeight="false" outlineLevel="0" collapsed="false">
      <c r="B27" s="192"/>
      <c r="C27" s="50"/>
      <c r="D27" s="1"/>
      <c r="E27" s="1"/>
      <c r="F27" s="1"/>
      <c r="G27" s="1" t="n">
        <v>46</v>
      </c>
      <c r="H27" s="1"/>
      <c r="I27" s="1"/>
      <c r="J27" s="1"/>
      <c r="K27" s="1" t="s">
        <v>62</v>
      </c>
      <c r="L27" s="1" t="s">
        <v>105</v>
      </c>
      <c r="M27" s="1" t="s">
        <v>129</v>
      </c>
      <c r="N27" s="1" t="s">
        <v>143</v>
      </c>
      <c r="O27" s="1" t="s">
        <v>131</v>
      </c>
      <c r="P27" s="1" t="s">
        <v>238</v>
      </c>
      <c r="Q27" s="1"/>
      <c r="R27" s="1"/>
      <c r="S27" s="1"/>
      <c r="T27" s="194"/>
    </row>
    <row r="28" customFormat="false" ht="15" hidden="false" customHeight="false" outlineLevel="0" collapsed="false">
      <c r="B28" s="195"/>
      <c r="C28" s="196"/>
      <c r="D28" s="70"/>
      <c r="E28" s="70"/>
      <c r="F28" s="70"/>
      <c r="G28" s="70" t="n">
        <v>48</v>
      </c>
      <c r="H28" s="70"/>
      <c r="I28" s="70"/>
      <c r="J28" s="70"/>
      <c r="K28" s="70" t="s">
        <v>62</v>
      </c>
      <c r="L28" s="70" t="s">
        <v>105</v>
      </c>
      <c r="M28" s="70" t="s">
        <v>129</v>
      </c>
      <c r="N28" s="70"/>
      <c r="O28" s="70"/>
      <c r="P28" s="70"/>
      <c r="Q28" s="70"/>
      <c r="R28" s="70"/>
      <c r="S28" s="70"/>
      <c r="T28" s="197"/>
    </row>
    <row r="29" customFormat="false" ht="16.4" hidden="false" customHeight="false" outlineLevel="0" collapsed="false">
      <c r="A29" s="198" t="n">
        <v>4</v>
      </c>
      <c r="B29" s="199" t="s">
        <v>2324</v>
      </c>
      <c r="C29" s="199" t="s">
        <v>1262</v>
      </c>
      <c r="D29" s="199" t="s">
        <v>2329</v>
      </c>
      <c r="E29" s="199" t="s">
        <v>1326</v>
      </c>
      <c r="F29" s="199" t="s">
        <v>2320</v>
      </c>
      <c r="G29" s="199" t="n">
        <v>32</v>
      </c>
      <c r="H29" s="199"/>
      <c r="I29" s="199"/>
      <c r="J29" s="199"/>
      <c r="K29" s="199"/>
      <c r="L29" s="199" t="s">
        <v>105</v>
      </c>
      <c r="M29" s="199" t="s">
        <v>129</v>
      </c>
      <c r="N29" s="199" t="s">
        <v>143</v>
      </c>
      <c r="O29" s="199" t="s">
        <v>131</v>
      </c>
      <c r="P29" s="199" t="s">
        <v>238</v>
      </c>
      <c r="Q29" s="199" t="s">
        <v>1341</v>
      </c>
      <c r="R29" s="199"/>
      <c r="S29" s="199" t="s">
        <v>1308</v>
      </c>
      <c r="T29" s="96" t="s">
        <v>2321</v>
      </c>
      <c r="V29" s="182" t="s">
        <v>2330</v>
      </c>
      <c r="W29" s="182" t="s">
        <v>2331</v>
      </c>
      <c r="X29" s="182" t="s">
        <v>2332</v>
      </c>
    </row>
    <row r="30" customFormat="false" ht="15" hidden="false" customHeight="false" outlineLevel="0" collapsed="false">
      <c r="B30" s="1"/>
      <c r="C30" s="1"/>
      <c r="D30" s="1"/>
      <c r="E30" s="1"/>
      <c r="F30" s="1"/>
      <c r="G30" s="199" t="n">
        <v>34</v>
      </c>
      <c r="H30" s="199"/>
      <c r="I30" s="199"/>
      <c r="J30" s="200" t="s">
        <v>50</v>
      </c>
      <c r="K30" s="200" t="s">
        <v>62</v>
      </c>
      <c r="L30" s="200" t="s">
        <v>105</v>
      </c>
      <c r="M30" s="200" t="s">
        <v>129</v>
      </c>
      <c r="N30" s="200" t="s">
        <v>143</v>
      </c>
      <c r="O30" s="200" t="s">
        <v>131</v>
      </c>
      <c r="P30" s="199" t="s">
        <v>238</v>
      </c>
      <c r="Q30" s="199" t="s">
        <v>1341</v>
      </c>
      <c r="R30" s="1"/>
      <c r="S30" s="1" t="s">
        <v>76</v>
      </c>
      <c r="T30" s="1" t="s">
        <v>437</v>
      </c>
      <c r="U30" s="82" t="s">
        <v>2333</v>
      </c>
    </row>
    <row r="31" customFormat="false" ht="15" hidden="false" customHeight="false" outlineLevel="0" collapsed="false">
      <c r="B31" s="1"/>
      <c r="C31" s="1"/>
      <c r="D31" s="1"/>
      <c r="E31" s="1"/>
      <c r="F31" s="1"/>
      <c r="G31" s="199" t="n">
        <v>36</v>
      </c>
      <c r="H31" s="199"/>
      <c r="I31" s="1"/>
      <c r="J31" s="193" t="s">
        <v>50</v>
      </c>
      <c r="K31" s="193" t="s">
        <v>62</v>
      </c>
      <c r="L31" s="193" t="s">
        <v>105</v>
      </c>
      <c r="M31" s="193" t="s">
        <v>129</v>
      </c>
      <c r="N31" s="193" t="s">
        <v>143</v>
      </c>
      <c r="O31" s="193" t="s">
        <v>131</v>
      </c>
      <c r="P31" s="199" t="s">
        <v>238</v>
      </c>
      <c r="Q31" s="199" t="s">
        <v>1341</v>
      </c>
      <c r="R31" s="1"/>
      <c r="S31" s="1"/>
      <c r="T31" s="1"/>
    </row>
    <row r="32" customFormat="false" ht="15" hidden="false" customHeight="false" outlineLevel="0" collapsed="false">
      <c r="B32" s="1"/>
      <c r="C32" s="1"/>
      <c r="D32" s="1"/>
      <c r="E32" s="1"/>
      <c r="F32" s="1"/>
      <c r="G32" s="1" t="n">
        <v>38</v>
      </c>
      <c r="H32" s="1"/>
      <c r="I32" s="1" t="s">
        <v>66</v>
      </c>
      <c r="J32" s="193" t="s">
        <v>50</v>
      </c>
      <c r="K32" s="193" t="s">
        <v>62</v>
      </c>
      <c r="L32" s="193" t="s">
        <v>105</v>
      </c>
      <c r="M32" s="193" t="s">
        <v>129</v>
      </c>
      <c r="N32" s="193" t="s">
        <v>143</v>
      </c>
      <c r="O32" s="193" t="s">
        <v>131</v>
      </c>
      <c r="P32" s="199" t="s">
        <v>238</v>
      </c>
      <c r="Q32" s="199" t="s">
        <v>1341</v>
      </c>
      <c r="R32" s="1"/>
      <c r="S32" s="1"/>
      <c r="T32" s="1"/>
    </row>
    <row r="33" customFormat="false" ht="15" hidden="false" customHeight="false" outlineLevel="0" collapsed="false">
      <c r="B33" s="1"/>
      <c r="C33" s="1"/>
      <c r="D33" s="1"/>
      <c r="E33" s="1"/>
      <c r="F33" s="1"/>
      <c r="G33" s="1" t="n">
        <v>40</v>
      </c>
      <c r="H33" s="1"/>
      <c r="I33" s="1" t="s">
        <v>66</v>
      </c>
      <c r="J33" s="193" t="s">
        <v>50</v>
      </c>
      <c r="K33" s="193" t="s">
        <v>62</v>
      </c>
      <c r="L33" s="193" t="s">
        <v>105</v>
      </c>
      <c r="M33" s="193" t="s">
        <v>129</v>
      </c>
      <c r="N33" s="193" t="s">
        <v>143</v>
      </c>
      <c r="O33" s="193" t="s">
        <v>131</v>
      </c>
      <c r="P33" s="199" t="s">
        <v>238</v>
      </c>
      <c r="Q33" s="199" t="s">
        <v>1341</v>
      </c>
      <c r="R33" s="1"/>
      <c r="S33" s="1"/>
      <c r="T33" s="1"/>
    </row>
    <row r="34" s="142" customFormat="true" ht="15" hidden="false" customHeight="false" outlineLevel="0" collapsed="false">
      <c r="B34" s="1"/>
      <c r="C34" s="1"/>
      <c r="D34" s="1"/>
      <c r="E34" s="1"/>
      <c r="F34" s="1"/>
      <c r="G34" s="1" t="n">
        <v>42</v>
      </c>
      <c r="H34" s="1"/>
      <c r="I34" s="1" t="s">
        <v>66</v>
      </c>
      <c r="J34" s="193" t="s">
        <v>50</v>
      </c>
      <c r="K34" s="193" t="s">
        <v>62</v>
      </c>
      <c r="L34" s="193" t="s">
        <v>105</v>
      </c>
      <c r="M34" s="193" t="s">
        <v>129</v>
      </c>
      <c r="N34" s="193" t="s">
        <v>143</v>
      </c>
      <c r="O34" s="193" t="s">
        <v>131</v>
      </c>
      <c r="P34" s="1"/>
      <c r="Q34" s="1"/>
      <c r="R34" s="1"/>
      <c r="S34" s="1"/>
      <c r="T34" s="1"/>
    </row>
    <row r="35" s="142" customFormat="true" ht="15" hidden="false" customHeight="false" outlineLevel="0" collapsed="false">
      <c r="B35" s="1"/>
      <c r="C35" s="1"/>
      <c r="D35" s="1"/>
      <c r="E35" s="1"/>
      <c r="F35" s="1"/>
      <c r="G35" s="1" t="n">
        <v>44</v>
      </c>
      <c r="H35" s="1"/>
      <c r="I35" s="1"/>
      <c r="J35" s="21" t="s">
        <v>50</v>
      </c>
      <c r="K35" s="21" t="s">
        <v>62</v>
      </c>
      <c r="L35" s="21" t="s">
        <v>105</v>
      </c>
      <c r="M35" s="1"/>
      <c r="N35" s="1"/>
      <c r="O35" s="1"/>
      <c r="P35" s="1"/>
      <c r="Q35" s="1"/>
      <c r="R35" s="1"/>
      <c r="S35" s="1"/>
      <c r="T35" s="1"/>
    </row>
    <row r="36" customFormat="false" ht="16.4" hidden="false" customHeight="false" outlineLevel="0" collapsed="false">
      <c r="A36" s="198" t="n">
        <v>5</v>
      </c>
      <c r="B36" s="1" t="s">
        <v>2317</v>
      </c>
      <c r="C36" s="1" t="s">
        <v>1262</v>
      </c>
      <c r="D36" s="1" t="s">
        <v>2334</v>
      </c>
      <c r="E36" s="1" t="s">
        <v>2335</v>
      </c>
      <c r="F36" s="1" t="s">
        <v>2320</v>
      </c>
      <c r="G36" s="82" t="n">
        <v>32</v>
      </c>
      <c r="H36" s="137"/>
      <c r="J36" s="199"/>
      <c r="K36" s="199"/>
      <c r="L36" s="199" t="s">
        <v>105</v>
      </c>
      <c r="M36" s="199" t="s">
        <v>129</v>
      </c>
      <c r="N36" s="199" t="s">
        <v>143</v>
      </c>
      <c r="O36" s="199" t="s">
        <v>131</v>
      </c>
      <c r="P36" s="199" t="s">
        <v>238</v>
      </c>
      <c r="Q36" s="199" t="s">
        <v>1341</v>
      </c>
      <c r="R36" s="1"/>
      <c r="S36" s="1" t="s">
        <v>76</v>
      </c>
      <c r="T36" s="1" t="s">
        <v>437</v>
      </c>
      <c r="V36" s="182" t="s">
        <v>2336</v>
      </c>
      <c r="W36" s="182" t="s">
        <v>2337</v>
      </c>
    </row>
    <row r="37" customFormat="false" ht="15" hidden="false" customHeight="false" outlineLevel="0" collapsed="false">
      <c r="B37" s="1"/>
      <c r="C37" s="1"/>
      <c r="D37" s="1"/>
      <c r="E37" s="1"/>
      <c r="F37" s="1"/>
      <c r="G37" s="1" t="n">
        <v>34</v>
      </c>
      <c r="H37" s="1"/>
      <c r="I37" s="1"/>
      <c r="J37" s="200" t="s">
        <v>50</v>
      </c>
      <c r="K37" s="200" t="s">
        <v>62</v>
      </c>
      <c r="L37" s="200" t="s">
        <v>105</v>
      </c>
      <c r="M37" s="200" t="s">
        <v>129</v>
      </c>
      <c r="N37" s="200" t="s">
        <v>143</v>
      </c>
      <c r="O37" s="200" t="s">
        <v>131</v>
      </c>
      <c r="P37" s="199" t="s">
        <v>238</v>
      </c>
      <c r="Q37" s="199" t="s">
        <v>1341</v>
      </c>
      <c r="R37" s="1"/>
      <c r="S37" s="1" t="s">
        <v>2338</v>
      </c>
      <c r="T37" s="1"/>
    </row>
    <row r="38" customFormat="false" ht="15" hidden="false" customHeight="false" outlineLevel="0" collapsed="false">
      <c r="B38" s="1"/>
      <c r="C38" s="1"/>
      <c r="D38" s="1"/>
      <c r="E38" s="1"/>
      <c r="F38" s="1"/>
      <c r="G38" s="1" t="n">
        <v>36</v>
      </c>
      <c r="H38" s="1"/>
      <c r="I38" s="1"/>
      <c r="J38" s="193" t="s">
        <v>50</v>
      </c>
      <c r="K38" s="193" t="s">
        <v>62</v>
      </c>
      <c r="L38" s="193" t="s">
        <v>105</v>
      </c>
      <c r="M38" s="193" t="s">
        <v>129</v>
      </c>
      <c r="N38" s="193" t="s">
        <v>143</v>
      </c>
      <c r="O38" s="193" t="s">
        <v>131</v>
      </c>
      <c r="P38" s="199" t="s">
        <v>238</v>
      </c>
      <c r="Q38" s="199" t="s">
        <v>1341</v>
      </c>
      <c r="R38" s="1"/>
      <c r="S38" s="1"/>
      <c r="T38" s="1"/>
    </row>
    <row r="39" customFormat="false" ht="15" hidden="false" customHeight="false" outlineLevel="0" collapsed="false">
      <c r="B39" s="1"/>
      <c r="C39" s="1"/>
      <c r="D39" s="1"/>
      <c r="E39" s="1"/>
      <c r="F39" s="1"/>
      <c r="G39" s="1" t="n">
        <v>38</v>
      </c>
      <c r="H39" s="1"/>
      <c r="I39" s="1"/>
      <c r="J39" s="193" t="s">
        <v>50</v>
      </c>
      <c r="K39" s="193" t="s">
        <v>62</v>
      </c>
      <c r="L39" s="193" t="s">
        <v>105</v>
      </c>
      <c r="M39" s="193" t="s">
        <v>129</v>
      </c>
      <c r="N39" s="193" t="s">
        <v>143</v>
      </c>
      <c r="O39" s="193" t="s">
        <v>131</v>
      </c>
      <c r="P39" s="199" t="s">
        <v>238</v>
      </c>
      <c r="Q39" s="199" t="s">
        <v>1341</v>
      </c>
      <c r="R39" s="1"/>
      <c r="S39" s="1"/>
      <c r="T39" s="1"/>
    </row>
    <row r="40" customFormat="false" ht="15" hidden="false" customHeight="false" outlineLevel="0" collapsed="false">
      <c r="B40" s="1"/>
      <c r="C40" s="1"/>
      <c r="D40" s="1"/>
      <c r="E40" s="1"/>
      <c r="F40" s="1"/>
      <c r="G40" s="1" t="n">
        <v>40</v>
      </c>
      <c r="H40" s="1"/>
      <c r="I40" s="1" t="s">
        <v>66</v>
      </c>
      <c r="J40" s="193" t="s">
        <v>50</v>
      </c>
      <c r="K40" s="193" t="s">
        <v>62</v>
      </c>
      <c r="L40" s="193" t="s">
        <v>105</v>
      </c>
      <c r="M40" s="193" t="s">
        <v>129</v>
      </c>
      <c r="N40" s="193" t="s">
        <v>143</v>
      </c>
      <c r="O40" s="193" t="s">
        <v>131</v>
      </c>
      <c r="P40" s="199" t="s">
        <v>238</v>
      </c>
      <c r="Q40" s="199" t="s">
        <v>1341</v>
      </c>
      <c r="R40" s="1"/>
      <c r="S40" s="1"/>
      <c r="T40" s="1"/>
    </row>
    <row r="41" s="142" customFormat="true" ht="15" hidden="false" customHeight="false" outlineLevel="0" collapsed="false">
      <c r="B41" s="1"/>
      <c r="C41" s="1"/>
      <c r="D41" s="1"/>
      <c r="E41" s="1"/>
      <c r="F41" s="1"/>
      <c r="G41" s="1" t="n">
        <v>42</v>
      </c>
      <c r="H41" s="1"/>
      <c r="I41" s="1" t="s">
        <v>66</v>
      </c>
      <c r="J41" s="193" t="s">
        <v>50</v>
      </c>
      <c r="K41" s="193" t="s">
        <v>62</v>
      </c>
      <c r="L41" s="193" t="s">
        <v>105</v>
      </c>
      <c r="M41" s="193" t="s">
        <v>129</v>
      </c>
      <c r="N41" s="193" t="s">
        <v>143</v>
      </c>
      <c r="O41" s="193" t="s">
        <v>131</v>
      </c>
      <c r="P41" s="1"/>
      <c r="Q41" s="1"/>
      <c r="R41" s="1"/>
      <c r="S41" s="1"/>
      <c r="T41" s="1"/>
    </row>
    <row r="42" s="142" customFormat="true" ht="15" hidden="false" customHeight="false" outlineLevel="0" collapsed="false">
      <c r="B42" s="1"/>
      <c r="C42" s="1"/>
      <c r="D42" s="1"/>
      <c r="E42" s="1"/>
      <c r="F42" s="1"/>
      <c r="G42" s="1" t="n">
        <v>44</v>
      </c>
      <c r="H42" s="1"/>
      <c r="I42" s="1" t="s">
        <v>66</v>
      </c>
      <c r="J42" s="21" t="s">
        <v>50</v>
      </c>
      <c r="K42" s="21" t="s">
        <v>62</v>
      </c>
      <c r="L42" s="21" t="s">
        <v>105</v>
      </c>
      <c r="M42" s="1"/>
      <c r="N42" s="1"/>
      <c r="O42" s="1"/>
      <c r="P42" s="1"/>
      <c r="Q42" s="1"/>
      <c r="R42" s="1"/>
      <c r="S42" s="1"/>
      <c r="T42" s="1"/>
    </row>
    <row r="43" s="142" customFormat="true" ht="15" hidden="false" customHeight="false" outlineLevel="0" collapsed="false">
      <c r="B43" s="1"/>
      <c r="C43" s="1"/>
      <c r="D43" s="1"/>
      <c r="E43" s="1"/>
      <c r="F43" s="1"/>
      <c r="G43" s="1"/>
      <c r="H43" s="1"/>
      <c r="I43" s="1"/>
      <c r="J43" s="21"/>
      <c r="K43" s="21"/>
      <c r="L43" s="21"/>
      <c r="M43" s="1"/>
      <c r="N43" s="1"/>
      <c r="O43" s="1"/>
      <c r="P43" s="1"/>
      <c r="Q43" s="1"/>
      <c r="R43" s="1"/>
      <c r="S43" s="1"/>
      <c r="T43" s="1"/>
    </row>
    <row r="44" s="142" customFormat="true" ht="16.4" hidden="false" customHeight="false" outlineLevel="0" collapsed="false">
      <c r="A44" s="198" t="n">
        <v>6</v>
      </c>
      <c r="B44" s="1" t="s">
        <v>2317</v>
      </c>
      <c r="C44" s="1" t="s">
        <v>1262</v>
      </c>
      <c r="D44" s="1" t="s">
        <v>2339</v>
      </c>
      <c r="E44" s="1" t="s">
        <v>2340</v>
      </c>
      <c r="F44" s="1" t="s">
        <v>2320</v>
      </c>
      <c r="G44" s="82" t="n">
        <v>32</v>
      </c>
      <c r="H44" s="137"/>
      <c r="J44" s="199"/>
      <c r="K44" s="199"/>
      <c r="L44" s="199" t="s">
        <v>105</v>
      </c>
      <c r="M44" s="199" t="s">
        <v>129</v>
      </c>
      <c r="N44" s="199" t="s">
        <v>143</v>
      </c>
      <c r="O44" s="199" t="s">
        <v>131</v>
      </c>
      <c r="P44" s="199" t="s">
        <v>238</v>
      </c>
      <c r="Q44" s="199" t="s">
        <v>1341</v>
      </c>
      <c r="R44" s="1"/>
      <c r="S44" s="1"/>
      <c r="T44" s="1"/>
      <c r="V44" s="142" t="s">
        <v>2341</v>
      </c>
      <c r="W44" s="142" t="s">
        <v>2342</v>
      </c>
    </row>
    <row r="45" s="142" customFormat="true" ht="15" hidden="false" customHeight="false" outlineLevel="0" collapsed="false">
      <c r="B45" s="1"/>
      <c r="C45" s="1"/>
      <c r="D45" s="1"/>
      <c r="E45" s="1"/>
      <c r="F45" s="1" t="s">
        <v>2343</v>
      </c>
      <c r="G45" s="1" t="n">
        <v>34</v>
      </c>
      <c r="H45" s="1"/>
      <c r="I45" s="1"/>
      <c r="J45" s="201" t="s">
        <v>50</v>
      </c>
      <c r="K45" s="201" t="s">
        <v>62</v>
      </c>
      <c r="L45" s="201" t="s">
        <v>105</v>
      </c>
      <c r="M45" s="201" t="s">
        <v>129</v>
      </c>
      <c r="N45" s="201" t="s">
        <v>143</v>
      </c>
      <c r="O45" s="201" t="s">
        <v>131</v>
      </c>
      <c r="P45" s="199" t="s">
        <v>238</v>
      </c>
      <c r="Q45" s="199" t="s">
        <v>1341</v>
      </c>
      <c r="R45" s="1"/>
      <c r="S45" s="1"/>
      <c r="T45" s="1"/>
    </row>
    <row r="46" s="142" customFormat="true" ht="15" hidden="false" customHeight="false" outlineLevel="0" collapsed="false">
      <c r="B46" s="1"/>
      <c r="C46" s="1"/>
      <c r="D46" s="1"/>
      <c r="E46" s="1"/>
      <c r="F46" s="1" t="s">
        <v>2344</v>
      </c>
      <c r="G46" s="1" t="n">
        <v>36</v>
      </c>
      <c r="H46" s="1"/>
      <c r="I46" s="1"/>
      <c r="J46" s="21" t="s">
        <v>50</v>
      </c>
      <c r="K46" s="21" t="s">
        <v>62</v>
      </c>
      <c r="L46" s="193" t="s">
        <v>105</v>
      </c>
      <c r="M46" s="193" t="s">
        <v>129</v>
      </c>
      <c r="N46" s="193" t="s">
        <v>143</v>
      </c>
      <c r="O46" s="193" t="s">
        <v>131</v>
      </c>
      <c r="P46" s="199" t="s">
        <v>238</v>
      </c>
      <c r="Q46" s="199" t="s">
        <v>1341</v>
      </c>
      <c r="R46" s="1"/>
      <c r="S46" s="1"/>
      <c r="T46" s="1"/>
    </row>
    <row r="47" s="142" customFormat="true" ht="15" hidden="false" customHeight="false" outlineLevel="0" collapsed="false">
      <c r="B47" s="1"/>
      <c r="C47" s="1"/>
      <c r="D47" s="1"/>
      <c r="E47" s="1"/>
      <c r="F47" s="1"/>
      <c r="G47" s="1" t="n">
        <v>38</v>
      </c>
      <c r="H47" s="1"/>
      <c r="I47" s="1"/>
      <c r="J47" s="21" t="s">
        <v>50</v>
      </c>
      <c r="K47" s="193" t="s">
        <v>62</v>
      </c>
      <c r="L47" s="193" t="s">
        <v>105</v>
      </c>
      <c r="M47" s="193" t="s">
        <v>129</v>
      </c>
      <c r="N47" s="193" t="s">
        <v>143</v>
      </c>
      <c r="O47" s="193" t="s">
        <v>131</v>
      </c>
      <c r="P47" s="199" t="s">
        <v>238</v>
      </c>
      <c r="Q47" s="199" t="s">
        <v>1341</v>
      </c>
      <c r="R47" s="1"/>
      <c r="S47" s="1"/>
      <c r="T47" s="1"/>
    </row>
    <row r="48" customFormat="false" ht="15" hidden="false" customHeight="false" outlineLevel="0" collapsed="false">
      <c r="G48" s="1" t="n">
        <v>40</v>
      </c>
      <c r="H48" s="1"/>
      <c r="I48" s="193" t="s">
        <v>66</v>
      </c>
      <c r="J48" s="193" t="s">
        <v>50</v>
      </c>
      <c r="K48" s="193" t="s">
        <v>62</v>
      </c>
      <c r="L48" s="193" t="s">
        <v>105</v>
      </c>
      <c r="M48" s="193" t="s">
        <v>129</v>
      </c>
      <c r="N48" s="193" t="s">
        <v>143</v>
      </c>
      <c r="O48" s="193" t="s">
        <v>131</v>
      </c>
      <c r="P48" s="199" t="s">
        <v>238</v>
      </c>
      <c r="Q48" s="199" t="s">
        <v>1341</v>
      </c>
      <c r="R48" s="1"/>
      <c r="S48" s="1" t="s">
        <v>464</v>
      </c>
      <c r="T48" s="1" t="s">
        <v>2321</v>
      </c>
    </row>
    <row r="49" customFormat="false" ht="15" hidden="false" customHeight="false" outlineLevel="0" collapsed="false">
      <c r="B49" s="1"/>
      <c r="C49" s="1"/>
      <c r="D49" s="1"/>
      <c r="E49" s="1"/>
      <c r="F49" s="1"/>
      <c r="G49" s="1" t="n">
        <v>42</v>
      </c>
      <c r="H49" s="1"/>
      <c r="I49" s="193" t="s">
        <v>66</v>
      </c>
      <c r="J49" s="193" t="s">
        <v>50</v>
      </c>
      <c r="K49" s="193" t="s">
        <v>62</v>
      </c>
      <c r="L49" s="193" t="s">
        <v>105</v>
      </c>
      <c r="M49" s="193" t="s">
        <v>129</v>
      </c>
      <c r="N49" s="193" t="s">
        <v>143</v>
      </c>
      <c r="O49" s="193" t="s">
        <v>131</v>
      </c>
      <c r="P49" s="1"/>
      <c r="Q49" s="1"/>
      <c r="R49" s="1"/>
      <c r="S49" s="1" t="s">
        <v>76</v>
      </c>
      <c r="T49" s="1" t="s">
        <v>437</v>
      </c>
    </row>
    <row r="50" customFormat="false" ht="15" hidden="false" customHeight="false" outlineLevel="0" collapsed="false">
      <c r="B50" s="1"/>
      <c r="C50" s="1"/>
      <c r="D50" s="1"/>
      <c r="E50" s="1"/>
      <c r="F50" s="1"/>
      <c r="G50" s="1" t="n">
        <v>44</v>
      </c>
      <c r="H50" s="1"/>
      <c r="I50" s="1" t="s">
        <v>66</v>
      </c>
      <c r="J50" s="21" t="s">
        <v>50</v>
      </c>
      <c r="K50" s="21" t="s">
        <v>62</v>
      </c>
      <c r="L50" s="21" t="s">
        <v>105</v>
      </c>
      <c r="M50" s="1"/>
      <c r="N50" s="1"/>
      <c r="O50" s="1"/>
      <c r="P50" s="1"/>
      <c r="Q50" s="1"/>
      <c r="R50" s="1"/>
      <c r="S50" s="1"/>
      <c r="T50" s="1"/>
    </row>
    <row r="51" s="142" customFormat="true" ht="16.4" hidden="false" customHeight="false" outlineLevel="0" collapsed="false">
      <c r="A51" s="187" t="n">
        <v>7</v>
      </c>
      <c r="B51" s="1" t="s">
        <v>2317</v>
      </c>
      <c r="C51" s="1" t="s">
        <v>2345</v>
      </c>
      <c r="D51" s="1" t="s">
        <v>308</v>
      </c>
      <c r="E51" s="1" t="s">
        <v>2346</v>
      </c>
      <c r="F51" s="1" t="s">
        <v>2320</v>
      </c>
      <c r="G51" s="82" t="n">
        <v>30</v>
      </c>
      <c r="H51" s="82"/>
      <c r="I51" s="202" t="s">
        <v>66</v>
      </c>
      <c r="J51" s="200" t="s">
        <v>50</v>
      </c>
      <c r="K51" s="200" t="s">
        <v>62</v>
      </c>
      <c r="L51" s="200" t="s">
        <v>105</v>
      </c>
      <c r="M51" s="200" t="s">
        <v>129</v>
      </c>
      <c r="N51" s="200" t="s">
        <v>143</v>
      </c>
      <c r="O51" s="200" t="s">
        <v>131</v>
      </c>
      <c r="P51" s="199"/>
      <c r="Q51" s="199"/>
      <c r="R51" s="1"/>
      <c r="S51" s="1"/>
      <c r="T51" s="1" t="n">
        <v>1030</v>
      </c>
      <c r="V51" s="142" t="s">
        <v>2347</v>
      </c>
      <c r="W51" s="142" t="s">
        <v>2348</v>
      </c>
      <c r="X51" s="142" t="s">
        <v>2349</v>
      </c>
    </row>
    <row r="52" s="142" customFormat="true" ht="15" hidden="false" customHeight="false" outlineLevel="0" collapsed="false">
      <c r="B52" s="1"/>
      <c r="C52" s="1"/>
      <c r="D52" s="1"/>
      <c r="E52" s="1"/>
      <c r="F52" s="1" t="s">
        <v>2350</v>
      </c>
      <c r="G52" s="1" t="n">
        <v>32</v>
      </c>
      <c r="H52" s="82"/>
      <c r="I52" s="202" t="s">
        <v>66</v>
      </c>
      <c r="J52" s="200" t="s">
        <v>50</v>
      </c>
      <c r="K52" s="200" t="s">
        <v>62</v>
      </c>
      <c r="L52" s="200" t="s">
        <v>105</v>
      </c>
      <c r="M52" s="200" t="s">
        <v>129</v>
      </c>
      <c r="N52" s="200" t="s">
        <v>143</v>
      </c>
      <c r="O52" s="200" t="s">
        <v>131</v>
      </c>
      <c r="P52" s="199"/>
      <c r="Q52" s="199"/>
      <c r="R52" s="1"/>
      <c r="S52" s="1"/>
      <c r="T52" s="1"/>
    </row>
    <row r="53" s="142" customFormat="true" ht="15" hidden="false" customHeight="false" outlineLevel="0" collapsed="false">
      <c r="B53" s="1"/>
      <c r="C53" s="1"/>
      <c r="D53" s="1"/>
      <c r="E53" s="1"/>
      <c r="F53" s="1" t="s">
        <v>2344</v>
      </c>
      <c r="G53" s="1" t="n">
        <v>34</v>
      </c>
      <c r="H53" s="82"/>
      <c r="I53" s="202" t="s">
        <v>66</v>
      </c>
      <c r="J53" s="200" t="s">
        <v>50</v>
      </c>
      <c r="K53" s="193" t="s">
        <v>62</v>
      </c>
      <c r="L53" s="193" t="s">
        <v>105</v>
      </c>
      <c r="M53" s="193" t="s">
        <v>129</v>
      </c>
      <c r="N53" s="193" t="s">
        <v>143</v>
      </c>
      <c r="O53" s="193" t="s">
        <v>131</v>
      </c>
      <c r="P53" s="199"/>
      <c r="Q53" s="199"/>
      <c r="R53" s="1"/>
      <c r="S53" s="1"/>
      <c r="T53" s="1"/>
    </row>
    <row r="54" s="142" customFormat="true" ht="15" hidden="false" customHeight="false" outlineLevel="0" collapsed="false">
      <c r="B54" s="1"/>
      <c r="C54" s="1"/>
      <c r="D54" s="1"/>
      <c r="E54" s="1"/>
      <c r="F54" s="1"/>
      <c r="G54" s="1" t="n">
        <v>36</v>
      </c>
      <c r="H54" s="82"/>
      <c r="I54" s="202" t="s">
        <v>66</v>
      </c>
      <c r="J54" s="200" t="s">
        <v>50</v>
      </c>
      <c r="K54" s="193" t="s">
        <v>62</v>
      </c>
      <c r="L54" s="193" t="s">
        <v>105</v>
      </c>
      <c r="M54" s="193" t="s">
        <v>129</v>
      </c>
      <c r="N54" s="193" t="s">
        <v>143</v>
      </c>
      <c r="O54" s="193" t="s">
        <v>131</v>
      </c>
      <c r="P54" s="199"/>
      <c r="Q54" s="199"/>
      <c r="R54" s="1"/>
      <c r="S54" s="1"/>
      <c r="T54" s="1"/>
    </row>
    <row r="55" s="142" customFormat="true" ht="15" hidden="false" customHeight="false" outlineLevel="0" collapsed="false">
      <c r="G55" s="1" t="n">
        <v>38</v>
      </c>
      <c r="H55" s="1"/>
      <c r="I55" s="193" t="s">
        <v>66</v>
      </c>
      <c r="J55" s="193" t="s">
        <v>50</v>
      </c>
      <c r="K55" s="193" t="s">
        <v>62</v>
      </c>
      <c r="L55" s="193" t="s">
        <v>105</v>
      </c>
      <c r="M55" s="193" t="s">
        <v>129</v>
      </c>
      <c r="N55" s="193" t="n">
        <v>9116</v>
      </c>
      <c r="O55" s="193" t="s">
        <v>131</v>
      </c>
      <c r="P55" s="199"/>
      <c r="Q55" s="199"/>
      <c r="R55" s="1"/>
      <c r="S55" s="1" t="s">
        <v>464</v>
      </c>
      <c r="T55" s="1" t="s">
        <v>2321</v>
      </c>
    </row>
    <row r="56" s="142" customFormat="true" ht="15" hidden="false" customHeight="false" outlineLevel="0" collapsed="false">
      <c r="B56" s="1"/>
      <c r="C56" s="1"/>
      <c r="D56" s="1"/>
      <c r="E56" s="1"/>
      <c r="F56" s="1"/>
      <c r="G56" s="1" t="n">
        <v>40</v>
      </c>
      <c r="H56" s="1"/>
      <c r="I56" s="193" t="s">
        <v>66</v>
      </c>
      <c r="J56" s="193" t="s">
        <v>50</v>
      </c>
      <c r="K56" s="193" t="s">
        <v>62</v>
      </c>
      <c r="L56" s="193" t="s">
        <v>105</v>
      </c>
      <c r="M56" s="1"/>
      <c r="N56" s="1"/>
      <c r="O56" s="1"/>
      <c r="P56" s="1"/>
      <c r="Q56" s="1"/>
      <c r="R56" s="1"/>
      <c r="S56" s="1" t="s">
        <v>76</v>
      </c>
      <c r="T56" s="1" t="s">
        <v>437</v>
      </c>
    </row>
    <row r="57" s="142" customFormat="true" ht="15" hidden="false" customHeight="false" outlineLevel="0" collapsed="false">
      <c r="B57" s="1"/>
      <c r="C57" s="1"/>
      <c r="D57" s="1"/>
      <c r="E57" s="1"/>
      <c r="F57" s="1"/>
      <c r="G57" s="1" t="n">
        <v>42</v>
      </c>
      <c r="H57" s="1"/>
      <c r="I57" s="1" t="s">
        <v>66</v>
      </c>
      <c r="J57" s="21" t="s">
        <v>50</v>
      </c>
      <c r="K57" s="21" t="s">
        <v>62</v>
      </c>
      <c r="L57" s="21" t="s">
        <v>105</v>
      </c>
      <c r="M57" s="1"/>
      <c r="N57" s="1"/>
      <c r="O57" s="1"/>
      <c r="P57" s="1"/>
      <c r="Q57" s="1"/>
      <c r="R57" s="1"/>
      <c r="S57" s="1"/>
      <c r="T57" s="1"/>
    </row>
    <row r="58" customFormat="false" ht="16.4" hidden="false" customHeight="false" outlineLevel="0" collapsed="false">
      <c r="A58" s="198" t="n">
        <v>8</v>
      </c>
      <c r="B58" s="1" t="s">
        <v>2317</v>
      </c>
      <c r="C58" s="1" t="s">
        <v>886</v>
      </c>
      <c r="D58" s="1" t="s">
        <v>2351</v>
      </c>
      <c r="E58" s="1" t="n">
        <v>4530</v>
      </c>
      <c r="F58" s="1" t="s">
        <v>2320</v>
      </c>
      <c r="G58" s="82" t="n">
        <v>30</v>
      </c>
      <c r="H58" s="82"/>
      <c r="I58" s="202" t="s">
        <v>66</v>
      </c>
      <c r="J58" s="200" t="s">
        <v>50</v>
      </c>
      <c r="K58" s="200" t="s">
        <v>62</v>
      </c>
      <c r="L58" s="200" t="s">
        <v>105</v>
      </c>
      <c r="M58" s="200" t="s">
        <v>129</v>
      </c>
      <c r="N58" s="200" t="s">
        <v>143</v>
      </c>
      <c r="O58" s="200" t="s">
        <v>131</v>
      </c>
      <c r="P58" s="1"/>
      <c r="Q58" s="1"/>
      <c r="R58" s="1"/>
      <c r="S58" s="1"/>
      <c r="T58" s="1"/>
      <c r="V58" s="203" t="s">
        <v>2352</v>
      </c>
      <c r="W58" s="182" t="s">
        <v>2353</v>
      </c>
      <c r="X58" s="182" t="s">
        <v>2354</v>
      </c>
    </row>
    <row r="59" customFormat="false" ht="15" hidden="false" customHeight="false" outlineLevel="0" collapsed="false">
      <c r="B59" s="1"/>
      <c r="C59" s="1"/>
      <c r="D59" s="1"/>
      <c r="E59" s="1"/>
      <c r="F59" s="1" t="s">
        <v>2355</v>
      </c>
      <c r="G59" s="1" t="n">
        <v>32</v>
      </c>
      <c r="H59" s="82"/>
      <c r="I59" s="202" t="s">
        <v>66</v>
      </c>
      <c r="J59" s="200" t="s">
        <v>50</v>
      </c>
      <c r="K59" s="200" t="s">
        <v>62</v>
      </c>
      <c r="L59" s="200" t="s">
        <v>105</v>
      </c>
      <c r="M59" s="200" t="s">
        <v>129</v>
      </c>
      <c r="N59" s="200" t="s">
        <v>143</v>
      </c>
      <c r="O59" s="200" t="s">
        <v>131</v>
      </c>
      <c r="P59" s="1"/>
      <c r="Q59" s="1"/>
      <c r="R59" s="1"/>
      <c r="S59" s="1"/>
      <c r="T59" s="1"/>
    </row>
    <row r="60" customFormat="false" ht="15" hidden="false" customHeight="false" outlineLevel="0" collapsed="false">
      <c r="B60" s="1"/>
      <c r="C60" s="1"/>
      <c r="D60" s="1"/>
      <c r="E60" s="1"/>
      <c r="F60" s="1"/>
      <c r="G60" s="1" t="n">
        <v>34</v>
      </c>
      <c r="H60" s="82"/>
      <c r="I60" s="202" t="s">
        <v>66</v>
      </c>
      <c r="J60" s="200" t="s">
        <v>50</v>
      </c>
      <c r="K60" s="193" t="s">
        <v>62</v>
      </c>
      <c r="L60" s="193" t="s">
        <v>105</v>
      </c>
      <c r="M60" s="193" t="s">
        <v>129</v>
      </c>
      <c r="N60" s="193" t="s">
        <v>143</v>
      </c>
      <c r="O60" s="193" t="s">
        <v>131</v>
      </c>
      <c r="P60" s="1"/>
      <c r="Q60" s="1"/>
      <c r="R60" s="1"/>
      <c r="S60" s="1" t="s">
        <v>464</v>
      </c>
      <c r="T60" s="1" t="s">
        <v>2321</v>
      </c>
    </row>
    <row r="61" customFormat="false" ht="15" hidden="false" customHeight="false" outlineLevel="0" collapsed="false">
      <c r="B61" s="1"/>
      <c r="C61" s="1"/>
      <c r="D61" s="1"/>
      <c r="E61" s="1"/>
      <c r="F61" s="1"/>
      <c r="G61" s="1" t="n">
        <v>36</v>
      </c>
      <c r="H61" s="82"/>
      <c r="I61" s="202" t="s">
        <v>66</v>
      </c>
      <c r="J61" s="200" t="s">
        <v>50</v>
      </c>
      <c r="K61" s="193" t="s">
        <v>62</v>
      </c>
      <c r="L61" s="193" t="s">
        <v>105</v>
      </c>
      <c r="M61" s="193" t="s">
        <v>129</v>
      </c>
      <c r="N61" s="193" t="s">
        <v>143</v>
      </c>
      <c r="O61" s="193" t="s">
        <v>131</v>
      </c>
      <c r="P61" s="1"/>
      <c r="Q61" s="1"/>
      <c r="R61" s="1"/>
      <c r="S61" s="1" t="s">
        <v>76</v>
      </c>
      <c r="T61" s="1" t="s">
        <v>437</v>
      </c>
    </row>
    <row r="62" customFormat="false" ht="15" hidden="false" customHeight="false" outlineLevel="0" collapsed="false">
      <c r="B62" s="1"/>
      <c r="C62" s="1"/>
      <c r="D62" s="1"/>
      <c r="E62" s="1"/>
      <c r="F62" s="1"/>
      <c r="G62" s="1" t="n">
        <v>38</v>
      </c>
      <c r="H62" s="1"/>
      <c r="I62" s="193" t="s">
        <v>66</v>
      </c>
      <c r="J62" s="193" t="s">
        <v>50</v>
      </c>
      <c r="K62" s="193" t="s">
        <v>62</v>
      </c>
      <c r="L62" s="193" t="s">
        <v>105</v>
      </c>
      <c r="M62" s="193" t="s">
        <v>129</v>
      </c>
      <c r="N62" s="193" t="s">
        <v>143</v>
      </c>
      <c r="O62" s="193" t="s">
        <v>131</v>
      </c>
      <c r="P62" s="1"/>
      <c r="Q62" s="1"/>
      <c r="R62" s="1"/>
      <c r="S62" s="1"/>
      <c r="T62" s="1"/>
    </row>
    <row r="63" customFormat="false" ht="15" hidden="false" customHeight="false" outlineLevel="0" collapsed="false">
      <c r="B63" s="1"/>
      <c r="C63" s="1"/>
      <c r="D63" s="1"/>
      <c r="E63" s="1"/>
      <c r="F63" s="1"/>
      <c r="G63" s="1" t="n">
        <v>40</v>
      </c>
      <c r="H63" s="1"/>
      <c r="I63" s="193" t="s">
        <v>66</v>
      </c>
      <c r="J63" s="193" t="s">
        <v>50</v>
      </c>
      <c r="K63" s="193" t="s">
        <v>62</v>
      </c>
      <c r="L63" s="193" t="s">
        <v>105</v>
      </c>
      <c r="M63" s="1"/>
      <c r="N63" s="1"/>
      <c r="O63" s="1"/>
      <c r="P63" s="1"/>
      <c r="Q63" s="1"/>
      <c r="R63" s="1"/>
      <c r="S63" s="1"/>
      <c r="T63" s="1"/>
    </row>
    <row r="64" customFormat="false" ht="15" hidden="false" customHeight="false" outlineLevel="0" collapsed="false">
      <c r="B64" s="1"/>
      <c r="C64" s="1"/>
      <c r="D64" s="1"/>
      <c r="E64" s="1"/>
      <c r="F64" s="1"/>
      <c r="G64" s="1" t="n">
        <v>42</v>
      </c>
      <c r="H64" s="1"/>
      <c r="I64" s="1" t="s">
        <v>66</v>
      </c>
      <c r="J64" s="21" t="s">
        <v>50</v>
      </c>
      <c r="K64" s="21" t="s">
        <v>62</v>
      </c>
      <c r="L64" s="21" t="s">
        <v>105</v>
      </c>
      <c r="M64" s="1"/>
      <c r="N64" s="1"/>
      <c r="O64" s="1"/>
      <c r="P64" s="1"/>
      <c r="Q64" s="1"/>
      <c r="R64" s="1"/>
      <c r="S64" s="1"/>
      <c r="T64" s="1"/>
    </row>
    <row r="65" customFormat="false" ht="16.4" hidden="false" customHeight="false" outlineLevel="0" collapsed="false">
      <c r="A65" s="198" t="n">
        <v>9</v>
      </c>
      <c r="B65" s="1" t="s">
        <v>2317</v>
      </c>
      <c r="C65" s="1"/>
      <c r="D65" s="1" t="s">
        <v>2356</v>
      </c>
      <c r="E65" s="1" t="s">
        <v>2357</v>
      </c>
      <c r="F65" s="1" t="s">
        <v>2320</v>
      </c>
      <c r="G65" s="1" t="n">
        <v>36</v>
      </c>
      <c r="H65" s="1"/>
      <c r="I65" s="1"/>
      <c r="J65" s="1" t="s">
        <v>50</v>
      </c>
      <c r="K65" s="1" t="s">
        <v>62</v>
      </c>
      <c r="L65" s="1" t="s">
        <v>105</v>
      </c>
      <c r="M65" s="1" t="s">
        <v>129</v>
      </c>
      <c r="N65" s="1" t="s">
        <v>143</v>
      </c>
      <c r="O65" s="1" t="s">
        <v>131</v>
      </c>
      <c r="P65" s="1"/>
      <c r="Q65" s="1"/>
      <c r="R65" s="1"/>
      <c r="S65" s="1" t="s">
        <v>464</v>
      </c>
      <c r="T65" s="1" t="s">
        <v>2321</v>
      </c>
      <c r="V65" s="203" t="s">
        <v>2358</v>
      </c>
      <c r="W65" s="142" t="s">
        <v>2348</v>
      </c>
      <c r="X65" s="142" t="s">
        <v>2349</v>
      </c>
    </row>
    <row r="66" customFormat="false" ht="15" hidden="false" customHeight="false" outlineLevel="0" collapsed="false">
      <c r="B66" s="1"/>
      <c r="C66" s="1"/>
      <c r="D66" s="1"/>
      <c r="E66" s="1"/>
      <c r="F66" s="1"/>
      <c r="G66" s="1" t="n">
        <v>38</v>
      </c>
      <c r="H66" s="1"/>
      <c r="I66" s="1"/>
      <c r="J66" s="1" t="s">
        <v>50</v>
      </c>
      <c r="K66" s="1" t="s">
        <v>62</v>
      </c>
      <c r="L66" s="1" t="s">
        <v>105</v>
      </c>
      <c r="M66" s="1" t="s">
        <v>129</v>
      </c>
      <c r="N66" s="1" t="s">
        <v>143</v>
      </c>
      <c r="O66" s="1" t="s">
        <v>131</v>
      </c>
      <c r="P66" s="1"/>
      <c r="Q66" s="1"/>
      <c r="R66" s="1"/>
      <c r="S66" s="1" t="s">
        <v>76</v>
      </c>
      <c r="T66" s="1" t="s">
        <v>437</v>
      </c>
    </row>
    <row r="67" customFormat="false" ht="15" hidden="false" customHeight="false" outlineLevel="0" collapsed="false">
      <c r="B67" s="1"/>
      <c r="C67" s="1"/>
      <c r="D67" s="1"/>
      <c r="E67" s="1"/>
      <c r="F67" s="1"/>
      <c r="G67" s="1" t="n">
        <v>40</v>
      </c>
      <c r="H67" s="1"/>
      <c r="I67" s="1" t="s">
        <v>66</v>
      </c>
      <c r="J67" s="1" t="s">
        <v>50</v>
      </c>
      <c r="K67" s="1" t="s">
        <v>62</v>
      </c>
      <c r="L67" s="1" t="s">
        <v>105</v>
      </c>
      <c r="M67" s="1" t="s">
        <v>129</v>
      </c>
      <c r="N67" s="1" t="s">
        <v>143</v>
      </c>
      <c r="O67" s="1" t="s">
        <v>131</v>
      </c>
      <c r="P67" s="1"/>
      <c r="Q67" s="1"/>
      <c r="R67" s="1"/>
      <c r="S67" s="1"/>
      <c r="T67" s="1"/>
    </row>
    <row r="68" customFormat="false" ht="15" hidden="false" customHeight="false" outlineLevel="0" collapsed="false">
      <c r="B68" s="1"/>
      <c r="C68" s="1"/>
      <c r="D68" s="1"/>
      <c r="E68" s="1"/>
      <c r="F68" s="1"/>
      <c r="G68" s="1" t="n">
        <v>42</v>
      </c>
      <c r="H68" s="1"/>
      <c r="I68" s="1" t="s">
        <v>66</v>
      </c>
      <c r="J68" s="1" t="s">
        <v>50</v>
      </c>
      <c r="K68" s="1" t="s">
        <v>62</v>
      </c>
      <c r="L68" s="1" t="s">
        <v>105</v>
      </c>
      <c r="M68" s="1" t="s">
        <v>129</v>
      </c>
      <c r="N68" s="1" t="s">
        <v>143</v>
      </c>
      <c r="O68" s="1" t="s">
        <v>131</v>
      </c>
      <c r="P68" s="1"/>
      <c r="Q68" s="1"/>
      <c r="R68" s="1"/>
      <c r="S68" s="1"/>
      <c r="T68" s="1"/>
    </row>
    <row r="69" customFormat="false" ht="15" hidden="false" customHeight="false" outlineLevel="0" collapsed="false">
      <c r="B69" s="1"/>
      <c r="C69" s="1"/>
      <c r="D69" s="1"/>
      <c r="E69" s="1"/>
      <c r="F69" s="1"/>
      <c r="G69" s="1" t="n">
        <v>44</v>
      </c>
      <c r="H69" s="1"/>
      <c r="I69" s="1" t="s">
        <v>66</v>
      </c>
      <c r="J69" s="1" t="s">
        <v>50</v>
      </c>
      <c r="K69" s="1" t="s">
        <v>62</v>
      </c>
      <c r="L69" s="1" t="s">
        <v>105</v>
      </c>
      <c r="M69" s="1" t="s">
        <v>129</v>
      </c>
      <c r="N69" s="1" t="s">
        <v>143</v>
      </c>
      <c r="O69" s="1" t="s">
        <v>131</v>
      </c>
      <c r="P69" s="1"/>
      <c r="Q69" s="1"/>
      <c r="R69" s="1"/>
      <c r="S69" s="1"/>
      <c r="T69" s="1"/>
    </row>
    <row r="70" customFormat="false" ht="16.4" hidden="false" customHeight="false" outlineLevel="0" collapsed="false">
      <c r="A70" s="198" t="n">
        <v>10</v>
      </c>
      <c r="B70" s="1" t="s">
        <v>2359</v>
      </c>
      <c r="C70" s="1" t="s">
        <v>886</v>
      </c>
      <c r="D70" s="1" t="s">
        <v>2360</v>
      </c>
      <c r="E70" s="1" t="s">
        <v>2361</v>
      </c>
      <c r="F70" s="1" t="s">
        <v>2362</v>
      </c>
      <c r="G70" s="1" t="n">
        <v>30</v>
      </c>
      <c r="H70" s="1"/>
      <c r="I70" s="1" t="s">
        <v>66</v>
      </c>
      <c r="J70" s="1" t="s">
        <v>50</v>
      </c>
      <c r="K70" s="1" t="s">
        <v>62</v>
      </c>
      <c r="L70" s="1"/>
      <c r="M70" s="1"/>
      <c r="N70" s="1"/>
      <c r="O70" s="1"/>
      <c r="P70" s="1"/>
      <c r="Q70" s="1"/>
      <c r="R70" s="1"/>
      <c r="S70" s="1" t="s">
        <v>464</v>
      </c>
      <c r="T70" s="1" t="s">
        <v>2321</v>
      </c>
      <c r="V70" s="203" t="s">
        <v>2363</v>
      </c>
      <c r="W70" s="182" t="s">
        <v>2364</v>
      </c>
      <c r="X70" s="182" t="s">
        <v>2365</v>
      </c>
    </row>
    <row r="71" customFormat="false" ht="15" hidden="false" customHeight="false" outlineLevel="0" collapsed="false">
      <c r="B71" s="1"/>
      <c r="C71" s="1"/>
      <c r="D71" s="1"/>
      <c r="E71" s="1"/>
      <c r="F71" s="1"/>
      <c r="G71" s="1" t="n">
        <v>32</v>
      </c>
      <c r="H71" s="1"/>
      <c r="I71" s="1" t="s">
        <v>66</v>
      </c>
      <c r="J71" s="1" t="s">
        <v>50</v>
      </c>
      <c r="K71" s="1" t="s">
        <v>62</v>
      </c>
      <c r="L71" s="193" t="s">
        <v>105</v>
      </c>
      <c r="M71" s="193" t="s">
        <v>129</v>
      </c>
      <c r="N71" s="193" t="s">
        <v>143</v>
      </c>
      <c r="O71" s="1"/>
      <c r="P71" s="1"/>
      <c r="Q71" s="1"/>
      <c r="R71" s="1"/>
      <c r="S71" s="1" t="s">
        <v>76</v>
      </c>
      <c r="T71" s="1" t="s">
        <v>437</v>
      </c>
    </row>
    <row r="72" customFormat="false" ht="15" hidden="false" customHeight="false" outlineLevel="0" collapsed="false">
      <c r="B72" s="1"/>
      <c r="C72" s="1"/>
      <c r="D72" s="1"/>
      <c r="E72" s="1"/>
      <c r="F72" s="1"/>
      <c r="G72" s="1" t="n">
        <v>34</v>
      </c>
      <c r="H72" s="1"/>
      <c r="I72" s="1" t="s">
        <v>66</v>
      </c>
      <c r="J72" s="1" t="s">
        <v>50</v>
      </c>
      <c r="K72" s="193" t="s">
        <v>62</v>
      </c>
      <c r="L72" s="193" t="s">
        <v>105</v>
      </c>
      <c r="M72" s="193" t="s">
        <v>129</v>
      </c>
      <c r="N72" s="193" t="s">
        <v>143</v>
      </c>
      <c r="O72" s="1"/>
      <c r="P72" s="1"/>
      <c r="Q72" s="1"/>
      <c r="R72" s="1"/>
      <c r="S72" s="1"/>
      <c r="T72" s="1"/>
    </row>
    <row r="73" customFormat="false" ht="15" hidden="false" customHeight="false" outlineLevel="0" collapsed="false">
      <c r="B73" s="1"/>
      <c r="C73" s="1"/>
      <c r="D73" s="1"/>
      <c r="E73" s="1"/>
      <c r="F73" s="1"/>
      <c r="G73" s="1" t="n">
        <v>36</v>
      </c>
      <c r="H73" s="1"/>
      <c r="I73" s="1"/>
      <c r="J73" s="193" t="s">
        <v>50</v>
      </c>
      <c r="K73" s="193" t="s">
        <v>62</v>
      </c>
      <c r="L73" s="193" t="s">
        <v>105</v>
      </c>
      <c r="M73" s="193" t="s">
        <v>129</v>
      </c>
      <c r="N73" s="193" t="s">
        <v>143</v>
      </c>
      <c r="O73" s="1"/>
      <c r="P73" s="1"/>
      <c r="Q73" s="1"/>
      <c r="R73" s="1"/>
      <c r="S73" s="1"/>
      <c r="T73" s="1"/>
    </row>
    <row r="74" customFormat="false" ht="15" hidden="false" customHeight="false" outlineLevel="0" collapsed="false">
      <c r="B74" s="1"/>
      <c r="C74" s="1"/>
      <c r="D74" s="1"/>
      <c r="E74" s="1"/>
      <c r="F74" s="1"/>
      <c r="G74" s="1" t="n">
        <v>38</v>
      </c>
      <c r="H74" s="1"/>
      <c r="I74" s="1"/>
      <c r="J74" s="193" t="s">
        <v>50</v>
      </c>
      <c r="K74" s="193" t="s">
        <v>62</v>
      </c>
      <c r="L74" s="193" t="s">
        <v>105</v>
      </c>
      <c r="M74" s="1"/>
      <c r="N74" s="1"/>
      <c r="O74" s="1"/>
      <c r="P74" s="1"/>
      <c r="Q74" s="1"/>
      <c r="R74" s="1"/>
      <c r="S74" s="1"/>
      <c r="T74" s="1"/>
    </row>
    <row r="75" s="142" customFormat="true" ht="15" hidden="false" customHeight="false" outlineLevel="0" collapsed="false">
      <c r="B75" s="1"/>
      <c r="C75" s="1"/>
      <c r="D75" s="1"/>
      <c r="E75" s="1"/>
      <c r="F75" s="1"/>
      <c r="G75" s="1" t="n">
        <v>40</v>
      </c>
      <c r="H75" s="1"/>
      <c r="I75" s="1"/>
      <c r="J75" s="193" t="s">
        <v>50</v>
      </c>
      <c r="K75" s="193" t="s">
        <v>62</v>
      </c>
      <c r="L75" s="193"/>
      <c r="M75" s="1"/>
      <c r="N75" s="1"/>
      <c r="O75" s="1"/>
      <c r="P75" s="1"/>
      <c r="Q75" s="1"/>
      <c r="R75" s="1"/>
      <c r="S75" s="1"/>
      <c r="T75" s="1"/>
    </row>
    <row r="76" s="142" customFormat="true" ht="16.4" hidden="false" customHeight="false" outlineLevel="0" collapsed="false">
      <c r="A76" s="198" t="n">
        <v>11</v>
      </c>
      <c r="B76" s="1" t="s">
        <v>2317</v>
      </c>
      <c r="C76" s="1"/>
      <c r="D76" s="1" t="s">
        <v>2366</v>
      </c>
      <c r="E76" s="1" t="s">
        <v>109</v>
      </c>
      <c r="F76" s="1" t="s">
        <v>2320</v>
      </c>
      <c r="G76" s="1" t="n">
        <v>30</v>
      </c>
      <c r="H76" s="1"/>
      <c r="I76" s="1"/>
      <c r="J76" s="1" t="s">
        <v>50</v>
      </c>
      <c r="K76" s="1" t="s">
        <v>62</v>
      </c>
      <c r="L76" s="1" t="s">
        <v>105</v>
      </c>
      <c r="M76" s="1" t="s">
        <v>129</v>
      </c>
      <c r="N76" s="1" t="s">
        <v>143</v>
      </c>
      <c r="O76" s="1" t="s">
        <v>131</v>
      </c>
      <c r="P76" s="1"/>
      <c r="Q76" s="1"/>
      <c r="R76" s="1"/>
      <c r="S76" s="1" t="s">
        <v>464</v>
      </c>
      <c r="T76" s="1" t="s">
        <v>2321</v>
      </c>
      <c r="V76" s="203" t="s">
        <v>2367</v>
      </c>
      <c r="W76" s="142" t="s">
        <v>2368</v>
      </c>
    </row>
    <row r="77" s="142" customFormat="true" ht="15" hidden="false" customHeight="false" outlineLevel="0" collapsed="false">
      <c r="B77" s="1"/>
      <c r="C77" s="1"/>
      <c r="D77" s="1"/>
      <c r="E77" s="1"/>
      <c r="F77" s="1"/>
      <c r="G77" s="1" t="n">
        <v>32</v>
      </c>
      <c r="H77" s="1"/>
      <c r="I77" s="1"/>
      <c r="J77" s="1" t="s">
        <v>50</v>
      </c>
      <c r="K77" s="1" t="s">
        <v>62</v>
      </c>
      <c r="L77" s="1" t="s">
        <v>105</v>
      </c>
      <c r="M77" s="1" t="s">
        <v>129</v>
      </c>
      <c r="N77" s="1" t="s">
        <v>143</v>
      </c>
      <c r="O77" s="1" t="s">
        <v>131</v>
      </c>
      <c r="P77" s="1"/>
      <c r="Q77" s="1"/>
      <c r="R77" s="1"/>
      <c r="S77" s="1" t="s">
        <v>76</v>
      </c>
      <c r="T77" s="1" t="s">
        <v>437</v>
      </c>
    </row>
    <row r="78" s="142" customFormat="true" ht="15" hidden="false" customHeight="false" outlineLevel="0" collapsed="false">
      <c r="B78" s="1"/>
      <c r="C78" s="1"/>
      <c r="D78" s="1"/>
      <c r="E78" s="1"/>
      <c r="F78" s="1"/>
      <c r="G78" s="1" t="n">
        <v>34</v>
      </c>
      <c r="H78" s="1"/>
      <c r="I78" s="1" t="s">
        <v>2369</v>
      </c>
      <c r="J78" s="1" t="s">
        <v>50</v>
      </c>
      <c r="K78" s="1" t="s">
        <v>62</v>
      </c>
      <c r="L78" s="1" t="s">
        <v>105</v>
      </c>
      <c r="M78" s="1" t="s">
        <v>129</v>
      </c>
      <c r="N78" s="1" t="s">
        <v>143</v>
      </c>
      <c r="O78" s="1" t="s">
        <v>131</v>
      </c>
      <c r="P78" s="1"/>
      <c r="Q78" s="1"/>
      <c r="R78" s="1"/>
      <c r="S78" s="1"/>
      <c r="T78" s="1"/>
    </row>
    <row r="79" s="142" customFormat="true" ht="15" hidden="false" customHeight="false" outlineLevel="0" collapsed="false">
      <c r="B79" s="1"/>
      <c r="C79" s="1"/>
      <c r="D79" s="1"/>
      <c r="E79" s="1"/>
      <c r="F79" s="1"/>
      <c r="G79" s="1" t="n">
        <v>36</v>
      </c>
      <c r="H79" s="1"/>
      <c r="I79" s="1" t="s">
        <v>66</v>
      </c>
      <c r="J79" s="1" t="s">
        <v>50</v>
      </c>
      <c r="K79" s="1" t="s">
        <v>62</v>
      </c>
      <c r="L79" s="1" t="s">
        <v>105</v>
      </c>
      <c r="M79" s="1" t="s">
        <v>129</v>
      </c>
      <c r="N79" s="1" t="s">
        <v>143</v>
      </c>
      <c r="O79" s="1" t="s">
        <v>131</v>
      </c>
      <c r="P79" s="1"/>
      <c r="Q79" s="1"/>
      <c r="R79" s="1"/>
      <c r="S79" s="1"/>
      <c r="T79" s="1"/>
    </row>
    <row r="80" s="142" customFormat="true" ht="15" hidden="false" customHeight="false" outlineLevel="0" collapsed="false">
      <c r="B80" s="1"/>
      <c r="C80" s="1"/>
      <c r="D80" s="1"/>
      <c r="E80" s="1"/>
      <c r="F80" s="1"/>
      <c r="G80" s="1" t="n">
        <v>38</v>
      </c>
      <c r="H80" s="1"/>
      <c r="I80" s="1" t="s">
        <v>66</v>
      </c>
      <c r="J80" s="1" t="s">
        <v>50</v>
      </c>
      <c r="K80" s="1" t="s">
        <v>62</v>
      </c>
      <c r="L80" s="1" t="s">
        <v>105</v>
      </c>
      <c r="M80" s="1" t="s">
        <v>129</v>
      </c>
      <c r="N80" s="1" t="s">
        <v>143</v>
      </c>
      <c r="O80" s="1" t="s">
        <v>131</v>
      </c>
      <c r="P80" s="1"/>
      <c r="Q80" s="1"/>
      <c r="R80" s="1"/>
      <c r="S80" s="1"/>
      <c r="T80" s="1"/>
    </row>
    <row r="81" s="142" customFormat="true" ht="16.4" hidden="false" customHeight="false" outlineLevel="0" collapsed="false">
      <c r="A81" s="198" t="n">
        <v>12</v>
      </c>
      <c r="B81" s="1" t="s">
        <v>2317</v>
      </c>
      <c r="C81" s="1"/>
      <c r="D81" s="1" t="s">
        <v>2370</v>
      </c>
      <c r="E81" s="1" t="s">
        <v>888</v>
      </c>
      <c r="F81" s="1" t="s">
        <v>2320</v>
      </c>
      <c r="G81" s="1" t="n">
        <v>30</v>
      </c>
      <c r="H81" s="1"/>
      <c r="I81" s="193" t="s">
        <v>66</v>
      </c>
      <c r="J81" s="193" t="s">
        <v>50</v>
      </c>
      <c r="K81" s="193" t="s">
        <v>62</v>
      </c>
      <c r="L81" s="193" t="s">
        <v>105</v>
      </c>
      <c r="M81" s="193" t="s">
        <v>129</v>
      </c>
      <c r="N81" s="21" t="s">
        <v>143</v>
      </c>
      <c r="O81" s="1"/>
      <c r="P81" s="1"/>
      <c r="Q81" s="1"/>
      <c r="R81" s="1"/>
      <c r="S81" s="1"/>
      <c r="T81" s="1"/>
      <c r="V81" s="203" t="s">
        <v>2371</v>
      </c>
      <c r="W81" s="142" t="s">
        <v>2372</v>
      </c>
    </row>
    <row r="82" customFormat="false" ht="15" hidden="false" customHeight="false" outlineLevel="0" collapsed="false">
      <c r="B82" s="1"/>
      <c r="C82" s="1"/>
      <c r="D82" s="1"/>
      <c r="E82" s="1"/>
      <c r="F82" s="1"/>
      <c r="G82" s="1" t="n">
        <v>32</v>
      </c>
      <c r="H82" s="1"/>
      <c r="I82" s="193" t="s">
        <v>66</v>
      </c>
      <c r="J82" s="193" t="s">
        <v>50</v>
      </c>
      <c r="K82" s="193" t="s">
        <v>62</v>
      </c>
      <c r="L82" s="193" t="s">
        <v>105</v>
      </c>
      <c r="M82" s="193" t="s">
        <v>129</v>
      </c>
      <c r="N82" s="193" t="s">
        <v>143</v>
      </c>
      <c r="O82" s="1"/>
      <c r="P82" s="1"/>
      <c r="Q82" s="1"/>
      <c r="R82" s="1"/>
      <c r="S82" s="1" t="s">
        <v>119</v>
      </c>
      <c r="T82" s="1" t="s">
        <v>2321</v>
      </c>
    </row>
    <row r="83" customFormat="false" ht="15" hidden="false" customHeight="false" outlineLevel="0" collapsed="false">
      <c r="B83" s="1"/>
      <c r="C83" s="1"/>
      <c r="D83" s="1"/>
      <c r="E83" s="1"/>
      <c r="F83" s="1"/>
      <c r="G83" s="1" t="n">
        <v>34</v>
      </c>
      <c r="H83" s="1"/>
      <c r="I83" s="193" t="s">
        <v>66</v>
      </c>
      <c r="J83" s="193" t="s">
        <v>50</v>
      </c>
      <c r="K83" s="193" t="s">
        <v>62</v>
      </c>
      <c r="L83" s="193" t="s">
        <v>105</v>
      </c>
      <c r="M83" s="193" t="s">
        <v>129</v>
      </c>
      <c r="N83" s="193" t="s">
        <v>143</v>
      </c>
      <c r="O83" s="1"/>
      <c r="P83" s="1"/>
      <c r="Q83" s="1"/>
      <c r="R83" s="1"/>
      <c r="S83" s="1" t="s">
        <v>76</v>
      </c>
      <c r="T83" s="1" t="s">
        <v>437</v>
      </c>
    </row>
    <row r="84" customFormat="false" ht="15" hidden="false" customHeight="false" outlineLevel="0" collapsed="false">
      <c r="B84" s="1"/>
      <c r="C84" s="1"/>
      <c r="D84" s="1"/>
      <c r="E84" s="1"/>
      <c r="F84" s="1"/>
      <c r="G84" s="1" t="n">
        <v>36</v>
      </c>
      <c r="H84" s="1"/>
      <c r="I84" s="193" t="s">
        <v>66</v>
      </c>
      <c r="J84" s="193" t="s">
        <v>50</v>
      </c>
      <c r="K84" s="193" t="s">
        <v>62</v>
      </c>
      <c r="L84" s="193" t="s">
        <v>105</v>
      </c>
      <c r="M84" s="193" t="s">
        <v>129</v>
      </c>
      <c r="N84" s="193" t="s">
        <v>143</v>
      </c>
      <c r="O84" s="1"/>
      <c r="P84" s="1"/>
      <c r="Q84" s="1"/>
      <c r="R84" s="1"/>
      <c r="S84" s="1" t="s">
        <v>2373</v>
      </c>
      <c r="T84" s="1"/>
    </row>
    <row r="85" customFormat="false" ht="15" hidden="false" customHeight="false" outlineLevel="0" collapsed="false">
      <c r="B85" s="1"/>
      <c r="C85" s="1"/>
      <c r="D85" s="1"/>
      <c r="E85" s="1"/>
      <c r="F85" s="1"/>
      <c r="G85" s="1" t="n">
        <v>38</v>
      </c>
      <c r="H85" s="1"/>
      <c r="I85" s="193" t="s">
        <v>66</v>
      </c>
      <c r="J85" s="193" t="s">
        <v>50</v>
      </c>
      <c r="K85" s="193" t="s">
        <v>62</v>
      </c>
      <c r="L85" s="193" t="s">
        <v>105</v>
      </c>
      <c r="M85" s="193" t="s">
        <v>129</v>
      </c>
      <c r="N85" s="193" t="s">
        <v>143</v>
      </c>
      <c r="O85" s="1"/>
      <c r="P85" s="1"/>
      <c r="Q85" s="1"/>
      <c r="R85" s="1"/>
      <c r="S85" s="1"/>
      <c r="T85" s="1"/>
    </row>
    <row r="86" customFormat="false" ht="15" hidden="false" customHeight="false" outlineLevel="0" collapsed="false">
      <c r="B86" s="1"/>
      <c r="C86" s="1"/>
      <c r="D86" s="1"/>
      <c r="E86" s="1"/>
      <c r="F86" s="1"/>
      <c r="G86" s="1" t="n">
        <v>40</v>
      </c>
      <c r="H86" s="1"/>
      <c r="I86" s="193" t="s">
        <v>66</v>
      </c>
      <c r="J86" s="193" t="s">
        <v>50</v>
      </c>
      <c r="K86" s="193" t="s">
        <v>62</v>
      </c>
      <c r="L86" s="21"/>
      <c r="M86" s="21"/>
      <c r="N86" s="21"/>
      <c r="O86" s="1"/>
      <c r="P86" s="1"/>
      <c r="Q86" s="1"/>
      <c r="R86" s="1"/>
      <c r="S86" s="1"/>
      <c r="T86" s="1"/>
    </row>
    <row r="87" customFormat="false" ht="16.4" hidden="false" customHeight="false" outlineLevel="0" collapsed="false">
      <c r="A87" s="198" t="n">
        <v>13</v>
      </c>
      <c r="B87" s="1" t="s">
        <v>2317</v>
      </c>
      <c r="C87" s="1"/>
      <c r="D87" s="1" t="s">
        <v>2374</v>
      </c>
      <c r="E87" s="1" t="s">
        <v>1162</v>
      </c>
      <c r="F87" s="1" t="s">
        <v>2320</v>
      </c>
      <c r="G87" s="1" t="n">
        <v>30</v>
      </c>
      <c r="H87" s="1"/>
      <c r="I87" s="193" t="s">
        <v>66</v>
      </c>
      <c r="J87" s="193" t="s">
        <v>50</v>
      </c>
      <c r="K87" s="193" t="s">
        <v>62</v>
      </c>
      <c r="L87" s="193" t="s">
        <v>105</v>
      </c>
      <c r="M87" s="193" t="s">
        <v>129</v>
      </c>
      <c r="N87" s="193" t="s">
        <v>143</v>
      </c>
      <c r="O87" s="1" t="s">
        <v>131</v>
      </c>
      <c r="P87" s="1"/>
      <c r="Q87" s="1"/>
      <c r="R87" s="1"/>
      <c r="S87" s="1" t="s">
        <v>119</v>
      </c>
      <c r="T87" s="1" t="s">
        <v>2321</v>
      </c>
      <c r="V87" s="182" t="s">
        <v>2375</v>
      </c>
      <c r="W87" s="182" t="s">
        <v>2376</v>
      </c>
      <c r="X87" s="182" t="s">
        <v>2376</v>
      </c>
    </row>
    <row r="88" customFormat="false" ht="15" hidden="false" customHeight="false" outlineLevel="0" collapsed="false">
      <c r="B88" s="1"/>
      <c r="C88" s="1"/>
      <c r="D88" s="1"/>
      <c r="E88" s="1"/>
      <c r="F88" s="1"/>
      <c r="G88" s="1" t="n">
        <v>32</v>
      </c>
      <c r="H88" s="1"/>
      <c r="I88" s="193" t="s">
        <v>66</v>
      </c>
      <c r="J88" s="193" t="s">
        <v>50</v>
      </c>
      <c r="K88" s="193" t="s">
        <v>62</v>
      </c>
      <c r="L88" s="193" t="s">
        <v>105</v>
      </c>
      <c r="M88" s="193" t="s">
        <v>129</v>
      </c>
      <c r="N88" s="193" t="s">
        <v>143</v>
      </c>
      <c r="O88" s="1" t="s">
        <v>131</v>
      </c>
      <c r="P88" s="1"/>
      <c r="Q88" s="1"/>
      <c r="R88" s="1"/>
      <c r="S88" s="1" t="s">
        <v>76</v>
      </c>
      <c r="T88" s="1" t="s">
        <v>437</v>
      </c>
    </row>
    <row r="89" customFormat="false" ht="15" hidden="false" customHeight="false" outlineLevel="0" collapsed="false">
      <c r="B89" s="1"/>
      <c r="C89" s="1"/>
      <c r="D89" s="1"/>
      <c r="E89" s="1"/>
      <c r="F89" s="1"/>
      <c r="G89" s="1" t="n">
        <v>34</v>
      </c>
      <c r="H89" s="1"/>
      <c r="I89" s="193" t="s">
        <v>66</v>
      </c>
      <c r="J89" s="193" t="s">
        <v>50</v>
      </c>
      <c r="K89" s="193" t="s">
        <v>62</v>
      </c>
      <c r="L89" s="193" t="s">
        <v>105</v>
      </c>
      <c r="M89" s="193" t="s">
        <v>129</v>
      </c>
      <c r="N89" s="193" t="s">
        <v>143</v>
      </c>
      <c r="O89" s="193" t="s">
        <v>131</v>
      </c>
      <c r="P89" s="1"/>
      <c r="Q89" s="1"/>
      <c r="R89" s="1"/>
      <c r="S89" s="1" t="s">
        <v>2377</v>
      </c>
      <c r="T89" s="1"/>
    </row>
    <row r="90" customFormat="false" ht="15" hidden="false" customHeight="false" outlineLevel="0" collapsed="false">
      <c r="B90" s="1"/>
      <c r="C90" s="1"/>
      <c r="D90" s="1"/>
      <c r="E90" s="1"/>
      <c r="F90" s="1"/>
      <c r="G90" s="1" t="n">
        <v>36</v>
      </c>
      <c r="H90" s="1"/>
      <c r="I90" s="193" t="s">
        <v>66</v>
      </c>
      <c r="J90" s="193" t="s">
        <v>50</v>
      </c>
      <c r="K90" s="193" t="s">
        <v>62</v>
      </c>
      <c r="L90" s="193" t="s">
        <v>105</v>
      </c>
      <c r="M90" s="193" t="s">
        <v>129</v>
      </c>
      <c r="N90" s="193" t="s">
        <v>143</v>
      </c>
      <c r="O90" s="193" t="s">
        <v>131</v>
      </c>
      <c r="P90" s="1"/>
      <c r="Q90" s="1"/>
      <c r="R90" s="1"/>
      <c r="S90" s="1"/>
      <c r="T90" s="1"/>
    </row>
    <row r="91" customFormat="false" ht="15" hidden="false" customHeight="false" outlineLevel="0" collapsed="false">
      <c r="B91" s="1"/>
      <c r="C91" s="1"/>
      <c r="D91" s="1"/>
      <c r="E91" s="1"/>
      <c r="F91" s="1"/>
      <c r="G91" s="1" t="n">
        <v>38</v>
      </c>
      <c r="H91" s="1"/>
      <c r="I91" s="193" t="s">
        <v>66</v>
      </c>
      <c r="J91" s="193" t="s">
        <v>50</v>
      </c>
      <c r="K91" s="193" t="s">
        <v>62</v>
      </c>
      <c r="L91" s="193" t="s">
        <v>105</v>
      </c>
      <c r="M91" s="193" t="s">
        <v>129</v>
      </c>
      <c r="N91" s="193" t="s">
        <v>143</v>
      </c>
      <c r="O91" s="193" t="s">
        <v>131</v>
      </c>
      <c r="P91" s="1"/>
      <c r="Q91" s="1"/>
      <c r="R91" s="1"/>
      <c r="S91" s="1"/>
      <c r="T91" s="1"/>
    </row>
    <row r="92" customFormat="false" ht="16.4" hidden="false" customHeight="false" outlineLevel="0" collapsed="false">
      <c r="A92" s="198" t="n">
        <v>14</v>
      </c>
      <c r="B92" s="1" t="s">
        <v>2317</v>
      </c>
      <c r="C92" s="1"/>
      <c r="D92" s="1" t="s">
        <v>2378</v>
      </c>
      <c r="E92" s="1" t="s">
        <v>1374</v>
      </c>
      <c r="F92" s="1" t="s">
        <v>2320</v>
      </c>
      <c r="G92" s="1" t="n">
        <v>34</v>
      </c>
      <c r="H92" s="1"/>
      <c r="I92" s="193"/>
      <c r="J92" s="193"/>
      <c r="K92" s="193"/>
      <c r="L92" s="21"/>
      <c r="M92" s="21"/>
      <c r="N92" s="21"/>
      <c r="O92" s="1" t="s">
        <v>131</v>
      </c>
      <c r="P92" s="1"/>
      <c r="Q92" s="1"/>
      <c r="R92" s="1"/>
      <c r="S92" s="1" t="s">
        <v>1397</v>
      </c>
      <c r="T92" s="1" t="s">
        <v>2379</v>
      </c>
      <c r="V92" s="182" t="s">
        <v>2380</v>
      </c>
      <c r="W92" s="182" t="s">
        <v>2381</v>
      </c>
    </row>
    <row r="93" customFormat="false" ht="15" hidden="false" customHeight="false" outlineLevel="0" collapsed="false">
      <c r="B93" s="1"/>
      <c r="C93" s="1"/>
      <c r="D93" s="1"/>
      <c r="E93" s="1"/>
      <c r="F93" s="1"/>
      <c r="G93" s="1" t="n">
        <v>36</v>
      </c>
      <c r="H93" s="1"/>
      <c r="I93" s="1"/>
      <c r="J93" s="1" t="s">
        <v>50</v>
      </c>
      <c r="K93" s="1" t="s">
        <v>62</v>
      </c>
      <c r="L93" s="1" t="s">
        <v>105</v>
      </c>
      <c r="M93" s="1" t="s">
        <v>129</v>
      </c>
      <c r="N93" s="1" t="s">
        <v>143</v>
      </c>
      <c r="O93" s="1" t="s">
        <v>131</v>
      </c>
      <c r="P93" s="1"/>
      <c r="Q93" s="1"/>
      <c r="R93" s="1"/>
      <c r="S93" s="1" t="s">
        <v>1370</v>
      </c>
      <c r="T93" s="1" t="s">
        <v>2382</v>
      </c>
    </row>
    <row r="94" customFormat="false" ht="15" hidden="false" customHeight="false" outlineLevel="0" collapsed="false">
      <c r="B94" s="1"/>
      <c r="C94" s="1"/>
      <c r="D94" s="1"/>
      <c r="E94" s="1"/>
      <c r="F94" s="1"/>
      <c r="G94" s="1" t="n">
        <v>38</v>
      </c>
      <c r="H94" s="1"/>
      <c r="I94" s="1" t="s">
        <v>66</v>
      </c>
      <c r="J94" s="1" t="s">
        <v>50</v>
      </c>
      <c r="K94" s="1" t="s">
        <v>62</v>
      </c>
      <c r="L94" s="1" t="s">
        <v>105</v>
      </c>
      <c r="M94" s="1" t="s">
        <v>129</v>
      </c>
      <c r="N94" s="1" t="s">
        <v>143</v>
      </c>
      <c r="O94" s="1" t="s">
        <v>131</v>
      </c>
      <c r="P94" s="1"/>
      <c r="Q94" s="1"/>
      <c r="R94" s="1"/>
      <c r="S94" s="1"/>
      <c r="T94" s="1"/>
    </row>
    <row r="95" customFormat="false" ht="15" hidden="false" customHeight="false" outlineLevel="0" collapsed="false">
      <c r="B95" s="1"/>
      <c r="C95" s="1"/>
      <c r="D95" s="1"/>
      <c r="E95" s="1"/>
      <c r="F95" s="1"/>
      <c r="G95" s="1" t="n">
        <v>40</v>
      </c>
      <c r="H95" s="1"/>
      <c r="I95" s="1" t="s">
        <v>66</v>
      </c>
      <c r="J95" s="1" t="s">
        <v>50</v>
      </c>
      <c r="K95" s="1" t="s">
        <v>62</v>
      </c>
      <c r="L95" s="1" t="s">
        <v>105</v>
      </c>
      <c r="M95" s="1" t="s">
        <v>129</v>
      </c>
      <c r="N95" s="1" t="s">
        <v>143</v>
      </c>
      <c r="O95" s="1" t="s">
        <v>131</v>
      </c>
      <c r="P95" s="1"/>
      <c r="Q95" s="1"/>
      <c r="R95" s="1"/>
      <c r="S95" s="1"/>
      <c r="T95" s="1"/>
    </row>
    <row r="96" customFormat="false" ht="15" hidden="false" customHeight="false" outlineLevel="0" collapsed="false">
      <c r="B96" s="1"/>
      <c r="C96" s="1"/>
      <c r="D96" s="1"/>
      <c r="E96" s="1"/>
      <c r="F96" s="1"/>
      <c r="G96" s="1" t="n">
        <v>42</v>
      </c>
      <c r="H96" s="1"/>
      <c r="I96" s="1" t="s">
        <v>66</v>
      </c>
      <c r="J96" s="1" t="s">
        <v>50</v>
      </c>
      <c r="K96" s="1" t="s">
        <v>62</v>
      </c>
      <c r="L96" s="1" t="s">
        <v>105</v>
      </c>
      <c r="M96" s="1" t="s">
        <v>129</v>
      </c>
      <c r="N96" s="1" t="s">
        <v>143</v>
      </c>
      <c r="O96" s="1" t="s">
        <v>131</v>
      </c>
      <c r="P96" s="1"/>
      <c r="Q96" s="1"/>
      <c r="R96" s="1"/>
      <c r="S96" s="1"/>
      <c r="T96" s="1"/>
    </row>
    <row r="97" s="142" customFormat="true" ht="15" hidden="false" customHeight="false" outlineLevel="0" collapsed="false">
      <c r="B97" s="137"/>
      <c r="C97" s="137"/>
      <c r="D97" s="137"/>
      <c r="E97" s="137"/>
      <c r="F97" s="137"/>
      <c r="G97" s="82" t="n">
        <v>44</v>
      </c>
      <c r="H97" s="137"/>
      <c r="I97" s="137"/>
      <c r="J97" s="137"/>
      <c r="K97" s="137"/>
      <c r="L97" s="137"/>
      <c r="M97" s="137"/>
      <c r="N97" s="137"/>
      <c r="O97" s="137"/>
      <c r="P97" s="137"/>
      <c r="Q97" s="137"/>
      <c r="R97" s="137"/>
      <c r="S97" s="137"/>
      <c r="T97" s="137"/>
    </row>
    <row r="98" customFormat="false" ht="16.4" hidden="false" customHeight="false" outlineLevel="0" collapsed="false">
      <c r="A98" s="187" t="n">
        <v>15</v>
      </c>
      <c r="B98" s="1" t="s">
        <v>581</v>
      </c>
      <c r="C98" s="1"/>
      <c r="D98" s="1" t="s">
        <v>2383</v>
      </c>
      <c r="E98" s="1" t="s">
        <v>2384</v>
      </c>
      <c r="F98" s="1" t="s">
        <v>2320</v>
      </c>
      <c r="G98" s="1" t="n">
        <v>34</v>
      </c>
      <c r="H98" s="1" t="s">
        <v>97</v>
      </c>
      <c r="I98" s="1" t="s">
        <v>66</v>
      </c>
      <c r="J98" s="1" t="s">
        <v>50</v>
      </c>
      <c r="K98" s="1"/>
      <c r="L98" s="1" t="s">
        <v>105</v>
      </c>
      <c r="M98" s="1"/>
      <c r="N98" s="1"/>
      <c r="O98" s="1"/>
      <c r="P98" s="1"/>
      <c r="Q98" s="1"/>
      <c r="R98" s="1"/>
      <c r="S98" s="1" t="s">
        <v>587</v>
      </c>
      <c r="T98" s="1" t="s">
        <v>2321</v>
      </c>
      <c r="W98" s="182" t="s">
        <v>2385</v>
      </c>
    </row>
    <row r="99" customFormat="false" ht="15" hidden="false" customHeight="false" outlineLevel="0" collapsed="false">
      <c r="B99" s="1"/>
      <c r="C99" s="1"/>
      <c r="D99" s="1"/>
      <c r="E99" s="1"/>
      <c r="F99" s="1"/>
      <c r="G99" s="1" t="n">
        <v>36</v>
      </c>
      <c r="H99" s="1" t="s">
        <v>97</v>
      </c>
      <c r="I99" s="1" t="s">
        <v>66</v>
      </c>
      <c r="J99" s="1" t="s">
        <v>50</v>
      </c>
      <c r="K99" s="1"/>
      <c r="L99" s="1" t="s">
        <v>105</v>
      </c>
      <c r="M99" s="1"/>
      <c r="N99" s="1"/>
      <c r="O99" s="1"/>
      <c r="P99" s="1"/>
      <c r="Q99" s="1"/>
      <c r="R99" s="1"/>
      <c r="S99" s="1" t="s">
        <v>2386</v>
      </c>
      <c r="T99" s="1" t="s">
        <v>437</v>
      </c>
    </row>
    <row r="100" customFormat="false" ht="15" hidden="false" customHeight="false" outlineLevel="0" collapsed="false">
      <c r="B100" s="1"/>
      <c r="C100" s="1"/>
      <c r="D100" s="1"/>
      <c r="E100" s="1"/>
      <c r="F100" s="1"/>
      <c r="G100" s="1" t="n">
        <v>38</v>
      </c>
      <c r="H100" s="1" t="s">
        <v>97</v>
      </c>
      <c r="I100" s="1" t="s">
        <v>66</v>
      </c>
      <c r="J100" s="1" t="s">
        <v>50</v>
      </c>
      <c r="K100" s="1"/>
      <c r="L100" s="1" t="s">
        <v>105</v>
      </c>
      <c r="M100" s="1"/>
      <c r="N100" s="1"/>
      <c r="O100" s="1"/>
      <c r="P100" s="1"/>
      <c r="Q100" s="1"/>
      <c r="R100" s="1"/>
      <c r="S100" s="1" t="n">
        <v>3</v>
      </c>
      <c r="T100" s="1" t="s">
        <v>612</v>
      </c>
    </row>
    <row r="101" customFormat="false" ht="15" hidden="false" customHeight="false" outlineLevel="0" collapsed="false">
      <c r="B101" s="1"/>
      <c r="C101" s="1"/>
      <c r="D101" s="1"/>
      <c r="E101" s="1"/>
      <c r="F101" s="1"/>
      <c r="G101" s="1" t="n">
        <v>40</v>
      </c>
      <c r="H101" s="1" t="s">
        <v>97</v>
      </c>
      <c r="I101" s="1" t="s">
        <v>66</v>
      </c>
      <c r="J101" s="1" t="s">
        <v>50</v>
      </c>
      <c r="K101" s="1"/>
      <c r="L101" s="1" t="s">
        <v>105</v>
      </c>
      <c r="M101" s="1"/>
      <c r="N101" s="1"/>
      <c r="O101" s="1"/>
      <c r="P101" s="1"/>
      <c r="Q101" s="1"/>
      <c r="R101" s="1"/>
      <c r="S101" s="1"/>
      <c r="T101" s="1"/>
    </row>
    <row r="102" customFormat="false" ht="15" hidden="false" customHeight="false" outlineLevel="0" collapsed="false">
      <c r="B102" s="1"/>
      <c r="C102" s="1"/>
      <c r="D102" s="1"/>
      <c r="E102" s="1"/>
      <c r="F102" s="1"/>
      <c r="G102" s="1" t="n">
        <v>42</v>
      </c>
      <c r="H102" s="1"/>
      <c r="I102" s="1" t="s">
        <v>66</v>
      </c>
      <c r="J102" s="1" t="s">
        <v>50</v>
      </c>
      <c r="K102" s="1"/>
      <c r="L102" s="1" t="s">
        <v>105</v>
      </c>
      <c r="M102" s="1"/>
      <c r="N102" s="1"/>
      <c r="O102" s="1"/>
      <c r="P102" s="1"/>
      <c r="Q102" s="1"/>
      <c r="R102" s="1"/>
      <c r="S102" s="1"/>
      <c r="T102" s="1"/>
    </row>
    <row r="103" s="142" customFormat="true" ht="15" hidden="false" customHeight="false" outlineLevel="0" collapsed="false">
      <c r="A103" s="187" t="n">
        <v>16</v>
      </c>
      <c r="B103" s="1" t="s">
        <v>581</v>
      </c>
      <c r="C103" s="1"/>
      <c r="D103" s="1" t="s">
        <v>2383</v>
      </c>
      <c r="E103" s="1" t="s">
        <v>2387</v>
      </c>
      <c r="F103" s="1" t="s">
        <v>2388</v>
      </c>
      <c r="G103" s="1" t="n">
        <v>34</v>
      </c>
      <c r="H103" s="1"/>
      <c r="I103" s="1" t="s">
        <v>66</v>
      </c>
      <c r="J103" s="1" t="s">
        <v>50</v>
      </c>
      <c r="K103" s="1"/>
      <c r="L103" s="1" t="s">
        <v>105</v>
      </c>
      <c r="M103" s="1"/>
      <c r="N103" s="1"/>
      <c r="O103" s="1"/>
      <c r="P103" s="1"/>
      <c r="Q103" s="1"/>
      <c r="R103" s="1"/>
      <c r="S103" s="1" t="s">
        <v>587</v>
      </c>
      <c r="T103" s="1" t="s">
        <v>2321</v>
      </c>
    </row>
    <row r="104" s="142" customFormat="true" ht="15" hidden="false" customHeight="false" outlineLevel="0" collapsed="false">
      <c r="B104" s="1"/>
      <c r="C104" s="1"/>
      <c r="D104" s="1"/>
      <c r="E104" s="1"/>
      <c r="F104" s="1"/>
      <c r="G104" s="1" t="n">
        <v>36</v>
      </c>
      <c r="H104" s="1"/>
      <c r="I104" s="1" t="s">
        <v>66</v>
      </c>
      <c r="J104" s="1" t="s">
        <v>50</v>
      </c>
      <c r="K104" s="1"/>
      <c r="L104" s="1" t="s">
        <v>105</v>
      </c>
      <c r="M104" s="1"/>
      <c r="N104" s="1"/>
      <c r="O104" s="1"/>
      <c r="P104" s="1"/>
      <c r="Q104" s="1"/>
      <c r="R104" s="1"/>
      <c r="S104" s="1" t="s">
        <v>2386</v>
      </c>
      <c r="T104" s="1" t="s">
        <v>437</v>
      </c>
    </row>
    <row r="105" s="142" customFormat="true" ht="15" hidden="false" customHeight="false" outlineLevel="0" collapsed="false">
      <c r="B105" s="1"/>
      <c r="C105" s="1"/>
      <c r="D105" s="1"/>
      <c r="E105" s="1"/>
      <c r="F105" s="1"/>
      <c r="G105" s="1" t="n">
        <v>38</v>
      </c>
      <c r="H105" s="1"/>
      <c r="I105" s="1" t="s">
        <v>66</v>
      </c>
      <c r="J105" s="1" t="s">
        <v>50</v>
      </c>
      <c r="K105" s="1"/>
      <c r="L105" s="1" t="s">
        <v>105</v>
      </c>
      <c r="M105" s="1"/>
      <c r="N105" s="1"/>
      <c r="O105" s="1"/>
      <c r="P105" s="1"/>
      <c r="Q105" s="1"/>
      <c r="R105" s="1"/>
      <c r="S105" s="1" t="s">
        <v>611</v>
      </c>
      <c r="T105" s="1" t="s">
        <v>612</v>
      </c>
    </row>
    <row r="106" s="142" customFormat="true" ht="15" hidden="false" customHeight="false" outlineLevel="0" collapsed="false">
      <c r="B106" s="1"/>
      <c r="C106" s="1"/>
      <c r="D106" s="1"/>
      <c r="E106" s="1"/>
      <c r="F106" s="1"/>
      <c r="G106" s="1" t="n">
        <v>40</v>
      </c>
      <c r="H106" s="1"/>
      <c r="I106" s="1" t="s">
        <v>66</v>
      </c>
      <c r="J106" s="1" t="s">
        <v>50</v>
      </c>
      <c r="K106" s="1"/>
      <c r="L106" s="1" t="s">
        <v>105</v>
      </c>
      <c r="M106" s="1"/>
      <c r="N106" s="1"/>
      <c r="O106" s="1"/>
      <c r="P106" s="1"/>
      <c r="Q106" s="1"/>
      <c r="R106" s="1"/>
      <c r="S106" s="1"/>
      <c r="T106" s="1"/>
    </row>
    <row r="107" s="142" customFormat="true" ht="15" hidden="false" customHeight="false" outlineLevel="0" collapsed="false">
      <c r="B107" s="1"/>
      <c r="C107" s="1"/>
      <c r="D107" s="1"/>
      <c r="E107" s="1"/>
      <c r="F107" s="1"/>
      <c r="G107" s="1" t="n">
        <v>42</v>
      </c>
      <c r="H107" s="1"/>
      <c r="I107" s="1" t="s">
        <v>66</v>
      </c>
      <c r="J107" s="1" t="s">
        <v>50</v>
      </c>
      <c r="K107" s="1"/>
      <c r="L107" s="1" t="s">
        <v>105</v>
      </c>
      <c r="M107" s="1"/>
      <c r="N107" s="1"/>
      <c r="O107" s="1"/>
      <c r="P107" s="1"/>
      <c r="Q107" s="1"/>
      <c r="R107" s="1"/>
      <c r="S107" s="1"/>
      <c r="T107" s="1"/>
    </row>
    <row r="108" customFormat="false" ht="16.4" hidden="false" customHeight="false" outlineLevel="0" collapsed="false">
      <c r="A108" s="187" t="n">
        <v>17</v>
      </c>
      <c r="B108" s="142" t="s">
        <v>581</v>
      </c>
      <c r="D108" s="142" t="s">
        <v>2383</v>
      </c>
      <c r="E108" s="199" t="s">
        <v>744</v>
      </c>
      <c r="F108" s="199" t="s">
        <v>2320</v>
      </c>
      <c r="G108" s="199" t="n">
        <v>32</v>
      </c>
      <c r="H108" s="199" t="s">
        <v>97</v>
      </c>
      <c r="I108" s="1" t="s">
        <v>66</v>
      </c>
      <c r="J108" s="199" t="s">
        <v>50</v>
      </c>
      <c r="K108" s="199"/>
      <c r="L108" s="199"/>
      <c r="M108" s="199"/>
      <c r="N108" s="199"/>
      <c r="O108" s="199"/>
      <c r="P108" s="199"/>
      <c r="Q108" s="199"/>
      <c r="R108" s="199"/>
      <c r="S108" s="199" t="s">
        <v>721</v>
      </c>
      <c r="T108" s="96" t="s">
        <v>2321</v>
      </c>
      <c r="W108" s="182" t="s">
        <v>2389</v>
      </c>
    </row>
    <row r="109" customFormat="false" ht="15" hidden="false" customHeight="false" outlineLevel="0" collapsed="false">
      <c r="B109" s="1"/>
      <c r="C109" s="1"/>
      <c r="D109" s="1"/>
      <c r="E109" s="1"/>
      <c r="F109" s="1"/>
      <c r="G109" s="1" t="n">
        <v>34</v>
      </c>
      <c r="H109" s="199" t="s">
        <v>97</v>
      </c>
      <c r="I109" s="1" t="s">
        <v>66</v>
      </c>
      <c r="J109" s="1" t="s">
        <v>50</v>
      </c>
      <c r="K109" s="1"/>
      <c r="L109" s="1"/>
      <c r="M109" s="1"/>
      <c r="N109" s="1"/>
      <c r="O109" s="1"/>
      <c r="P109" s="1"/>
      <c r="Q109" s="1"/>
      <c r="R109" s="1"/>
      <c r="S109" s="1" t="s">
        <v>617</v>
      </c>
      <c r="T109" s="1" t="s">
        <v>437</v>
      </c>
    </row>
    <row r="110" customFormat="false" ht="15" hidden="false" customHeight="false" outlineLevel="0" collapsed="false">
      <c r="B110" s="1"/>
      <c r="C110" s="1"/>
      <c r="D110" s="1"/>
      <c r="E110" s="1"/>
      <c r="F110" s="1"/>
      <c r="G110" s="1" t="n">
        <v>36</v>
      </c>
      <c r="H110" s="199" t="s">
        <v>97</v>
      </c>
      <c r="I110" s="1" t="s">
        <v>66</v>
      </c>
      <c r="J110" s="1" t="s">
        <v>50</v>
      </c>
      <c r="K110" s="1"/>
      <c r="L110" s="1"/>
      <c r="M110" s="1"/>
      <c r="N110" s="1"/>
      <c r="O110" s="1"/>
      <c r="P110" s="1"/>
      <c r="Q110" s="1"/>
      <c r="R110" s="1"/>
      <c r="S110" s="1"/>
      <c r="T110" s="1"/>
    </row>
    <row r="111" customFormat="false" ht="15" hidden="false" customHeight="false" outlineLevel="0" collapsed="false">
      <c r="B111" s="1"/>
      <c r="C111" s="1"/>
      <c r="D111" s="1"/>
      <c r="E111" s="1"/>
      <c r="F111" s="1"/>
      <c r="G111" s="1" t="n">
        <v>37</v>
      </c>
      <c r="H111" s="199" t="s">
        <v>97</v>
      </c>
      <c r="I111" s="1" t="s">
        <v>66</v>
      </c>
      <c r="J111" s="1" t="s">
        <v>50</v>
      </c>
      <c r="K111" s="1"/>
      <c r="L111" s="1"/>
      <c r="M111" s="1"/>
      <c r="N111" s="1"/>
      <c r="O111" s="1"/>
      <c r="P111" s="1"/>
      <c r="Q111" s="1"/>
      <c r="R111" s="1"/>
      <c r="S111" s="1"/>
      <c r="T111" s="1"/>
    </row>
    <row r="112" customFormat="false" ht="15" hidden="false" customHeight="false" outlineLevel="0" collapsed="false">
      <c r="B112" s="1"/>
      <c r="C112" s="1"/>
      <c r="D112" s="1"/>
      <c r="E112" s="1"/>
      <c r="F112" s="1"/>
      <c r="G112" s="1" t="n">
        <v>38</v>
      </c>
      <c r="H112" s="199" t="s">
        <v>97</v>
      </c>
      <c r="I112" s="1" t="s">
        <v>66</v>
      </c>
      <c r="J112" s="1" t="s">
        <v>50</v>
      </c>
      <c r="K112" s="1"/>
      <c r="L112" s="1"/>
      <c r="M112" s="1"/>
      <c r="N112" s="1"/>
      <c r="O112" s="1"/>
      <c r="P112" s="1"/>
      <c r="Q112" s="1"/>
      <c r="R112" s="1"/>
      <c r="S112" s="1"/>
      <c r="T112" s="1"/>
    </row>
    <row r="113" customFormat="false" ht="15" hidden="false" customHeight="false" outlineLevel="0" collapsed="false">
      <c r="A113" s="187" t="n">
        <v>18</v>
      </c>
      <c r="B113" s="142" t="s">
        <v>581</v>
      </c>
      <c r="D113" s="1" t="s">
        <v>2390</v>
      </c>
      <c r="E113" s="1" t="s">
        <v>2390</v>
      </c>
      <c r="F113" s="1" t="s">
        <v>2320</v>
      </c>
      <c r="G113" s="1" t="n">
        <v>32</v>
      </c>
      <c r="H113" s="199" t="s">
        <v>97</v>
      </c>
      <c r="I113" s="1" t="s">
        <v>66</v>
      </c>
      <c r="J113" s="1" t="s">
        <v>50</v>
      </c>
      <c r="K113" s="1"/>
      <c r="L113" s="1"/>
      <c r="M113" s="1"/>
      <c r="N113" s="1"/>
      <c r="O113" s="1"/>
      <c r="P113" s="1"/>
      <c r="Q113" s="1"/>
      <c r="R113" s="1"/>
      <c r="S113" s="1" t="s">
        <v>587</v>
      </c>
      <c r="T113" s="1" t="s">
        <v>2321</v>
      </c>
    </row>
    <row r="114" customFormat="false" ht="15" hidden="false" customHeight="false" outlineLevel="0" collapsed="false">
      <c r="B114" s="1"/>
      <c r="C114" s="1"/>
      <c r="D114" s="1"/>
      <c r="E114" s="1"/>
      <c r="F114" s="1"/>
      <c r="G114" s="1" t="n">
        <v>34</v>
      </c>
      <c r="H114" s="199" t="s">
        <v>97</v>
      </c>
      <c r="I114" s="1" t="s">
        <v>66</v>
      </c>
      <c r="J114" s="1" t="s">
        <v>50</v>
      </c>
      <c r="K114" s="1"/>
      <c r="L114" s="1"/>
      <c r="M114" s="1"/>
      <c r="N114" s="1"/>
      <c r="O114" s="1"/>
      <c r="P114" s="1"/>
      <c r="Q114" s="1"/>
      <c r="R114" s="1"/>
      <c r="S114" s="1" t="s">
        <v>76</v>
      </c>
      <c r="T114" s="1" t="s">
        <v>437</v>
      </c>
    </row>
    <row r="115" customFormat="false" ht="15" hidden="false" customHeight="false" outlineLevel="0" collapsed="false">
      <c r="B115" s="1"/>
      <c r="C115" s="1"/>
      <c r="D115" s="1"/>
      <c r="E115" s="1"/>
      <c r="F115" s="1"/>
      <c r="G115" s="1" t="n">
        <v>36</v>
      </c>
      <c r="H115" s="199" t="s">
        <v>97</v>
      </c>
      <c r="I115" s="1" t="s">
        <v>66</v>
      </c>
      <c r="J115" s="1" t="s">
        <v>50</v>
      </c>
      <c r="K115" s="1"/>
      <c r="L115" s="1"/>
      <c r="M115" s="1"/>
      <c r="N115" s="1"/>
      <c r="O115" s="1"/>
      <c r="P115" s="1"/>
      <c r="Q115" s="1"/>
      <c r="R115" s="1"/>
      <c r="S115" s="1"/>
      <c r="T115" s="1"/>
    </row>
    <row r="116" customFormat="false" ht="15" hidden="false" customHeight="false" outlineLevel="0" collapsed="false">
      <c r="B116" s="1"/>
      <c r="C116" s="1"/>
      <c r="D116" s="1"/>
      <c r="E116" s="1"/>
      <c r="F116" s="1"/>
      <c r="G116" s="1" t="n">
        <v>38</v>
      </c>
      <c r="H116" s="199" t="s">
        <v>97</v>
      </c>
      <c r="I116" s="1" t="s">
        <v>66</v>
      </c>
      <c r="J116" s="1" t="s">
        <v>50</v>
      </c>
      <c r="K116" s="1"/>
      <c r="L116" s="1"/>
      <c r="M116" s="1"/>
      <c r="N116" s="1"/>
      <c r="O116" s="1"/>
      <c r="P116" s="1"/>
      <c r="Q116" s="1"/>
      <c r="R116" s="1"/>
      <c r="S116" s="1"/>
      <c r="T116" s="1"/>
    </row>
    <row r="117" customFormat="false" ht="15" hidden="false" customHeight="false" outlineLevel="0" collapsed="false">
      <c r="B117" s="1"/>
      <c r="C117" s="1"/>
      <c r="D117" s="1"/>
      <c r="E117" s="1"/>
      <c r="F117" s="1"/>
      <c r="G117" s="1"/>
      <c r="H117" s="199"/>
      <c r="I117" s="1"/>
      <c r="J117" s="1"/>
      <c r="K117" s="1"/>
      <c r="L117" s="1"/>
      <c r="M117" s="1"/>
      <c r="N117" s="1"/>
      <c r="O117" s="1"/>
      <c r="P117" s="1"/>
      <c r="Q117" s="1"/>
      <c r="R117" s="1"/>
      <c r="S117" s="1"/>
      <c r="T117" s="1"/>
    </row>
    <row r="118" customFormat="false" ht="15" hidden="false" customHeight="false" outlineLevel="0" collapsed="false">
      <c r="A118" s="187" t="n">
        <v>19</v>
      </c>
      <c r="B118" s="142" t="s">
        <v>581</v>
      </c>
      <c r="D118" s="1" t="s">
        <v>2391</v>
      </c>
      <c r="E118" s="1" t="s">
        <v>2391</v>
      </c>
      <c r="F118" s="1" t="s">
        <v>2388</v>
      </c>
      <c r="G118" s="1" t="n">
        <v>36</v>
      </c>
      <c r="H118" s="199" t="s">
        <v>97</v>
      </c>
      <c r="I118" s="1" t="s">
        <v>66</v>
      </c>
      <c r="J118" s="1" t="s">
        <v>50</v>
      </c>
      <c r="K118" s="1"/>
      <c r="L118" s="1"/>
      <c r="M118" s="1"/>
      <c r="N118" s="1"/>
      <c r="O118" s="1"/>
      <c r="P118" s="1"/>
      <c r="Q118" s="1"/>
      <c r="R118" s="1"/>
      <c r="S118" s="1" t="s">
        <v>587</v>
      </c>
      <c r="T118" s="1" t="s">
        <v>2321</v>
      </c>
      <c r="V118" s="182" t="s">
        <v>2392</v>
      </c>
    </row>
    <row r="119" customFormat="false" ht="15" hidden="false" customHeight="false" outlineLevel="0" collapsed="false">
      <c r="B119" s="1"/>
      <c r="C119" s="1"/>
      <c r="D119" s="1"/>
      <c r="E119" s="1"/>
      <c r="F119" s="1"/>
      <c r="G119" s="1" t="n">
        <v>38</v>
      </c>
      <c r="H119" s="199" t="s">
        <v>97</v>
      </c>
      <c r="I119" s="1" t="s">
        <v>66</v>
      </c>
      <c r="J119" s="1" t="s">
        <v>50</v>
      </c>
      <c r="K119" s="1"/>
      <c r="L119" s="1" t="s">
        <v>105</v>
      </c>
      <c r="M119" s="1"/>
      <c r="N119" s="1"/>
      <c r="O119" s="1"/>
      <c r="P119" s="1"/>
      <c r="Q119" s="1"/>
      <c r="R119" s="1"/>
      <c r="S119" s="1" t="n">
        <v>4</v>
      </c>
      <c r="T119" s="1" t="s">
        <v>437</v>
      </c>
    </row>
    <row r="120" customFormat="false" ht="15" hidden="false" customHeight="false" outlineLevel="0" collapsed="false">
      <c r="B120" s="1"/>
      <c r="C120" s="1"/>
      <c r="D120" s="1"/>
      <c r="E120" s="1"/>
      <c r="F120" s="1"/>
      <c r="G120" s="1" t="n">
        <v>40</v>
      </c>
      <c r="H120" s="199" t="s">
        <v>97</v>
      </c>
      <c r="I120" s="1" t="s">
        <v>66</v>
      </c>
      <c r="J120" s="1" t="s">
        <v>50</v>
      </c>
      <c r="K120" s="1"/>
      <c r="L120" s="1" t="s">
        <v>105</v>
      </c>
      <c r="M120" s="1"/>
      <c r="N120" s="1"/>
      <c r="O120" s="1"/>
      <c r="P120" s="1"/>
      <c r="Q120" s="1"/>
      <c r="R120" s="1"/>
      <c r="S120" s="1"/>
      <c r="T120" s="1"/>
    </row>
    <row r="121" customFormat="false" ht="15" hidden="false" customHeight="false" outlineLevel="0" collapsed="false">
      <c r="B121" s="1"/>
      <c r="C121" s="1"/>
      <c r="D121" s="1"/>
      <c r="E121" s="1"/>
      <c r="F121" s="1"/>
      <c r="G121" s="1" t="n">
        <v>42</v>
      </c>
      <c r="H121" s="199" t="s">
        <v>97</v>
      </c>
      <c r="I121" s="1" t="s">
        <v>66</v>
      </c>
      <c r="J121" s="1" t="s">
        <v>50</v>
      </c>
      <c r="K121" s="1"/>
      <c r="L121" s="1" t="s">
        <v>105</v>
      </c>
      <c r="M121" s="1"/>
      <c r="N121" s="1"/>
      <c r="O121" s="1"/>
      <c r="P121" s="1"/>
      <c r="Q121" s="1"/>
      <c r="R121" s="1"/>
      <c r="S121" s="1"/>
      <c r="T121" s="1"/>
    </row>
    <row r="122" customFormat="false" ht="15" hidden="false" customHeight="false" outlineLevel="0" collapsed="false">
      <c r="B122" s="1"/>
      <c r="C122" s="1"/>
      <c r="D122" s="1"/>
      <c r="E122" s="1"/>
      <c r="F122" s="1"/>
      <c r="G122" s="1" t="n">
        <v>44</v>
      </c>
      <c r="H122" s="199" t="s">
        <v>97</v>
      </c>
      <c r="I122" s="1" t="s">
        <v>66</v>
      </c>
      <c r="J122" s="1" t="s">
        <v>50</v>
      </c>
      <c r="K122" s="1"/>
      <c r="L122" s="1" t="s">
        <v>105</v>
      </c>
      <c r="M122" s="1"/>
      <c r="N122" s="1"/>
      <c r="O122" s="1"/>
      <c r="P122" s="1"/>
      <c r="Q122" s="1"/>
      <c r="R122" s="1"/>
      <c r="S122" s="1"/>
      <c r="T122" s="1"/>
    </row>
    <row r="123" customFormat="false" ht="15" hidden="false" customHeight="false" outlineLevel="0" collapsed="false">
      <c r="A123" s="142" t="n">
        <v>20</v>
      </c>
      <c r="B123" s="1" t="s">
        <v>581</v>
      </c>
      <c r="C123" s="1"/>
      <c r="D123" s="1" t="s">
        <v>2393</v>
      </c>
      <c r="E123" s="1"/>
      <c r="F123" s="1" t="s">
        <v>2320</v>
      </c>
      <c r="G123" s="1" t="n">
        <v>34</v>
      </c>
      <c r="H123" s="199" t="s">
        <v>97</v>
      </c>
      <c r="I123" s="1" t="s">
        <v>66</v>
      </c>
      <c r="J123" s="1" t="s">
        <v>50</v>
      </c>
      <c r="K123" s="1"/>
      <c r="L123" s="1"/>
      <c r="M123" s="1"/>
      <c r="N123" s="1"/>
      <c r="O123" s="1"/>
      <c r="P123" s="1"/>
      <c r="Q123" s="1"/>
      <c r="R123" s="1"/>
      <c r="S123" s="1" t="s">
        <v>625</v>
      </c>
      <c r="T123" s="1" t="s">
        <v>2321</v>
      </c>
    </row>
    <row r="124" customFormat="false" ht="15" hidden="false" customHeight="false" outlineLevel="0" collapsed="false">
      <c r="B124" s="1"/>
      <c r="C124" s="1"/>
      <c r="D124" s="1"/>
      <c r="E124" s="1"/>
      <c r="F124" s="1"/>
      <c r="G124" s="1" t="n">
        <v>36</v>
      </c>
      <c r="H124" s="199" t="s">
        <v>97</v>
      </c>
      <c r="I124" s="1" t="s">
        <v>66</v>
      </c>
      <c r="J124" s="1" t="s">
        <v>50</v>
      </c>
      <c r="K124" s="1"/>
      <c r="L124" s="1"/>
      <c r="M124" s="1"/>
      <c r="N124" s="1"/>
      <c r="O124" s="1"/>
      <c r="P124" s="1"/>
      <c r="Q124" s="1"/>
      <c r="R124" s="1"/>
      <c r="S124" s="1" t="s">
        <v>76</v>
      </c>
      <c r="T124" s="1" t="s">
        <v>437</v>
      </c>
    </row>
    <row r="125" customFormat="false" ht="15" hidden="false" customHeight="false" outlineLevel="0" collapsed="false">
      <c r="B125" s="1"/>
      <c r="C125" s="1"/>
      <c r="D125" s="1"/>
      <c r="E125" s="1"/>
      <c r="F125" s="1"/>
      <c r="G125" s="1" t="n">
        <v>38</v>
      </c>
      <c r="H125" s="199" t="s">
        <v>97</v>
      </c>
      <c r="I125" s="1" t="s">
        <v>66</v>
      </c>
      <c r="J125" s="1" t="s">
        <v>50</v>
      </c>
      <c r="K125" s="1"/>
      <c r="L125" s="1"/>
      <c r="M125" s="1"/>
      <c r="N125" s="1"/>
      <c r="O125" s="1"/>
      <c r="P125" s="1"/>
      <c r="Q125" s="1"/>
      <c r="R125" s="1"/>
      <c r="S125" s="1"/>
      <c r="T125" s="1"/>
    </row>
    <row r="126" customFormat="false" ht="15" hidden="false" customHeight="false" outlineLevel="0" collapsed="false">
      <c r="B126" s="1"/>
      <c r="C126" s="1"/>
      <c r="D126" s="1"/>
      <c r="E126" s="1"/>
      <c r="F126" s="1"/>
      <c r="G126" s="1" t="n">
        <v>40</v>
      </c>
      <c r="H126" s="199" t="s">
        <v>97</v>
      </c>
      <c r="I126" s="1" t="s">
        <v>66</v>
      </c>
      <c r="J126" s="1" t="s">
        <v>50</v>
      </c>
      <c r="K126" s="1"/>
      <c r="L126" s="1"/>
      <c r="M126" s="1"/>
      <c r="N126" s="1"/>
      <c r="O126" s="1"/>
      <c r="P126" s="1"/>
      <c r="Q126" s="1"/>
      <c r="R126" s="1"/>
      <c r="S126" s="1"/>
      <c r="T126" s="1"/>
    </row>
    <row r="127" customFormat="false" ht="15" hidden="false" customHeight="false" outlineLevel="0" collapsed="false">
      <c r="B127" s="1"/>
      <c r="C127" s="1"/>
      <c r="D127" s="1"/>
      <c r="E127" s="1"/>
      <c r="F127" s="1"/>
      <c r="G127" s="1"/>
      <c r="H127" s="1"/>
      <c r="I127" s="1"/>
      <c r="J127" s="1"/>
      <c r="K127" s="1"/>
      <c r="L127" s="1"/>
      <c r="M127" s="1"/>
      <c r="N127" s="1"/>
      <c r="O127" s="1"/>
      <c r="P127" s="1"/>
      <c r="Q127" s="1"/>
      <c r="R127" s="1"/>
      <c r="S127" s="1"/>
      <c r="T127" s="1"/>
    </row>
  </sheetData>
  <hyperlinks>
    <hyperlink ref="W2" r:id="rId1" display="https://bmhwmaqrplpoiffniwbx.supabase.co/storage/v1/object/sign/KirakaClothing/Product%20Images/Goddess/GODDESS_YEWTEE_UW_MOULDED_UNDERWIRE_BRA_GD6750_1.png?token=eyJraWQiOiJzdG9yYWdlLXVybC1zaWduaW5nLWtleV9hOWYwOTQyOS1kZWUzLTQ5NzUtYWRiZi1kNWM3Yzk5ZWE1ZmIiLCJhbGciOiJIUzI1NiJ9.eyJ1cmwiOiJLaXJha2FDbG90aGluZy9Qcm9kdWN0IEltYWdlcy9Hb2RkZXNzL0dPRERFU1NfWUVXVEVFX1VXX01PVUxERURfVU5ERVJXSVJFX0JSQV9HRDY3NTBfMS5wbmciLCJpYXQiOjE3Njk4OTE1OTgsImV4cCI6MTgwMTQyNzU5OH0.MIDk614i8ZJyXvSCPJxxBWOfZgpSdJTML_hIC890Kfo"/>
    <hyperlink ref="W13" r:id="rId2" display="https://bmhwmaqrplpoiffniwbx.supabase.co/storage/v1/object/sign/KirakaClothing/Product%20Images/Goddess/GODDESS_VERITY_NONWIRE_BRA_VERITY_GD6750.png?token=eyJraWQiOiJzdG9yYWdlLXVybC1zaWduaW5nLWtleV9hOWYwOTQyOS1kZWUzLTQ5NzUtYWRiZi1kNWM3Yzk5ZWE1ZmIiLCJhbGciOiJIUzI1NiJ9.eyJ1cmwiOiJLaXJha2FDbG90aGluZy9Qcm9kdWN0IEltYWdlcy9Hb2RkZXNzL0dPRERFU1NfVkVSSVRZX05PTldJUkVfQlJBX1ZFUklUWV9HRDY3NTAucG5nIiwiaWF0IjoxNzY5OTI5ODYzLCJleHAiOjE4MDE0NjU4NjN9.qZeTNykzvXmTh3eBjLMS5SpXx9blX7JV59BHbTUcR3w"/>
    <hyperlink ref="W21" r:id="rId3" display="https://bmhwmaqrplpoiffniwbx.supabase.co/storage/v1/object/sign/KirakaClothing/Product%20Images/Goddess/GODDESS_VERITY_NONWIRE_BRA_VERITY_GD6750.png?token=eyJraWQiOiJzdG9yYWdlLXVybC1zaWduaW5nLWtleV9hOWYwOTQyOS1kZWUzLTQ5NzUtYWRiZi1kNWM3Yzk5ZWE1ZmIiLCJhbGciOiJIUzI1NiJ9.eyJ1cmwiOiJLaXJha2FDbG90aGluZy9Qcm9kdWN0IEltYWdlcy9Hb2RkZXNzL0dPRERFU1NfVkVSSVRZX05PTldJUkVfQlJBX1ZFUklUWV9HRDY3NTAucG5nIiwiaWF0IjoxNzY5OTI5ODYzLCJleHAiOjE4MDE0NjU4NjN9.qZeTNykzvXmTh3eBjLMS5SpXx9blX7JV59BHbTUcR3w"/>
    <hyperlink ref="W29" r:id="rId4" display="https://bmhwmaqrplpoiffniwbx.supabase.co/storage/v1/object/sign/KirakaClothing/Product%20Images/Elomi/ELOMI_MALTINDA_UNDERWIRE_EL8900_1.png?token=eyJraWQiOiJzdG9yYWdlLXVybC1zaWduaW5nLWtleV9hOWYwOTQyOS1kZWUzLTQ5NzUtYWRiZi1kNWM3Yzk5ZWE1ZmIiLCJhbGciOiJIUzI1NiJ9.eyJ1cmwiOiJLaXJha2FDbG90aGluZy9Qcm9kdWN0IEltYWdlcy9FbG9taS9FTE9NSV9NQUxUSU5EQV9VTkRFUldJUkVfRUw4OTAwXzEucG5nIiwiaWF0IjoxNzY5ODkxODA3LCJleHAiOjE4MDE0Mjc4MDd9.CNHnbWvtwkvHni4sYAiiEnsZmVMhVkZ4S-kdu6KNHmY"/>
    <hyperlink ref="X29" r:id="rId5" display="https://bmhwmaqrplpoiffniwbx.supabase.co/storage/v1/object/sign/KirakaClothing/Product%20Images/Elomi/ELOMI_MALTINDA_UDERWIRE_EL8900_2.png?token=eyJraWQiOiJzdG9yYWdlLXVybC1zaWduaW5nLWtleV9hOWYwOTQyOS1kZWUzLTQ5NzUtYWRiZi1kNWM3Yzk5ZWE1ZmIiLCJhbGciOiJIUzI1NiJ9.eyJ1cmwiOiJLaXJha2FDbG90aGluZy9Qcm9kdWN0IEltYWdlcy9FbG9taS9FTE9NSV9NQUxUSU5EQV9VREVSV0lSRV9FTDg5MDBfMi5wbmciLCJpYXQiOjE3Njk4OTE4ODgsImV4cCI6MTgwMTQyNzg4OH0.stpQD4nHYXx5PkolWOuGB-jMxWQrJlneTbVVwyZVa7Y"/>
    <hyperlink ref="W36" r:id="rId6" display="https://bmhwmaqrplpoiffniwbx.supabase.co/storage/v1/object/sign/KirakaClothing/Product%20Images/Elomi/ELOMI_BRIANNA_UNDERWIRE_EL8080_1.png?token=eyJraWQiOiJzdG9yYWdlLXVybC1zaWduaW5nLWtleV9hOWYwOTQyOS1kZWUzLTQ5NzUtYWRiZi1kNWM3Yzk5ZWE1ZmIiLCJhbGciOiJIUzI1NiJ9.eyJ1cmwiOiJLaXJha2FDbG90aGluZy9Qcm9kdWN0IEltYWdlcy9FbG9taS9FTE9NSV9CUklBTk5BX1VOREVSV0lSRV9FTDgwODBfMS5wbmciLCJpYXQiOjE3Njk4OTE2NTksImV4cCI6MTgwMTQyNzY1OX0.Tqo9WRFYxvPjmqiDtIEkaWTE8UYjTxYdXWY_oVdZpuw"/>
    <hyperlink ref="W44" r:id="rId7" display="https://bmhwmaqrplpoiffniwbx.supabase.co/storage/v1/object/sign/KirakaClothing/Product%20Images/Elomi/ELOMI_ENERGISE_UNDERWIRE_SPORTS_BRA_EL8041_1.png?token=eyJraWQiOiJzdG9yYWdlLXVybC1zaWduaW5nLWtleV9hOWYwOTQyOS1kZWUzLTQ5NzUtYWRiZi1kNWM3Yzk5ZWE1ZmIiLCJhbGciOiJIUzI1NiJ9.eyJ1cmwiOiJLaXJha2FDbG90aGluZy9Qcm9kdWN0IEltYWdlcy9FbG9taS9FTE9NSV9FTkVSR0lTRV9VTkRFUldJUkVfU1BPUlRTX0JSQV9FTDgwNDFfMS5wbmciLCJpYXQiOjE3Njk4OTE3NzMsImV4cCI6MTgwMTQyNzc3M30.6kJaJZnf9Age8Hjduju_cSTXfKa4zSA5CHjYjPRL0N0"/>
    <hyperlink ref="W51" r:id="rId8" display="https://bmhwmaqrplpoiffniwbx.supabase.co/storage/v1/object/sign/KirakaClothing/Product%20Images/Freya/FREYA_SONIC_UNDERWIRE_AC4892_1.png?token=eyJraWQiOiJzdG9yYWdlLXVybC1zaWduaW5nLWtleV9hOWYwOTQyOS1kZWUzLTQ5NzUtYWRiZi1kNWM3Yzk5ZWE1ZmIiLCJhbGciOiJIUzI1NiJ9.eyJ1cmwiOiJLaXJha2FDbG90aGluZy9Qcm9kdWN0IEltYWdlcy9GcmV5YS9GUkVZQV9TT05JQ19VTkRFUldJUkVfQUM0ODkyXzEucG5nIiwiaWF0IjoxNzY5ODkxOTM4LCJleHAiOjE4MDE0Mjc5Mzh9.Il4g2cVs7GN1qtt6fwpp_sMJ1ZbBMCZjA2mIPSwJIjE"/>
    <hyperlink ref="X51" r:id="rId9" display="https://bmhwmaqrplpoiffniwbx.supabase.co/storage/v1/object/sign/KirakaClothing/Product%20Images/Freya/FREYA_SONIC_UNDERWIRE_AC4892_2.png?token=eyJraWQiOiJzdG9yYWdlLXVybC1zaWduaW5nLWtleV9hOWYwOTQyOS1kZWUzLTQ5NzUtYWRiZi1kNWM3Yzk5ZWE1ZmIiLCJhbGciOiJIUzI1NiJ9.eyJ1cmwiOiJLaXJha2FDbG90aGluZy9Qcm9kdWN0IEltYWdlcy9GcmV5YS9GUkVZQV9TT05JQ19VTkRFUldJUkVfQUM0ODkyXzIucG5nIiwiaWF0IjoxNzY5ODkxOTYyLCJleHAiOjE4MDE0Mjc5NjJ9.SoLJKGPTrQuRw6eUgICXMPBuhlf8klb3PHBVdfKm5rg"/>
    <hyperlink ref="W58" r:id="rId10" display="https://bmhwmaqrplpoiffniwbx.supabase.co/storage/v1/object/sign/KirakaClothing/Product%20Images/%20Fantasie/FANTASIE_MOLDED_STRAPLESS_BRA_4530_1.png?token=eyJraWQiOiJzdG9yYWdlLXVybC1zaWduaW5nLWtleV9hOWYwOTQyOS1kZWUzLTQ5NzUtYWRiZi1kNWM3Yzk5ZWE1ZmIiLCJhbGciOiJIUzI1NiJ9.eyJ1cmwiOiJLaXJha2FDbG90aGluZy9Qcm9kdWN0IEltYWdlcy8gRmFudGFzaWUvRkFOVEFTSUVfTU9MREVEX1NUUkFQTEVTU19CUkFfNDUzMF8xLnBuZyIsImlhdCI6MTc2OTg5MjA1MCwiZXhwIjoxODAxNDI4MDUwfQ.DTV3VtrLtaWaDlJDm3GHLF7_9mC3IuOdQ2KjtkApBqw"/>
    <hyperlink ref="X58" r:id="rId11" display="https://bmhwmaqrplpoiffniwbx.supabase.co/storage/v1/object/sign/KirakaClothing/Product%20Images/%20Fantasie/FANTASIE_MOLDED%20STRAPLESS_BRA_4530_2.png?token=eyJraWQiOiJzdG9yYWdlLXVybC1zaWduaW5nLWtleV9hOWYwOTQyOS1kZWUzLTQ5NzUtYWRiZi1kNWM3Yzk5ZWE1ZmIiLCJhbGciOiJIUzI1NiJ9.eyJ1cmwiOiJLaXJha2FDbG90aGluZy9Qcm9kdWN0IEltYWdlcy8gRmFudGFzaWUvRkFOVEFTSUVfTU9MREVEIFNUUkFQTEVTU19CUkFfNDUzMF8yLnBuZyIsImlhdCI6MTc2OTg5MjA2NiwiZXhwIjoxODAxNDI4MDY2fQ.rd5Jlphj8suQfyxLlRuhJ1___o3tTeoDxERQcnKKKBQ"/>
    <hyperlink ref="W65" r:id="rId12" display="https://bmhwmaqrplpoiffniwbx.supabase.co/storage/v1/object/sign/KirakaClothing/Product%20Images/Freya/FREYA_SONIC_UNDERWIRE_AC4892_1.png?token=eyJraWQiOiJzdG9yYWdlLXVybC1zaWduaW5nLWtleV9hOWYwOTQyOS1kZWUzLTQ5NzUtYWRiZi1kNWM3Yzk5ZWE1ZmIiLCJhbGciOiJIUzI1NiJ9.eyJ1cmwiOiJLaXJha2FDbG90aGluZy9Qcm9kdWN0IEltYWdlcy9GcmV5YS9GUkVZQV9TT05JQ19VTkRFUldJUkVfQUM0ODkyXzEucG5nIiwiaWF0IjoxNzY5ODkxOTM4LCJleHAiOjE4MDE0Mjc5Mzh9.Il4g2cVs7GN1qtt6fwpp_sMJ1ZbBMCZjA2mIPSwJIjE"/>
    <hyperlink ref="X65" r:id="rId13" display="https://bmhwmaqrplpoiffniwbx.supabase.co/storage/v1/object/sign/KirakaClothing/Product%20Images/Freya/FREYA_SONIC_UNDERWIRE_AC4892_2.png?token=eyJraWQiOiJzdG9yYWdlLXVybC1zaWduaW5nLWtleV9hOWYwOTQyOS1kZWUzLTQ5NzUtYWRiZi1kNWM3Yzk5ZWE1ZmIiLCJhbGciOiJIUzI1NiJ9.eyJ1cmwiOiJLaXJha2FDbG90aGluZy9Qcm9kdWN0IEltYWdlcy9GcmV5YS9GUkVZQV9TT05JQ19VTkRFUldJUkVfQUM0ODkyXzIucG5nIiwiaWF0IjoxNzY5ODkxOTYyLCJleHAiOjE4MDE0Mjc5NjJ9.SoLJKGPTrQuRw6eUgICXMPBuhlf8klb3PHBVdfKm5rg"/>
    <hyperlink ref="W70" r:id="rId14" display="https://bmhwmaqrplpoiffniwbx.supabase.co/storage/v1/object/sign/KirakaClothing/Product%20Images/%20Fantasie/FANTASIE_UW_SPORTS_BRA_FL102829_1.png?token=eyJraWQiOiJzdG9yYWdlLXVybC1zaWduaW5nLWtleV9hOWYwOTQyOS1kZWUzLTQ5NzUtYWRiZi1kNWM3Yzk5ZWE1ZmIiLCJhbGciOiJIUzI1NiJ9.eyJ1cmwiOiJLaXJha2FDbG90aGluZy9Qcm9kdWN0IEltYWdlcy8gRmFudGFzaWUvRkFOVEFTSUVfVVdfU1BPUlRTX0JSQV9GTDEwMjgyOV8xLnBuZyIsImlhdCI6MTc2OTg5MjE5MSwiZXhwIjoxODAxNDI4MTkxfQ.RBDtWqsxwX9bPDVZJgPkpn0xBcQvlzsYHFy7XMUrTb8"/>
    <hyperlink ref="X70" r:id="rId15" display="https://bmhwmaqrplpoiffniwbx.supabase.co/storage/v1/object/sign/KirakaClothing/Product%20Images/%20Fantasie/FANTASIE_UW_SPORTS_BRA_FL102829_2.png?token=eyJraWQiOiJzdG9yYWdlLXVybC1zaWduaW5nLWtleV9hOWYwOTQyOS1kZWUzLTQ5NzUtYWRiZi1kNWM3Yzk5ZWE1ZmIiLCJhbGciOiJIUzI1NiJ9.eyJ1cmwiOiJLaXJha2FDbG90aGluZy9Qcm9kdWN0IEltYWdlcy8gRmFudGFzaWUvRkFOVEFTSUVfVVdfU1BPUlRTX0JSQV9GTDEwMjgyOV8yLnBuZyIsImlhdCI6MTc2OTg5MjIxOCwiZXhwIjoxODAxNDI4MjE4fQ.NKqosumurIpDS5gK2nT8Y-oeJ4jX5AU9AJaYn1J89M8"/>
    <hyperlink ref="W76" r:id="rId16" display="https://bmhwmaqrplpoiffniwbx.supabase.co/storage/v1/object/sign/KirakaClothing/Product%20Images/Freya/FREYA_UW_MOULDED_BALCONY_T-SHIRT_BRA_AA1030_1.png?token=eyJraWQiOiJzdG9yYWdlLXVybC1zaWduaW5nLWtleV9hOWYwOTQyOS1kZWUzLTQ5NzUtYWRiZi1kNWM3Yzk5ZWE1ZmIiLCJhbGciOiJIUzI1NiJ9.eyJ1cmwiOiJLaXJha2FDbG90aGluZy9Qcm9kdWN0IEltYWdlcy9GcmV5YS9GUkVZQV9VV19NT1VMREVEX0JBTENPTllfVC1TSElSVF9CUkFfQUExMDMwXzEucG5nIiwiaWF0IjoxNzY5ODkxOTc4LCJleHAiOjE4MDE0Mjc5Nzh9.Fi-awoo139mJ9JkCch6DjIoXdslFgq0xpMbasrLmUu0"/>
    <hyperlink ref="W81" r:id="rId17" display="https://bmhwmaqrplpoiffniwbx.supabase.co/storage/v1/object/sign/KirakaClothing/Product%20Images/%20Fantasie/FANTASIE_UW_MOULDED_SPACER_BRA_FL6912%20_1.png?token=eyJraWQiOiJzdG9yYWdlLXVybC1zaWduaW5nLWtleV9hOWYwOTQyOS1kZWUzLTQ5NzUtYWRiZi1kNWM3Yzk5ZWE1ZmIiLCJhbGciOiJIUzI1NiJ9.eyJ1cmwiOiJLaXJha2FDbG90aGluZy9Qcm9kdWN0IEltYWdlcy8gRmFudGFzaWUvRkFOVEFTSUVfVVdfTU9VTERFRF9TUEFDRVJfQlJBX0ZMNjkxMiBfMS5wbmciLCJpYXQiOjE3Njk4OTIxNTYsImV4cCI6MTgwMTQyODE1Nn0.GLCOpasnugI2GY3f5ntt4l9Gr89aJdNSLu3TuZe6PaY"/>
    <hyperlink ref="W87" r:id="rId18" display="https://bmhwmaqrplpoiffniwbx.supabase.co/storage/v1/object/sign/KirakaClothing/Product%20Images/%20Fantasie/FANTASIE_UW_FULL_CUP_SIDE_SUPPORT_BRA_FL6911_1.png?token=eyJraWQiOiJzdG9yYWdlLXVybC1zaWduaW5nLWtleV9hOWYwOTQyOS1kZWUzLTQ5NzUtYWRiZi1kNWM3Yzk5ZWE1ZmIiLCJhbGciOiJIUzI1NiJ9.eyJ1cmwiOiJLaXJha2FDbG90aGluZy9Qcm9kdWN0IEltYWdlcy8gRmFudGFzaWUvRkFOVEFTSUVfVVdfRlVMTF9DVVBfU0lERV9TVVBQT1JUX0JSQV9GTDY5MTFfMS5wbmciLCJpYXQiOjE3Njk4OTIxMjEsImV4cCI6MTgwMTQyODEyMX0.FPj9eA61PyBlAYSozHUYOEhnOd3GfIBfyeEajSkkXuk"/>
    <hyperlink ref="X87" r:id="rId19" display="https://bmhwmaqrplpoiffniwbx.supabase.co/storage/v1/object/sign/KirakaClothing/Product%20Images/%20Fantasie/FANTASIE_UW_FULL_CUP_SIDE_SUPPORT_BRA_FL6911_1.png?token=eyJraWQiOiJzdG9yYWdlLXVybC1zaWduaW5nLWtleV9hOWYwOTQyOS1kZWUzLTQ5NzUtYWRiZi1kNWM3Yzk5ZWE1ZmIiLCJhbGciOiJIUzI1NiJ9.eyJ1cmwiOiJLaXJha2FDbG90aGluZy9Qcm9kdWN0IEltYWdlcy8gRmFudGFzaWUvRkFOVEFTSUVfVVdfRlVMTF9DVVBfU0lERV9TVVBQT1JUX0JSQV9GTDY5MTFfMS5wbmciLCJpYXQiOjE3Njk4OTIxMjEsImV4cCI6MTgwMTQyODEyMX0.FPj9eA61PyBlAYSozHUYOEhnOd3GfIBfyeEajSkkXuk"/>
    <hyperlink ref="W92" r:id="rId20" display="https://bmhwmaqrplpoiffniwbx.supabase.co/storage/v1/object/sign/KirakaClothing/Product%20Images/Elomi/ELOMI_CATE_UW_BRA_EL4030.png?token=eyJraWQiOiJzdG9yYWdlLXVybC1zaWduaW5nLWtleV9hOWYwOTQyOS1kZWUzLTQ5NzUtYWRiZi1kNWM3Yzk5ZWE1ZmIiLCJhbGciOiJIUzI1NiJ9.eyJ1cmwiOiJLaXJha2FDbG90aGluZy9Qcm9kdWN0IEltYWdlcy9FbG9taS9FTE9NSV9DQVRFX1VXX0JSQV9FTDQwMzAucG5nIiwiaWF0IjoxNzY5ODkxNzE3LCJleHAiOjE4MDE0Mjc3MTd9.XioNxVUVDJBX7sSM15QcV4Tqe4f0E4Cflnknt8aE3n4"/>
    <hyperlink ref="W98" r:id="rId21" display="https://bmhwmaqrplpoiffniwbx.supabase.co/storage/v1/object/sign/KirakaClothing/Product%20Images/Triumph/TRIUMPH_%20MINIMISER_UNDERWIRE_Bra_Black_21W_1.webp?token=eyJraWQiOiJzdG9yYWdlLXVybC1zaWduaW5nLWtleV9hOWYwOTQyOS1kZWUzLTQ5NzUtYWRiZi1kNWM3Yzk5ZWE1ZmIiLCJhbGciOiJIUzI1NiJ9.eyJ1cmwiOiJLaXJha2FDbG90aGluZy9Qcm9kdWN0IEltYWdlcy9Ucml1bXBoL1RSSVVNUEhfIE1JTklNSVNFUl9VTkRFUldJUkVfQnJhX0JsYWNrXzIxV18xLndlYnAiLCJpYXQiOjE3Njk5MzQ5OTksImV4cCI6MTgwMTQ3MDk5OX0.sbkZO8Gl5l4jvmRmzjb3eyxZAzLRoYEXaqJ1O2NTHhE"/>
    <hyperlink ref="W108" r:id="rId22" display="https://bmhwmaqrplpoiffniwbx.supabase.co/storage/v1/object/sign/KirakaClothing/Product%20Images/Triumph/TRIUMPH_%20MINIMISER_UNDERWIRE_BRA_SKIN_112W_1.webp?token=eyJraWQiOiJzdG9yYWdlLXVybC1zaWduaW5nLWtleV9hOWYwOTQyOS1kZWUzLTQ5NzUtYWRiZi1kNWM3Yzk5ZWE1ZmIiLCJhbGciOiJIUzI1NiJ9.eyJ1cmwiOiJLaXJha2FDbG90aGluZy9Qcm9kdWN0IEltYWdlcy9Ucml1bXBoL1RSSVVNUEhfIE1JTklNSVNFUl9VTkRFUldJUkVfQlJBX1NLSU5fMTEyV18xLndlYnAiLCJpYXQiOjE3Njk5MzQ5NDcsImV4cCI6MTgwMTQ3MDk0N30.QwR3xnBVF4pULK7ClesLlMdBUzTN9ojTaCEJlyj_P-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2025-10-29T11:47:47Z</dcterms:created>
  <dc:creator>admin</dc:creator>
  <dc:description/>
  <dc:language>en-US</dc:language>
  <cp:lastModifiedBy/>
  <dcterms:modified xsi:type="dcterms:W3CDTF">2026-02-01T18:57:14Z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